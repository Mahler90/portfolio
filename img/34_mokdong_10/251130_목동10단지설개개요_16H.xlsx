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D1_DM012025N096_목동10단지아파트 재건축정비사업\02 작업방\02 개요\"/>
    </mc:Choice>
  </mc:AlternateContent>
  <xr:revisionPtr revIDLastSave="0" documentId="13_ncr:1_{611FA951-F5F3-47D6-8BA6-287DF952EA63}" xr6:coauthVersionLast="47" xr6:coauthVersionMax="47" xr10:uidLastSave="{00000000-0000-0000-0000-000000000000}"/>
  <bookViews>
    <workbookView xWindow="-120" yWindow="-120" windowWidth="29040" windowHeight="17520" tabRatio="770" xr2:uid="{00000000-000D-0000-FFFF-FFFF00000000}"/>
  </bookViews>
  <sheets>
    <sheet name="개요(전체)_발송" sheetId="53" r:id="rId1"/>
    <sheet name="1획지" sheetId="54" r:id="rId2"/>
    <sheet name="2획지" sheetId="55" r:id="rId3"/>
    <sheet name="분양수입변동" sheetId="56" r:id="rId4"/>
  </sheets>
  <definedNames>
    <definedName name="_xlnm.Print_Area" localSheetId="1">'1획지'!$B$2:$S$65</definedName>
    <definedName name="_xlnm.Print_Area" localSheetId="2">'2획지'!$B$2:$S$65</definedName>
    <definedName name="_xlnm.Print_Area" localSheetId="0">'개요(전체)_발송'!$B$2:$S$65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7" i="56" l="1"/>
  <c r="C36" i="56"/>
  <c r="C37" i="56"/>
  <c r="E37" i="56"/>
  <c r="B37" i="56"/>
  <c r="D24" i="56"/>
  <c r="F10" i="56"/>
  <c r="F23" i="56"/>
  <c r="H63" i="53"/>
  <c r="I63" i="53" s="1"/>
  <c r="J63" i="53" s="1"/>
  <c r="F128" i="53"/>
  <c r="H62" i="53"/>
  <c r="I62" i="53" s="1"/>
  <c r="J62" i="53" s="1"/>
  <c r="C76" i="55"/>
  <c r="C63" i="53" s="1"/>
  <c r="C75" i="55"/>
  <c r="C62" i="53" s="1"/>
  <c r="C128" i="53" s="1"/>
  <c r="H62" i="55"/>
  <c r="I62" i="55" s="1"/>
  <c r="J62" i="55" s="1"/>
  <c r="C30" i="56"/>
  <c r="C31" i="56"/>
  <c r="C32" i="56"/>
  <c r="C33" i="56"/>
  <c r="C34" i="56"/>
  <c r="C35" i="56"/>
  <c r="C29" i="56"/>
  <c r="B30" i="56"/>
  <c r="B31" i="56"/>
  <c r="B32" i="56"/>
  <c r="B33" i="56"/>
  <c r="B34" i="56"/>
  <c r="B35" i="56"/>
  <c r="B29" i="56"/>
  <c r="D11" i="56"/>
  <c r="M16" i="56"/>
  <c r="C22" i="56" l="1"/>
  <c r="E128" i="53"/>
  <c r="D33" i="56"/>
  <c r="L63" i="53"/>
  <c r="F129" i="53" s="1"/>
  <c r="L62" i="53"/>
  <c r="D29" i="56"/>
  <c r="D31" i="56"/>
  <c r="D34" i="56"/>
  <c r="D35" i="56"/>
  <c r="D32" i="56"/>
  <c r="D30" i="56"/>
  <c r="L62" i="55"/>
  <c r="E10" i="56"/>
  <c r="E9" i="56"/>
  <c r="E8" i="56"/>
  <c r="E7" i="56"/>
  <c r="E6" i="56"/>
  <c r="E5" i="56"/>
  <c r="E4" i="56"/>
  <c r="D130" i="53"/>
  <c r="C80" i="54"/>
  <c r="C79" i="54"/>
  <c r="C78" i="54"/>
  <c r="C77" i="54"/>
  <c r="C76" i="54"/>
  <c r="C75" i="54"/>
  <c r="C74" i="55"/>
  <c r="C73" i="55"/>
  <c r="C72" i="55"/>
  <c r="C71" i="55"/>
  <c r="C70" i="55"/>
  <c r="E29" i="56" l="1"/>
  <c r="E34" i="56"/>
  <c r="E30" i="56"/>
  <c r="E32" i="56"/>
  <c r="E35" i="56"/>
  <c r="E31" i="56"/>
  <c r="E33" i="56"/>
  <c r="E11" i="56"/>
  <c r="C11" i="56"/>
  <c r="D78" i="54"/>
  <c r="C83" i="54"/>
  <c r="F25" i="55"/>
  <c r="C69" i="55"/>
  <c r="C77" i="55" s="1"/>
  <c r="F25" i="54"/>
  <c r="I104" i="53"/>
  <c r="G104" i="53"/>
  <c r="G83" i="53"/>
  <c r="I83" i="53"/>
  <c r="J109" i="53"/>
  <c r="J100" i="53"/>
  <c r="I103" i="53"/>
  <c r="I92" i="53"/>
  <c r="I93" i="53"/>
  <c r="I91" i="53"/>
  <c r="I82" i="53"/>
  <c r="E85" i="53"/>
  <c r="D96" i="53"/>
  <c r="C96" i="53"/>
  <c r="E97" i="53" s="1"/>
  <c r="R18" i="55"/>
  <c r="G31" i="55" l="1"/>
  <c r="G31" i="53" s="1"/>
  <c r="F106" i="53"/>
  <c r="F107" i="53" s="1"/>
  <c r="F108" i="53" s="1"/>
  <c r="P93" i="53"/>
  <c r="G93" i="53"/>
  <c r="Q93" i="53"/>
  <c r="C84" i="53"/>
  <c r="C87" i="53" s="1"/>
  <c r="J83" i="53"/>
  <c r="J86" i="53" s="1"/>
  <c r="J87" i="53" s="1"/>
  <c r="J88" i="53" s="1"/>
  <c r="F85" i="53" s="1"/>
  <c r="F86" i="53" s="1"/>
  <c r="F87" i="53" s="1"/>
  <c r="E86" i="53"/>
  <c r="E87" i="53" s="1"/>
  <c r="D84" i="53"/>
  <c r="D87" i="53" s="1"/>
  <c r="P91" i="53" l="1"/>
  <c r="Q92" i="53"/>
  <c r="C105" i="53"/>
  <c r="T93" i="53"/>
  <c r="Q95" i="53"/>
  <c r="Q98" i="53" s="1"/>
  <c r="J95" i="53"/>
  <c r="H87" i="53"/>
  <c r="E106" i="53" l="1"/>
  <c r="C116" i="53"/>
  <c r="C118" i="53" s="1"/>
  <c r="Q94" i="53"/>
  <c r="D99" i="53"/>
  <c r="J98" i="53"/>
  <c r="C108" i="53"/>
  <c r="G92" i="53"/>
  <c r="P92" i="53"/>
  <c r="G91" i="53"/>
  <c r="E12" i="53"/>
  <c r="E11" i="53"/>
  <c r="U20" i="55"/>
  <c r="Y16" i="53" s="1"/>
  <c r="AA16" i="53" s="1"/>
  <c r="R20" i="53"/>
  <c r="I36" i="54"/>
  <c r="E14" i="53"/>
  <c r="R19" i="53"/>
  <c r="Y27" i="53"/>
  <c r="AA27" i="53" s="1"/>
  <c r="X27" i="53"/>
  <c r="Z27" i="53" s="1"/>
  <c r="Y26" i="53"/>
  <c r="X26" i="53"/>
  <c r="Y25" i="53"/>
  <c r="X25" i="53"/>
  <c r="V25" i="53"/>
  <c r="G96" i="53" l="1"/>
  <c r="P94" i="53"/>
  <c r="T94" i="53" s="1"/>
  <c r="G106" i="53"/>
  <c r="G107" i="53" s="1"/>
  <c r="E107" i="53"/>
  <c r="E108" i="53" s="1"/>
  <c r="P95" i="53"/>
  <c r="T95" i="53" s="1"/>
  <c r="T92" i="53"/>
  <c r="Z25" i="53"/>
  <c r="Y28" i="53"/>
  <c r="X28" i="53"/>
  <c r="F26" i="54"/>
  <c r="M65" i="54"/>
  <c r="C45" i="53"/>
  <c r="C44" i="53"/>
  <c r="F24" i="54"/>
  <c r="F24" i="55"/>
  <c r="C50" i="54"/>
  <c r="E49" i="54" s="1"/>
  <c r="H49" i="53"/>
  <c r="I49" i="53" s="1"/>
  <c r="J49" i="53" s="1"/>
  <c r="H48" i="53"/>
  <c r="I48" i="53" s="1"/>
  <c r="J48" i="53" s="1"/>
  <c r="H47" i="53"/>
  <c r="I47" i="53" s="1"/>
  <c r="J47" i="53" s="1"/>
  <c r="H50" i="54"/>
  <c r="G50" i="54"/>
  <c r="F50" i="54"/>
  <c r="H49" i="54"/>
  <c r="I49" i="54" s="1"/>
  <c r="J49" i="54" s="1"/>
  <c r="H48" i="54"/>
  <c r="I48" i="54" s="1"/>
  <c r="J48" i="54" s="1"/>
  <c r="H47" i="54"/>
  <c r="I47" i="54" s="1"/>
  <c r="J47" i="54" s="1"/>
  <c r="H45" i="53"/>
  <c r="I45" i="53" s="1"/>
  <c r="J45" i="53" s="1"/>
  <c r="H44" i="53"/>
  <c r="G46" i="54"/>
  <c r="F46" i="54"/>
  <c r="C46" i="54"/>
  <c r="H45" i="54"/>
  <c r="I45" i="54" s="1"/>
  <c r="J45" i="54" s="1"/>
  <c r="H44" i="54"/>
  <c r="H46" i="54" s="1"/>
  <c r="G46" i="55"/>
  <c r="F46" i="55"/>
  <c r="G50" i="55"/>
  <c r="F50" i="55"/>
  <c r="C46" i="55"/>
  <c r="H45" i="55"/>
  <c r="I45" i="55" s="1"/>
  <c r="J45" i="55" s="1"/>
  <c r="H44" i="55"/>
  <c r="I44" i="55" s="1"/>
  <c r="J44" i="55" s="1"/>
  <c r="Y56" i="53"/>
  <c r="Y57" i="53"/>
  <c r="T52" i="53"/>
  <c r="U52" i="53" s="1"/>
  <c r="T53" i="53"/>
  <c r="U53" i="53" s="1"/>
  <c r="E44" i="55" l="1"/>
  <c r="E45" i="55"/>
  <c r="C99" i="53"/>
  <c r="P96" i="53"/>
  <c r="P99" i="53" s="1"/>
  <c r="Y29" i="53"/>
  <c r="I50" i="54"/>
  <c r="F46" i="53"/>
  <c r="G46" i="53"/>
  <c r="C46" i="53"/>
  <c r="H46" i="53"/>
  <c r="E47" i="54"/>
  <c r="E48" i="54"/>
  <c r="L47" i="53"/>
  <c r="L48" i="53"/>
  <c r="L49" i="53"/>
  <c r="L48" i="54"/>
  <c r="J50" i="54"/>
  <c r="L47" i="54"/>
  <c r="L49" i="54"/>
  <c r="L45" i="53"/>
  <c r="I44" i="53"/>
  <c r="J44" i="53" s="1"/>
  <c r="I46" i="54"/>
  <c r="L45" i="54"/>
  <c r="I44" i="54"/>
  <c r="J44" i="54" s="1"/>
  <c r="J46" i="55"/>
  <c r="H46" i="55"/>
  <c r="I46" i="55" s="1"/>
  <c r="L44" i="55"/>
  <c r="L45" i="55"/>
  <c r="E46" i="55" l="1"/>
  <c r="E98" i="53"/>
  <c r="E99" i="53" s="1"/>
  <c r="R97" i="53"/>
  <c r="R98" i="53" s="1"/>
  <c r="R99" i="53" s="1"/>
  <c r="I46" i="53"/>
  <c r="L46" i="55"/>
  <c r="E34" i="55"/>
  <c r="E50" i="54"/>
  <c r="L50" i="54"/>
  <c r="J46" i="53"/>
  <c r="L44" i="53"/>
  <c r="L44" i="54"/>
  <c r="J46" i="54"/>
  <c r="Y19" i="53"/>
  <c r="AA19" i="53" s="1"/>
  <c r="Y18" i="53"/>
  <c r="Y17" i="53"/>
  <c r="Y15" i="53"/>
  <c r="X19" i="53"/>
  <c r="Z19" i="53" s="1"/>
  <c r="X18" i="53"/>
  <c r="X17" i="53"/>
  <c r="X15" i="53"/>
  <c r="W18" i="53"/>
  <c r="V18" i="53"/>
  <c r="V17" i="53"/>
  <c r="V15" i="53"/>
  <c r="V20" i="53" s="1"/>
  <c r="R21" i="53"/>
  <c r="L46" i="53" l="1"/>
  <c r="L46" i="54"/>
  <c r="E34" i="54"/>
  <c r="Z18" i="53"/>
  <c r="Z17" i="53"/>
  <c r="AA18" i="53"/>
  <c r="Z15" i="53"/>
  <c r="X20" i="53"/>
  <c r="Y20" i="53"/>
  <c r="G72" i="54" l="1"/>
  <c r="F68" i="55" s="1"/>
  <c r="E34" i="53"/>
  <c r="Y21" i="53"/>
  <c r="Z20" i="53"/>
  <c r="Q18" i="53"/>
  <c r="W12" i="53"/>
  <c r="Y30" i="53" l="1"/>
  <c r="C50" i="55"/>
  <c r="C49" i="53"/>
  <c r="H49" i="55"/>
  <c r="I49" i="55" s="1"/>
  <c r="J49" i="55" s="1"/>
  <c r="L49" i="55" s="1"/>
  <c r="E47" i="55" l="1"/>
  <c r="E49" i="55"/>
  <c r="E48" i="55"/>
  <c r="E13" i="53"/>
  <c r="F71" i="54" s="1"/>
  <c r="F72" i="54" s="1"/>
  <c r="U67" i="53" l="1"/>
  <c r="E50" i="55"/>
  <c r="C64" i="55"/>
  <c r="C65" i="55" s="1"/>
  <c r="G11" i="53"/>
  <c r="R18" i="53"/>
  <c r="R17" i="53"/>
  <c r="R15" i="53"/>
  <c r="R14" i="53"/>
  <c r="R13" i="53"/>
  <c r="R8" i="53"/>
  <c r="C59" i="53"/>
  <c r="C125" i="53" s="1"/>
  <c r="C19" i="56" s="1"/>
  <c r="C58" i="53"/>
  <c r="C124" i="53" s="1"/>
  <c r="C18" i="56" s="1"/>
  <c r="C55" i="53"/>
  <c r="C123" i="53" s="1"/>
  <c r="C17" i="56" s="1"/>
  <c r="C54" i="53"/>
  <c r="C122" i="53" s="1"/>
  <c r="C16" i="56" s="1"/>
  <c r="C48" i="53"/>
  <c r="C47" i="53"/>
  <c r="E16" i="56" l="1"/>
  <c r="E125" i="53"/>
  <c r="E19" i="56"/>
  <c r="E124" i="53"/>
  <c r="E18" i="56"/>
  <c r="E123" i="53"/>
  <c r="E122" i="53"/>
  <c r="F25" i="53"/>
  <c r="F97" i="53"/>
  <c r="F98" i="53" s="1"/>
  <c r="L88" i="53"/>
  <c r="F24" i="53"/>
  <c r="G50" i="53"/>
  <c r="F50" i="53"/>
  <c r="J50" i="53"/>
  <c r="L50" i="53" s="1"/>
  <c r="H50" i="53"/>
  <c r="C50" i="53"/>
  <c r="F29" i="56" l="1"/>
  <c r="F32" i="56"/>
  <c r="G32" i="56" s="1"/>
  <c r="F31" i="56"/>
  <c r="G31" i="56" s="1"/>
  <c r="E17" i="56"/>
  <c r="G97" i="53"/>
  <c r="G98" i="53" s="1"/>
  <c r="G99" i="53" s="1"/>
  <c r="F99" i="53"/>
  <c r="H99" i="53" s="1"/>
  <c r="S97" i="53"/>
  <c r="I50" i="53"/>
  <c r="E49" i="53"/>
  <c r="E47" i="53"/>
  <c r="E48" i="53"/>
  <c r="E31" i="55"/>
  <c r="P65" i="55" s="1"/>
  <c r="Q17" i="55"/>
  <c r="Q13" i="55"/>
  <c r="Q15" i="55"/>
  <c r="F26" i="55"/>
  <c r="C61" i="53"/>
  <c r="C127" i="53" s="1"/>
  <c r="C21" i="56" s="1"/>
  <c r="C60" i="53"/>
  <c r="C126" i="53" s="1"/>
  <c r="C20" i="56" s="1"/>
  <c r="G28" i="54"/>
  <c r="G28" i="55"/>
  <c r="C129" i="53"/>
  <c r="C23" i="56" s="1"/>
  <c r="C24" i="56" l="1"/>
  <c r="G29" i="56"/>
  <c r="E129" i="53"/>
  <c r="E22" i="56"/>
  <c r="E127" i="53"/>
  <c r="E21" i="56"/>
  <c r="E126" i="53"/>
  <c r="C130" i="53"/>
  <c r="E23" i="56" s="1"/>
  <c r="F30" i="56"/>
  <c r="R23" i="55"/>
  <c r="S98" i="53"/>
  <c r="S99" i="53" s="1"/>
  <c r="T97" i="53"/>
  <c r="T98" i="53" s="1"/>
  <c r="G85" i="53"/>
  <c r="G86" i="53" s="1"/>
  <c r="R23" i="54" s="1"/>
  <c r="G82" i="53"/>
  <c r="G84" i="53" s="1"/>
  <c r="R22" i="54" s="1"/>
  <c r="G27" i="54" s="1"/>
  <c r="G29" i="54" s="1"/>
  <c r="F26" i="53"/>
  <c r="E27" i="53" s="1"/>
  <c r="Q13" i="53"/>
  <c r="W25" i="53"/>
  <c r="Q15" i="53"/>
  <c r="W15" i="53"/>
  <c r="Q17" i="53"/>
  <c r="W17" i="53"/>
  <c r="AA17" i="53" s="1"/>
  <c r="E50" i="53"/>
  <c r="G28" i="53"/>
  <c r="C64" i="54"/>
  <c r="C65" i="54" s="1"/>
  <c r="H23" i="56" l="1"/>
  <c r="F36" i="56"/>
  <c r="G36" i="56" s="1"/>
  <c r="E130" i="53"/>
  <c r="F35" i="56"/>
  <c r="G35" i="56" s="1"/>
  <c r="F34" i="56"/>
  <c r="G34" i="56" s="1"/>
  <c r="E20" i="56"/>
  <c r="E24" i="56" s="1"/>
  <c r="G30" i="56"/>
  <c r="L83" i="53"/>
  <c r="R23" i="53"/>
  <c r="G87" i="53"/>
  <c r="AA25" i="53"/>
  <c r="N65" i="54"/>
  <c r="O65" i="54" s="1"/>
  <c r="C68" i="53" a="1"/>
  <c r="C68" i="53" s="1"/>
  <c r="AA15" i="53"/>
  <c r="AA20" i="53" s="1"/>
  <c r="AA21" i="53" s="1"/>
  <c r="W20" i="53"/>
  <c r="W21" i="53" s="1"/>
  <c r="C64" i="53"/>
  <c r="C65" i="53" s="1"/>
  <c r="N65" i="53" s="1"/>
  <c r="R24" i="53"/>
  <c r="M65" i="53" s="1"/>
  <c r="R16" i="53"/>
  <c r="F33" i="56" l="1"/>
  <c r="F37" i="56" s="1"/>
  <c r="O65" i="53"/>
  <c r="Y48" i="53"/>
  <c r="H60" i="53"/>
  <c r="G33" i="56" l="1"/>
  <c r="G37" i="56" s="1"/>
  <c r="R10" i="54"/>
  <c r="R10" i="55"/>
  <c r="R10" i="53" l="1"/>
  <c r="M65" i="55"/>
  <c r="G64" i="55"/>
  <c r="G65" i="55" s="1"/>
  <c r="F64" i="55"/>
  <c r="F65" i="55" s="1"/>
  <c r="H63" i="55"/>
  <c r="I63" i="55" s="1"/>
  <c r="J63" i="55" s="1"/>
  <c r="H61" i="55"/>
  <c r="I61" i="55" s="1"/>
  <c r="J61" i="55" s="1"/>
  <c r="H60" i="55"/>
  <c r="I60" i="55" s="1"/>
  <c r="J60" i="55" s="1"/>
  <c r="H59" i="55"/>
  <c r="I59" i="55" s="1"/>
  <c r="J59" i="55" s="1"/>
  <c r="H58" i="55"/>
  <c r="I58" i="55" s="1"/>
  <c r="J58" i="55" s="1"/>
  <c r="H57" i="55"/>
  <c r="H56" i="55"/>
  <c r="H55" i="55"/>
  <c r="I55" i="55" s="1"/>
  <c r="J55" i="55" s="1"/>
  <c r="H54" i="55"/>
  <c r="I54" i="55" s="1"/>
  <c r="J54" i="55" s="1"/>
  <c r="H51" i="55"/>
  <c r="H48" i="55"/>
  <c r="I48" i="55" s="1"/>
  <c r="J48" i="55" s="1"/>
  <c r="H47" i="55"/>
  <c r="T13" i="55"/>
  <c r="G64" i="54"/>
  <c r="G65" i="54" s="1"/>
  <c r="F64" i="54"/>
  <c r="F65" i="54" s="1"/>
  <c r="D63" i="54"/>
  <c r="H63" i="54"/>
  <c r="I63" i="54" s="1"/>
  <c r="J63" i="54" s="1"/>
  <c r="H62" i="54"/>
  <c r="I62" i="54" s="1"/>
  <c r="J62" i="54" s="1"/>
  <c r="H61" i="54"/>
  <c r="I61" i="54" s="1"/>
  <c r="J61" i="54" s="1"/>
  <c r="H60" i="54"/>
  <c r="I60" i="54" s="1"/>
  <c r="J60" i="54" s="1"/>
  <c r="H59" i="54"/>
  <c r="I59" i="54" s="1"/>
  <c r="J59" i="54" s="1"/>
  <c r="H58" i="54"/>
  <c r="I58" i="54" s="1"/>
  <c r="J58" i="54" s="1"/>
  <c r="H57" i="54"/>
  <c r="H56" i="54"/>
  <c r="H55" i="54"/>
  <c r="I55" i="54" s="1"/>
  <c r="J55" i="54" s="1"/>
  <c r="H54" i="54"/>
  <c r="I54" i="54" s="1"/>
  <c r="J54" i="54" s="1"/>
  <c r="H51" i="54"/>
  <c r="E27" i="54"/>
  <c r="T13" i="54"/>
  <c r="T13" i="53"/>
  <c r="P62" i="55" l="1"/>
  <c r="M62" i="55"/>
  <c r="A54" i="54"/>
  <c r="A59" i="55"/>
  <c r="I47" i="55"/>
  <c r="J47" i="55" s="1"/>
  <c r="J50" i="55" s="1"/>
  <c r="I71" i="54" s="1" a="1"/>
  <c r="I71" i="54" s="1"/>
  <c r="H50" i="55"/>
  <c r="G13" i="54"/>
  <c r="E27" i="55"/>
  <c r="L58" i="55"/>
  <c r="L60" i="55"/>
  <c r="L61" i="55"/>
  <c r="L54" i="55"/>
  <c r="L63" i="55"/>
  <c r="L59" i="55"/>
  <c r="L55" i="55"/>
  <c r="L47" i="55"/>
  <c r="L48" i="55"/>
  <c r="I51" i="55"/>
  <c r="I27" i="54"/>
  <c r="L58" i="54"/>
  <c r="L59" i="54"/>
  <c r="L61" i="54"/>
  <c r="L63" i="54"/>
  <c r="L55" i="54"/>
  <c r="L60" i="54"/>
  <c r="L62" i="54"/>
  <c r="L54" i="54"/>
  <c r="D51" i="54"/>
  <c r="D62" i="54"/>
  <c r="I51" i="54"/>
  <c r="G13" i="53"/>
  <c r="H61" i="53"/>
  <c r="H59" i="53"/>
  <c r="H58" i="53"/>
  <c r="H55" i="53"/>
  <c r="H54" i="53"/>
  <c r="H51" i="53"/>
  <c r="M48" i="54" l="1"/>
  <c r="M49" i="54"/>
  <c r="M47" i="54"/>
  <c r="M45" i="54"/>
  <c r="M44" i="54"/>
  <c r="M44" i="55"/>
  <c r="M45" i="55"/>
  <c r="H52" i="55"/>
  <c r="I52" i="55" s="1"/>
  <c r="J52" i="55" s="1"/>
  <c r="L52" i="55" s="1"/>
  <c r="M49" i="55"/>
  <c r="Q14" i="54"/>
  <c r="V26" i="53" s="1"/>
  <c r="E36" i="54"/>
  <c r="E35" i="54"/>
  <c r="E31" i="54"/>
  <c r="P65" i="54" s="1"/>
  <c r="E17" i="54" s="1"/>
  <c r="Q10" i="55"/>
  <c r="H52" i="54"/>
  <c r="I52" i="54" s="1"/>
  <c r="J52" i="54" s="1"/>
  <c r="L52" i="54" s="1"/>
  <c r="E36" i="55"/>
  <c r="E33" i="54"/>
  <c r="G33" i="54" s="1"/>
  <c r="T10" i="55"/>
  <c r="T11" i="55" s="1"/>
  <c r="Q10" i="54"/>
  <c r="A60" i="54"/>
  <c r="T14" i="54"/>
  <c r="T10" i="54"/>
  <c r="T11" i="54" s="1"/>
  <c r="M59" i="55"/>
  <c r="T14" i="55"/>
  <c r="M47" i="55"/>
  <c r="M53" i="55"/>
  <c r="M51" i="55"/>
  <c r="N65" i="55"/>
  <c r="N62" i="55" s="1"/>
  <c r="O62" i="55" s="1"/>
  <c r="R62" i="55" s="1"/>
  <c r="M60" i="55"/>
  <c r="Q8" i="55"/>
  <c r="M48" i="55"/>
  <c r="M54" i="55"/>
  <c r="M52" i="55"/>
  <c r="Q14" i="55"/>
  <c r="W26" i="53" s="1"/>
  <c r="M63" i="55"/>
  <c r="M55" i="55"/>
  <c r="M58" i="55"/>
  <c r="M61" i="55"/>
  <c r="H53" i="55"/>
  <c r="I53" i="55" s="1"/>
  <c r="J53" i="55" s="1"/>
  <c r="L53" i="55" s="1"/>
  <c r="J51" i="55"/>
  <c r="L50" i="55"/>
  <c r="Q8" i="54"/>
  <c r="N48" i="54"/>
  <c r="M55" i="54"/>
  <c r="M58" i="54"/>
  <c r="M60" i="54"/>
  <c r="H53" i="54"/>
  <c r="I53" i="54" s="1"/>
  <c r="J53" i="54" s="1"/>
  <c r="L53" i="54" s="1"/>
  <c r="M51" i="54"/>
  <c r="M52" i="54"/>
  <c r="M62" i="54"/>
  <c r="M61" i="54"/>
  <c r="M53" i="54"/>
  <c r="M59" i="54"/>
  <c r="M54" i="54"/>
  <c r="M63" i="54"/>
  <c r="J51" i="54"/>
  <c r="I59" i="53"/>
  <c r="J59" i="53" s="1"/>
  <c r="L59" i="53" s="1"/>
  <c r="F125" i="53" s="1"/>
  <c r="F7" i="56" s="1"/>
  <c r="I58" i="53"/>
  <c r="J58" i="53" s="1"/>
  <c r="L58" i="53" s="1"/>
  <c r="F124" i="53" s="1"/>
  <c r="F6" i="56" s="1"/>
  <c r="D51" i="53"/>
  <c r="F18" i="56" l="1"/>
  <c r="H18" i="56" s="1"/>
  <c r="H6" i="56"/>
  <c r="F19" i="56"/>
  <c r="H19" i="56" s="1"/>
  <c r="H7" i="56"/>
  <c r="N45" i="55"/>
  <c r="O45" i="55" s="1"/>
  <c r="E17" i="55"/>
  <c r="AA26" i="53"/>
  <c r="AA28" i="53" s="1"/>
  <c r="W28" i="53"/>
  <c r="V28" i="53"/>
  <c r="Z26" i="53"/>
  <c r="Z28" i="53" s="1"/>
  <c r="P47" i="54"/>
  <c r="N44" i="54"/>
  <c r="O44" i="54" s="1"/>
  <c r="N45" i="54"/>
  <c r="N49" i="54"/>
  <c r="O49" i="54" s="1"/>
  <c r="N47" i="54"/>
  <c r="M50" i="55"/>
  <c r="M50" i="54"/>
  <c r="O48" i="54"/>
  <c r="M46" i="54"/>
  <c r="N44" i="55"/>
  <c r="M46" i="55"/>
  <c r="N49" i="55"/>
  <c r="O49" i="55" s="1"/>
  <c r="Q8" i="53"/>
  <c r="Q10" i="53"/>
  <c r="V23" i="53" s="1"/>
  <c r="Q14" i="53"/>
  <c r="I31" i="54"/>
  <c r="E28" i="54"/>
  <c r="H64" i="54"/>
  <c r="H65" i="54" s="1"/>
  <c r="N56" i="54"/>
  <c r="H64" i="55"/>
  <c r="H65" i="55" s="1"/>
  <c r="I64" i="54"/>
  <c r="I65" i="54" s="1"/>
  <c r="J65" i="54" s="1"/>
  <c r="N58" i="55"/>
  <c r="O58" i="55" s="1"/>
  <c r="N60" i="55"/>
  <c r="O60" i="55" s="1"/>
  <c r="N55" i="55"/>
  <c r="O55" i="55" s="1"/>
  <c r="N51" i="55"/>
  <c r="O51" i="55" s="1"/>
  <c r="N54" i="55"/>
  <c r="O54" i="55" s="1"/>
  <c r="N63" i="55"/>
  <c r="O63" i="55" s="1"/>
  <c r="N48" i="55"/>
  <c r="O48" i="55" s="1"/>
  <c r="N53" i="55"/>
  <c r="O53" i="55" s="1"/>
  <c r="N57" i="55"/>
  <c r="N61" i="55"/>
  <c r="O61" i="55" s="1"/>
  <c r="N47" i="55"/>
  <c r="M64" i="55"/>
  <c r="N59" i="55"/>
  <c r="O59" i="55" s="1"/>
  <c r="N56" i="55"/>
  <c r="O65" i="55"/>
  <c r="N52" i="55"/>
  <c r="O52" i="55" s="1"/>
  <c r="I31" i="55"/>
  <c r="E28" i="55"/>
  <c r="I64" i="55"/>
  <c r="J64" i="55"/>
  <c r="L51" i="55"/>
  <c r="N58" i="54"/>
  <c r="O58" i="54" s="1"/>
  <c r="N57" i="54"/>
  <c r="N62" i="54"/>
  <c r="O62" i="54" s="1"/>
  <c r="N52" i="54"/>
  <c r="O52" i="54" s="1"/>
  <c r="N59" i="54"/>
  <c r="O59" i="54" s="1"/>
  <c r="N60" i="54"/>
  <c r="O60" i="54" s="1"/>
  <c r="N61" i="54"/>
  <c r="O61" i="54" s="1"/>
  <c r="N54" i="54"/>
  <c r="O54" i="54" s="1"/>
  <c r="N63" i="54"/>
  <c r="O63" i="54" s="1"/>
  <c r="N55" i="54"/>
  <c r="O55" i="54" s="1"/>
  <c r="N53" i="54"/>
  <c r="O53" i="54" s="1"/>
  <c r="N51" i="54"/>
  <c r="M64" i="54"/>
  <c r="J64" i="54"/>
  <c r="J66" i="54" s="1"/>
  <c r="L51" i="54"/>
  <c r="I55" i="53"/>
  <c r="J55" i="53" s="1"/>
  <c r="H56" i="53"/>
  <c r="H57" i="53"/>
  <c r="I60" i="53"/>
  <c r="J60" i="53" s="1"/>
  <c r="I61" i="53"/>
  <c r="J61" i="53" s="1"/>
  <c r="I54" i="53"/>
  <c r="J54" i="53" s="1"/>
  <c r="G64" i="53"/>
  <c r="G65" i="53" s="1"/>
  <c r="F64" i="53"/>
  <c r="F65" i="53" s="1"/>
  <c r="M63" i="53" l="1"/>
  <c r="N63" i="53"/>
  <c r="N62" i="53"/>
  <c r="M62" i="53"/>
  <c r="J67" i="54"/>
  <c r="T65" i="54"/>
  <c r="N46" i="55"/>
  <c r="O46" i="55" s="1"/>
  <c r="W29" i="53"/>
  <c r="W30" i="53" s="1"/>
  <c r="AA29" i="53"/>
  <c r="AA30" i="53" s="1"/>
  <c r="V12" i="53"/>
  <c r="V34" i="53"/>
  <c r="N50" i="54"/>
  <c r="O50" i="54" s="1"/>
  <c r="P49" i="54"/>
  <c r="N46" i="54"/>
  <c r="O46" i="54" s="1"/>
  <c r="P48" i="54"/>
  <c r="R48" i="54" s="1"/>
  <c r="P44" i="54"/>
  <c r="R44" i="54" s="1"/>
  <c r="P45" i="54"/>
  <c r="L65" i="54"/>
  <c r="R65" i="54"/>
  <c r="O47" i="54"/>
  <c r="R47" i="54" s="1"/>
  <c r="O45" i="54"/>
  <c r="O44" i="55"/>
  <c r="O47" i="55"/>
  <c r="N50" i="55"/>
  <c r="O50" i="55" s="1"/>
  <c r="P45" i="55"/>
  <c r="R45" i="55" s="1"/>
  <c r="P44" i="55"/>
  <c r="G17" i="55"/>
  <c r="P69" i="53" a="1"/>
  <c r="P69" i="53" s="1"/>
  <c r="E29" i="54"/>
  <c r="E28" i="53"/>
  <c r="P49" i="55"/>
  <c r="R49" i="55" s="1"/>
  <c r="P58" i="54"/>
  <c r="R58" i="54" s="1"/>
  <c r="P68" i="53" a="1"/>
  <c r="P68" i="53" s="1"/>
  <c r="N64" i="54"/>
  <c r="G17" i="54"/>
  <c r="E16" i="54"/>
  <c r="I50" i="55"/>
  <c r="I65" i="55" s="1"/>
  <c r="N64" i="55"/>
  <c r="O64" i="55"/>
  <c r="I28" i="55"/>
  <c r="E29" i="55"/>
  <c r="P48" i="55"/>
  <c r="R48" i="55" s="1"/>
  <c r="P47" i="55"/>
  <c r="P53" i="55"/>
  <c r="R53" i="55" s="1"/>
  <c r="P60" i="55"/>
  <c r="R60" i="55" s="1"/>
  <c r="P51" i="55"/>
  <c r="P58" i="55"/>
  <c r="R58" i="55" s="1"/>
  <c r="P63" i="55"/>
  <c r="R63" i="55" s="1"/>
  <c r="P52" i="55"/>
  <c r="R52" i="55" s="1"/>
  <c r="P59" i="55"/>
  <c r="R59" i="55" s="1"/>
  <c r="P54" i="55"/>
  <c r="R54" i="55" s="1"/>
  <c r="P55" i="55"/>
  <c r="R55" i="55" s="1"/>
  <c r="P61" i="55"/>
  <c r="R61" i="55" s="1"/>
  <c r="L64" i="55"/>
  <c r="P55" i="54"/>
  <c r="R55" i="54" s="1"/>
  <c r="P54" i="54"/>
  <c r="R54" i="54" s="1"/>
  <c r="P59" i="54"/>
  <c r="R59" i="54" s="1"/>
  <c r="P61" i="54"/>
  <c r="R61" i="54" s="1"/>
  <c r="P53" i="54"/>
  <c r="R53" i="54" s="1"/>
  <c r="P51" i="54"/>
  <c r="P67" i="54"/>
  <c r="I28" i="54"/>
  <c r="P62" i="54"/>
  <c r="R62" i="54" s="1"/>
  <c r="P60" i="54"/>
  <c r="R60" i="54" s="1"/>
  <c r="P63" i="54"/>
  <c r="R63" i="54" s="1"/>
  <c r="P52" i="54"/>
  <c r="R52" i="54" s="1"/>
  <c r="O51" i="54"/>
  <c r="O64" i="54" s="1"/>
  <c r="L64" i="54"/>
  <c r="L54" i="53"/>
  <c r="F122" i="53" s="1"/>
  <c r="F4" i="56" s="1"/>
  <c r="L55" i="53"/>
  <c r="F123" i="53" s="1"/>
  <c r="F5" i="56" s="1"/>
  <c r="L61" i="53"/>
  <c r="F127" i="53" s="1"/>
  <c r="F9" i="56" s="1"/>
  <c r="L60" i="53"/>
  <c r="F126" i="53" s="1"/>
  <c r="F8" i="56" s="1"/>
  <c r="O63" i="53" l="1"/>
  <c r="O62" i="53"/>
  <c r="F21" i="56"/>
  <c r="H21" i="56" s="1"/>
  <c r="H9" i="56"/>
  <c r="F20" i="56"/>
  <c r="H20" i="56" s="1"/>
  <c r="H8" i="56"/>
  <c r="F22" i="56"/>
  <c r="H22" i="56" s="1"/>
  <c r="H10" i="56"/>
  <c r="F16" i="56"/>
  <c r="H16" i="56" s="1"/>
  <c r="H4" i="56"/>
  <c r="F17" i="56"/>
  <c r="H17" i="56" s="1"/>
  <c r="H5" i="56"/>
  <c r="V32" i="53"/>
  <c r="R45" i="54"/>
  <c r="P46" i="54"/>
  <c r="R46" i="54" s="1"/>
  <c r="P50" i="54"/>
  <c r="R50" i="54" s="1"/>
  <c r="R49" i="54"/>
  <c r="J65" i="55"/>
  <c r="M48" i="53"/>
  <c r="M47" i="53"/>
  <c r="M49" i="53"/>
  <c r="M45" i="53"/>
  <c r="M44" i="53"/>
  <c r="R47" i="55"/>
  <c r="P50" i="55"/>
  <c r="R50" i="55" s="1"/>
  <c r="P46" i="55"/>
  <c r="R46" i="55" s="1"/>
  <c r="R44" i="55"/>
  <c r="Y43" i="53"/>
  <c r="T66" i="53"/>
  <c r="P71" i="53"/>
  <c r="M60" i="53"/>
  <c r="M58" i="53"/>
  <c r="P64" i="54"/>
  <c r="R64" i="54" s="1"/>
  <c r="J68" i="54"/>
  <c r="E15" i="54" s="1"/>
  <c r="E19" i="54"/>
  <c r="E20" i="54" s="1"/>
  <c r="A14" i="54" s="1"/>
  <c r="A55" i="54" s="1"/>
  <c r="P64" i="55"/>
  <c r="R64" i="55" s="1"/>
  <c r="R51" i="55"/>
  <c r="J31" i="55"/>
  <c r="J31" i="54"/>
  <c r="J28" i="54" s="1"/>
  <c r="R51" i="54"/>
  <c r="M59" i="53"/>
  <c r="M61" i="53"/>
  <c r="M51" i="53"/>
  <c r="M54" i="53"/>
  <c r="M53" i="53"/>
  <c r="M55" i="53"/>
  <c r="M52" i="53"/>
  <c r="E33" i="53"/>
  <c r="G33" i="53" s="1"/>
  <c r="H24" i="56" l="1"/>
  <c r="H11" i="56"/>
  <c r="J67" i="55"/>
  <c r="T65" i="55"/>
  <c r="T50" i="53"/>
  <c r="L65" i="55"/>
  <c r="R65" i="55"/>
  <c r="M50" i="53"/>
  <c r="M46" i="53"/>
  <c r="T61" i="53"/>
  <c r="U61" i="53" s="1"/>
  <c r="T62" i="53"/>
  <c r="U62" i="53" s="1"/>
  <c r="T55" i="53"/>
  <c r="U55" i="53" s="1"/>
  <c r="T49" i="53"/>
  <c r="U49" i="53" s="1"/>
  <c r="T63" i="53"/>
  <c r="T54" i="53"/>
  <c r="U54" i="53" s="1"/>
  <c r="T48" i="53"/>
  <c r="U48" i="53" s="1"/>
  <c r="T56" i="53"/>
  <c r="U56" i="53" s="1"/>
  <c r="T57" i="53"/>
  <c r="U57" i="53" s="1"/>
  <c r="T58" i="53"/>
  <c r="U58" i="53" s="1"/>
  <c r="T47" i="53"/>
  <c r="U47" i="53" s="1"/>
  <c r="T59" i="53"/>
  <c r="U59" i="53" s="1"/>
  <c r="T60" i="53"/>
  <c r="U60" i="53" s="1"/>
  <c r="C72" i="53"/>
  <c r="C73" i="53" s="1"/>
  <c r="E73" i="53" s="1"/>
  <c r="E75" i="53" s="1"/>
  <c r="F68" i="54"/>
  <c r="F69" i="54" s="1"/>
  <c r="M64" i="53"/>
  <c r="E31" i="53"/>
  <c r="P65" i="53" s="1"/>
  <c r="G16" i="54"/>
  <c r="E18" i="54"/>
  <c r="G18" i="54" s="1"/>
  <c r="J28" i="55"/>
  <c r="T14" i="53"/>
  <c r="T10" i="53"/>
  <c r="T11" i="53" s="1"/>
  <c r="I51" i="53"/>
  <c r="J51" i="53" s="1"/>
  <c r="P62" i="53" l="1"/>
  <c r="R62" i="53" s="1"/>
  <c r="P63" i="53"/>
  <c r="R63" i="53" s="1"/>
  <c r="H25" i="56"/>
  <c r="P49" i="53"/>
  <c r="E17" i="53"/>
  <c r="G17" i="53" s="1"/>
  <c r="P57" i="53"/>
  <c r="P55" i="53"/>
  <c r="P54" i="53"/>
  <c r="P60" i="53"/>
  <c r="P48" i="53"/>
  <c r="P47" i="53"/>
  <c r="P61" i="53"/>
  <c r="P58" i="53"/>
  <c r="P44" i="53"/>
  <c r="P56" i="53"/>
  <c r="P45" i="53"/>
  <c r="P59" i="53"/>
  <c r="N48" i="53"/>
  <c r="O48" i="53" s="1"/>
  <c r="N47" i="53"/>
  <c r="N49" i="53"/>
  <c r="O49" i="53" s="1"/>
  <c r="N45" i="53"/>
  <c r="O45" i="53" s="1"/>
  <c r="N44" i="53"/>
  <c r="T51" i="53"/>
  <c r="U51" i="53" s="1"/>
  <c r="U63" i="53"/>
  <c r="E33" i="55"/>
  <c r="G33" i="55" s="1"/>
  <c r="G13" i="55"/>
  <c r="E35" i="55"/>
  <c r="P67" i="55"/>
  <c r="E15" i="55"/>
  <c r="E36" i="53"/>
  <c r="E35" i="53"/>
  <c r="N60" i="53"/>
  <c r="O60" i="53" s="1"/>
  <c r="N52" i="53"/>
  <c r="O52" i="53" s="1"/>
  <c r="N59" i="53"/>
  <c r="O59" i="53" s="1"/>
  <c r="N61" i="53"/>
  <c r="O61" i="53" s="1"/>
  <c r="N54" i="53"/>
  <c r="O54" i="53" s="1"/>
  <c r="N55" i="53"/>
  <c r="O55" i="53" s="1"/>
  <c r="N56" i="53"/>
  <c r="N53" i="53"/>
  <c r="O53" i="53" s="1"/>
  <c r="I31" i="53"/>
  <c r="N57" i="53"/>
  <c r="N58" i="53"/>
  <c r="O58" i="53" s="1"/>
  <c r="N51" i="53"/>
  <c r="L51" i="53"/>
  <c r="P50" i="53" l="1"/>
  <c r="R49" i="53"/>
  <c r="R60" i="53"/>
  <c r="P46" i="53"/>
  <c r="R48" i="53"/>
  <c r="R45" i="53"/>
  <c r="N50" i="53"/>
  <c r="O50" i="53" s="1"/>
  <c r="O47" i="53"/>
  <c r="R47" i="53" s="1"/>
  <c r="N46" i="53"/>
  <c r="O46" i="53" s="1"/>
  <c r="O44" i="53"/>
  <c r="R44" i="53" s="1"/>
  <c r="U66" i="53"/>
  <c r="O51" i="53"/>
  <c r="O64" i="53" s="1"/>
  <c r="N64" i="53"/>
  <c r="I28" i="53"/>
  <c r="E29" i="53"/>
  <c r="R59" i="53"/>
  <c r="R58" i="53"/>
  <c r="R61" i="53"/>
  <c r="R54" i="53"/>
  <c r="R55" i="53"/>
  <c r="R50" i="53" l="1"/>
  <c r="R46" i="53"/>
  <c r="J31" i="53"/>
  <c r="J28" i="53" s="1"/>
  <c r="H53" i="53"/>
  <c r="I53" i="53" s="1"/>
  <c r="J53" i="53" s="1"/>
  <c r="H52" i="53"/>
  <c r="I52" i="53" s="1"/>
  <c r="H64" i="53" l="1"/>
  <c r="H65" i="53" s="1"/>
  <c r="I64" i="53"/>
  <c r="I65" i="53" s="1"/>
  <c r="J65" i="53" s="1"/>
  <c r="J68" i="53" s="1"/>
  <c r="J52" i="53"/>
  <c r="L53" i="53"/>
  <c r="R65" i="53" l="1"/>
  <c r="L65" i="53"/>
  <c r="L52" i="53"/>
  <c r="J64" i="53"/>
  <c r="E15" i="53" l="1"/>
  <c r="L64" i="53"/>
  <c r="P51" i="53"/>
  <c r="P53" i="53"/>
  <c r="P52" i="53"/>
  <c r="R52" i="53" s="1"/>
  <c r="P67" i="53"/>
  <c r="R51" i="53" l="1"/>
  <c r="P64" i="53"/>
  <c r="R64" i="53" s="1"/>
  <c r="R53" i="53"/>
  <c r="P66" i="53" l="1"/>
  <c r="G103" i="53"/>
  <c r="G105" i="53" s="1"/>
  <c r="R22" i="55" s="1"/>
  <c r="R22" i="53" s="1"/>
  <c r="D105" i="53"/>
  <c r="D108" i="53" s="1"/>
  <c r="H108" i="53" s="1"/>
  <c r="J104" i="53"/>
  <c r="Q91" i="53"/>
  <c r="J107" i="53" l="1"/>
  <c r="L104" i="53"/>
  <c r="L105" i="53" s="1"/>
  <c r="G27" i="53"/>
  <c r="R67" i="53"/>
  <c r="L95" i="53"/>
  <c r="G27" i="55"/>
  <c r="E16" i="55"/>
  <c r="Q96" i="53"/>
  <c r="T96" i="53" s="1"/>
  <c r="T99" i="53" s="1"/>
  <c r="T91" i="53"/>
  <c r="M95" i="53"/>
  <c r="G108" i="53"/>
  <c r="L96" i="53"/>
  <c r="M96" i="53" l="1"/>
  <c r="M97" i="53" s="1"/>
  <c r="E19" i="55"/>
  <c r="E20" i="55" s="1"/>
  <c r="G16" i="55"/>
  <c r="E18" i="55"/>
  <c r="G18" i="55" s="1"/>
  <c r="E68" i="53"/>
  <c r="G29" i="55"/>
  <c r="I27" i="55"/>
  <c r="Y47" i="53"/>
  <c r="Y49" i="53" s="1"/>
  <c r="E16" i="53"/>
  <c r="Q99" i="53"/>
  <c r="I36" i="55" l="1"/>
  <c r="E68" i="55" s="1"/>
  <c r="E69" i="55" s="1"/>
  <c r="A20" i="55"/>
  <c r="A60" i="55" s="1"/>
  <c r="E18" i="53"/>
  <c r="E69" i="53"/>
  <c r="E19" i="53"/>
  <c r="E20" i="53" s="1"/>
  <c r="G16" i="53"/>
  <c r="G29" i="53"/>
  <c r="I27" i="53"/>
  <c r="Z48" i="53"/>
  <c r="Z43" i="53"/>
  <c r="Z47" i="53"/>
  <c r="G18" i="53" l="1"/>
  <c r="R68" i="53"/>
  <c r="AA43" i="53"/>
  <c r="Z49" i="53"/>
  <c r="Y54" i="53" l="1"/>
  <c r="Z54" i="53" s="1"/>
  <c r="Y58" i="53"/>
  <c r="Y55" i="53"/>
  <c r="Z55" i="53" s="1"/>
  <c r="Y60" i="53"/>
  <c r="Z60" i="53" s="1"/>
  <c r="Y59" i="53"/>
  <c r="Z59" i="53" s="1"/>
  <c r="Y61" i="53"/>
  <c r="Z61" i="53" s="1"/>
  <c r="Y63" i="53"/>
  <c r="Z63" i="53" s="1"/>
  <c r="Y62" i="53" l="1"/>
  <c r="Z58" i="53"/>
  <c r="Z66" i="5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<sst xmlns="http://schemas.openxmlformats.org/spreadsheetml/2006/main" count="672" uniqueCount="240">
  <si>
    <t>기타공용</t>
  </si>
  <si>
    <t xml:space="preserve">■부대시설 및 복리시설 </t>
  </si>
  <si>
    <t>구분</t>
  </si>
  <si>
    <t>법적기준 및 설치기준</t>
  </si>
  <si>
    <t>계획</t>
  </si>
  <si>
    <t>비고</t>
  </si>
  <si>
    <t>진입도로</t>
  </si>
  <si>
    <t>단지내도로</t>
  </si>
  <si>
    <t>7m이상 도로(7m이상 도로 1.5m인도 설치)</t>
  </si>
  <si>
    <t>7m 도로</t>
  </si>
  <si>
    <t>관리사무소</t>
  </si>
  <si>
    <t>사업부지면적</t>
  </si>
  <si>
    <t>주민공동시설</t>
  </si>
  <si>
    <t>경로당</t>
  </si>
  <si>
    <t>어린이놀이터</t>
  </si>
  <si>
    <t>건  폐  율</t>
  </si>
  <si>
    <t>어린이집</t>
  </si>
  <si>
    <t>연면적</t>
  </si>
  <si>
    <t>지상 연면적</t>
  </si>
  <si>
    <t>주민운동시설</t>
  </si>
  <si>
    <t>지하 연면적</t>
  </si>
  <si>
    <t>작은도서관</t>
  </si>
  <si>
    <t>전체 연면적</t>
  </si>
  <si>
    <t>근린생활시설</t>
  </si>
  <si>
    <t>주차대수</t>
  </si>
  <si>
    <t>용도</t>
  </si>
  <si>
    <t>아파트</t>
  </si>
  <si>
    <t>합계</t>
  </si>
  <si>
    <t>비율</t>
  </si>
  <si>
    <t>국기게양대</t>
  </si>
  <si>
    <t>세대당 1개소 설치</t>
  </si>
  <si>
    <t>설치</t>
  </si>
  <si>
    <t>산출근거</t>
  </si>
  <si>
    <t>안내표지판</t>
  </si>
  <si>
    <t>300세대 이상, 안내표지판등 설치</t>
  </si>
  <si>
    <t>통신시설</t>
  </si>
  <si>
    <t>구내 통신 선로 설비(초고속정보통신),경비실 통화전화</t>
  </si>
  <si>
    <t>설치(홈네트워크)</t>
  </si>
  <si>
    <t>법정</t>
  </si>
  <si>
    <t>보안등</t>
  </si>
  <si>
    <t>50m이내마다 설치</t>
  </si>
  <si>
    <t>가스공급시설</t>
  </si>
  <si>
    <t>세대마다 도시가스 공급시설</t>
  </si>
  <si>
    <t>지상주차</t>
  </si>
  <si>
    <t>비상급수시설</t>
  </si>
  <si>
    <t>지하주차</t>
  </si>
  <si>
    <t>페기물보관시설</t>
  </si>
  <si>
    <t>생활폐기물 보관시설 또는 용기설치</t>
  </si>
  <si>
    <t>철근콘크리트 구조</t>
  </si>
  <si>
    <t>전기시설</t>
  </si>
  <si>
    <t>세대별 3kW+(전용60m² 초과하는 10m²마다 0.5kW더한값)</t>
  </si>
  <si>
    <t>TV공청시설</t>
  </si>
  <si>
    <t>공동시청 안테나 설치, 각 세대 단자 2개소 이상</t>
  </si>
  <si>
    <t>승강기</t>
  </si>
  <si>
    <t>4층이상인 층의 세대당 0.3인 비율로 산정한 인원수 이상</t>
  </si>
  <si>
    <t>■단위세대 면적표</t>
  </si>
  <si>
    <t>주택형별</t>
  </si>
  <si>
    <t>세대수</t>
  </si>
  <si>
    <t>전용면적</t>
  </si>
  <si>
    <t>분양면적</t>
  </si>
  <si>
    <t>지하주차장</t>
  </si>
  <si>
    <t>계약면적</t>
  </si>
  <si>
    <t>벽체공용</t>
  </si>
  <si>
    <t>코아공용</t>
  </si>
  <si>
    <t>소계</t>
  </si>
  <si>
    <t>부대시설</t>
  </si>
  <si>
    <t>기전실</t>
  </si>
  <si>
    <t>경비실</t>
  </si>
  <si>
    <t>소 계</t>
  </si>
  <si>
    <t>사  업  명</t>
  </si>
  <si>
    <t>대 지 위 치</t>
  </si>
  <si>
    <t>20m이상(1000세대이상)</t>
  </si>
  <si>
    <t>20m 도로</t>
  </si>
  <si>
    <t>지 역 지 구</t>
  </si>
  <si>
    <t>10m도로</t>
  </si>
  <si>
    <t>용        도</t>
  </si>
  <si>
    <t>공동주택, 부대시설, 근린생활시설</t>
  </si>
  <si>
    <t>MDF/방재실포함</t>
  </si>
  <si>
    <t>도 로 현 황</t>
  </si>
  <si>
    <t>건 축 면 적</t>
  </si>
  <si>
    <t>-</t>
  </si>
  <si>
    <t>용적률 산정연면적</t>
  </si>
  <si>
    <t>지하</t>
  </si>
  <si>
    <t>용  적  률</t>
  </si>
  <si>
    <t>법정 : 300.00%</t>
  </si>
  <si>
    <t>건 축 규 모</t>
  </si>
  <si>
    <t>건 물 높 이</t>
  </si>
  <si>
    <t>2,000세대 이상</t>
  </si>
  <si>
    <t>60이하 세대당 0.8대</t>
  </si>
  <si>
    <t>85이하 75m² 당 1대</t>
  </si>
  <si>
    <t>시설면적 134m²당 1대</t>
  </si>
  <si>
    <t>85초과 65m² 당 1대</t>
  </si>
  <si>
    <t>세대당 0.5톤</t>
  </si>
  <si>
    <t>구        조</t>
  </si>
  <si>
    <t>조 경 면 적</t>
  </si>
  <si>
    <t>임대주택</t>
  </si>
  <si>
    <t>비        고</t>
  </si>
  <si>
    <t>주거공용면적</t>
  </si>
  <si>
    <t>59㎡(임대)</t>
  </si>
  <si>
    <t>임대소계</t>
  </si>
  <si>
    <t>74㎡</t>
    <phoneticPr fontId="1" type="noConversion"/>
  </si>
  <si>
    <t>59㎡</t>
    <phoneticPr fontId="1" type="noConversion"/>
  </si>
  <si>
    <t>1,000세대 이상 : 500+(세대수x2㎡)x1.25</t>
    <phoneticPr fontId="1" type="noConversion"/>
  </si>
  <si>
    <t>45B㎡</t>
    <phoneticPr fontId="1" type="noConversion"/>
  </si>
  <si>
    <t>45C㎡</t>
    <phoneticPr fontId="1" type="noConversion"/>
  </si>
  <si>
    <t>129㎡</t>
    <phoneticPr fontId="1" type="noConversion"/>
  </si>
  <si>
    <t>다함께돌봄센터</t>
    <phoneticPr fontId="1" type="noConversion"/>
  </si>
  <si>
    <t>목동 10단지 재건축사업</t>
    <phoneticPr fontId="1" type="noConversion"/>
  </si>
  <si>
    <t>서울시 양천구 신정동 310번지일대</t>
    <phoneticPr fontId="1" type="noConversion"/>
  </si>
  <si>
    <t>제1종/제3종일반주거지역, 지구단위계획구역</t>
    <phoneticPr fontId="1" type="noConversion"/>
  </si>
  <si>
    <t>북,동,서측 15m도로, 남측 25m, 단지통과 15m도로</t>
    <phoneticPr fontId="1" type="noConversion"/>
  </si>
  <si>
    <t>기반시설</t>
    <phoneticPr fontId="1" type="noConversion"/>
  </si>
  <si>
    <t>15, 25m도로</t>
    <phoneticPr fontId="1" type="noConversion"/>
  </si>
  <si>
    <t>84㎡</t>
    <phoneticPr fontId="1" type="noConversion"/>
  </si>
  <si>
    <t>159㎡</t>
    <phoneticPr fontId="1" type="noConversion"/>
  </si>
  <si>
    <t>■설계개요</t>
    <phoneticPr fontId="1" type="noConversion"/>
  </si>
  <si>
    <t>140㎡</t>
    <phoneticPr fontId="1" type="noConversion"/>
  </si>
  <si>
    <t>공동주택부지면적</t>
    <phoneticPr fontId="1" type="noConversion"/>
  </si>
  <si>
    <t>99㎡</t>
    <phoneticPr fontId="1" type="noConversion"/>
  </si>
  <si>
    <t>49㎡</t>
    <phoneticPr fontId="1" type="noConversion"/>
  </si>
  <si>
    <t>74㎡(임대)</t>
    <phoneticPr fontId="1" type="noConversion"/>
  </si>
  <si>
    <t>현시설이동</t>
    <phoneticPr fontId="1" type="noConversion"/>
  </si>
  <si>
    <t xml:space="preserve">1000세대 이상:500㎡+세대당0.7㎡ </t>
    <phoneticPr fontId="1" type="noConversion"/>
  </si>
  <si>
    <t>500세대 이상 설치, 최소 66㎡ 이상</t>
    <phoneticPr fontId="1" type="noConversion"/>
  </si>
  <si>
    <t>50세대 이상: 10m²+(세대수-50) X 0.05m²</t>
    <phoneticPr fontId="1" type="noConversion"/>
  </si>
  <si>
    <t>4개소</t>
    <phoneticPr fontId="1" type="noConversion"/>
  </si>
  <si>
    <t>50세대 이상, 10m²+(세대수-50) X 0.05m²</t>
    <phoneticPr fontId="1" type="noConversion"/>
  </si>
  <si>
    <t>-</t>
    <phoneticPr fontId="1" type="noConversion"/>
  </si>
  <si>
    <t>목동 10단지 재건축사업 (1획지)</t>
    <phoneticPr fontId="1" type="noConversion"/>
  </si>
  <si>
    <t>목동 10단지 재건축사업 (2획지)</t>
    <phoneticPr fontId="1" type="noConversion"/>
  </si>
  <si>
    <t>100이상 1,000세대 미만 : 세대당 2.5㎡x1.25</t>
    <phoneticPr fontId="1" type="noConversion"/>
  </si>
  <si>
    <t xml:space="preserve">300~1,000세대 미만: 200㎡+세대당1㎡ </t>
    <phoneticPr fontId="1" type="noConversion"/>
  </si>
  <si>
    <t>1500세대 이상</t>
    <phoneticPr fontId="1" type="noConversion"/>
  </si>
  <si>
    <t>112㎡</t>
    <phoneticPr fontId="1" type="noConversion"/>
  </si>
  <si>
    <t>500세대 이상 설치</t>
    <phoneticPr fontId="1" type="noConversion"/>
  </si>
  <si>
    <t>1개소</t>
    <phoneticPr fontId="1" type="noConversion"/>
  </si>
  <si>
    <t>85초과 65m² 당 1대</t>
    <phoneticPr fontId="1" type="noConversion"/>
  </si>
  <si>
    <t>공원,사회복지시설,경제시설</t>
    <phoneticPr fontId="1" type="noConversion"/>
  </si>
  <si>
    <t>500~1000세대 미만</t>
    <phoneticPr fontId="1" type="noConversion"/>
  </si>
  <si>
    <t xml:space="preserve">   500세대 이상 설치</t>
    <phoneticPr fontId="1" type="noConversion"/>
  </si>
  <si>
    <t xml:space="preserve">   500~1000세대 미만</t>
    <phoneticPr fontId="1" type="noConversion"/>
  </si>
  <si>
    <t xml:space="preserve">   500세대 이상 설치, 최소 66㎡ 이상</t>
    <phoneticPr fontId="1" type="noConversion"/>
  </si>
  <si>
    <t>도로, 유치원, 녹지,하수도</t>
    <phoneticPr fontId="1" type="noConversion"/>
  </si>
  <si>
    <t>2획지 공동주택부지면적</t>
    <phoneticPr fontId="1" type="noConversion"/>
  </si>
  <si>
    <t>1획지 공동주택부지면적</t>
    <phoneticPr fontId="1" type="noConversion"/>
  </si>
  <si>
    <t xml:space="preserve">획지2 </t>
    <phoneticPr fontId="1" type="noConversion"/>
  </si>
  <si>
    <t>획지1</t>
    <phoneticPr fontId="1" type="noConversion"/>
  </si>
  <si>
    <t>목동10단지 재건축사업 개요(전체 획지1+획지2)</t>
    <phoneticPr fontId="1" type="noConversion"/>
  </si>
  <si>
    <t>1획지/2획지 산정합산</t>
    <phoneticPr fontId="1" type="noConversion"/>
  </si>
  <si>
    <t>84㎡(임대)</t>
    <phoneticPr fontId="1" type="noConversion"/>
  </si>
  <si>
    <t xml:space="preserve">cp </t>
    <phoneticPr fontId="1" type="noConversion"/>
  </si>
  <si>
    <t>5개소</t>
    <phoneticPr fontId="1" type="noConversion"/>
  </si>
  <si>
    <t>돌봄시설</t>
    <phoneticPr fontId="1" type="noConversion"/>
  </si>
  <si>
    <t>의무면적</t>
    <phoneticPr fontId="1" type="noConversion"/>
  </si>
  <si>
    <t>상한용적률 250.00%적용</t>
    <phoneticPr fontId="1" type="noConversion"/>
  </si>
  <si>
    <t>공원면적 검산</t>
    <phoneticPr fontId="1" type="noConversion"/>
  </si>
  <si>
    <t>세대수</t>
    <phoneticPr fontId="1" type="noConversion"/>
  </si>
  <si>
    <t>법정설치녹지</t>
    <phoneticPr fontId="1" type="noConversion"/>
  </si>
  <si>
    <t>녹지</t>
    <phoneticPr fontId="1" type="noConversion"/>
  </si>
  <si>
    <t>근린공원</t>
    <phoneticPr fontId="1" type="noConversion"/>
  </si>
  <si>
    <t>현재</t>
    <phoneticPr fontId="1" type="noConversion"/>
  </si>
  <si>
    <t>수정</t>
    <phoneticPr fontId="1" type="noConversion"/>
  </si>
  <si>
    <t>법정의무면적</t>
    <phoneticPr fontId="1" type="noConversion"/>
  </si>
  <si>
    <t>어린이집</t>
    <phoneticPr fontId="1" type="noConversion"/>
  </si>
  <si>
    <t>작은도서관</t>
    <phoneticPr fontId="1" type="noConversion"/>
  </si>
  <si>
    <t>주민공동시설</t>
    <phoneticPr fontId="1" type="noConversion"/>
  </si>
  <si>
    <t>우리동네키움센터</t>
    <phoneticPr fontId="1" type="noConversion"/>
  </si>
  <si>
    <t>우리동네키움센터</t>
    <phoneticPr fontId="1" type="noConversion"/>
  </si>
  <si>
    <t>1획지</t>
    <phoneticPr fontId="1" type="noConversion"/>
  </si>
  <si>
    <t>2획지</t>
    <phoneticPr fontId="1" type="noConversion"/>
  </si>
  <si>
    <t>소계</t>
    <phoneticPr fontId="1" type="noConversion"/>
  </si>
  <si>
    <t>계획면적</t>
    <phoneticPr fontId="1" type="noConversion"/>
  </si>
  <si>
    <t>다함께돌봄센터</t>
    <phoneticPr fontId="1" type="noConversion"/>
  </si>
  <si>
    <t>인센티브</t>
    <phoneticPr fontId="1" type="noConversion"/>
  </si>
  <si>
    <t>의무면적제외면적</t>
    <phoneticPr fontId="1" type="noConversion"/>
  </si>
  <si>
    <t>지하주차</t>
    <phoneticPr fontId="1" type="noConversion"/>
  </si>
  <si>
    <t>대지지분</t>
    <phoneticPr fontId="1" type="noConversion"/>
  </si>
  <si>
    <t>주거 전용면적소계</t>
    <phoneticPr fontId="1" type="noConversion"/>
  </si>
  <si>
    <t>근생 전용면적소계</t>
    <phoneticPr fontId="1" type="noConversion"/>
  </si>
  <si>
    <t>부대시설 전용면적 소계</t>
    <phoneticPr fontId="1" type="noConversion"/>
  </si>
  <si>
    <t>도로, 유치원, 사회복지시설, 하수도</t>
    <phoneticPr fontId="1" type="noConversion"/>
  </si>
  <si>
    <t>기부채납소계</t>
    <phoneticPr fontId="1" type="noConversion"/>
  </si>
  <si>
    <t>59㎡(기채)</t>
    <phoneticPr fontId="1" type="noConversion"/>
  </si>
  <si>
    <t>74㎡(기채)</t>
    <phoneticPr fontId="1" type="noConversion"/>
  </si>
  <si>
    <t>기부채납임대</t>
    <phoneticPr fontId="1" type="noConversion"/>
  </si>
  <si>
    <t>조성면적</t>
    <phoneticPr fontId="1" type="noConversion"/>
  </si>
  <si>
    <t>경로당</t>
    <phoneticPr fontId="1" type="noConversion"/>
  </si>
  <si>
    <t>어린이놀이터</t>
    <phoneticPr fontId="1" type="noConversion"/>
  </si>
  <si>
    <t>주민운동시설</t>
    <phoneticPr fontId="1" type="noConversion"/>
  </si>
  <si>
    <t>소계</t>
    <phoneticPr fontId="1" type="noConversion"/>
  </si>
  <si>
    <t>총합(A)</t>
    <phoneticPr fontId="1" type="noConversion"/>
  </si>
  <si>
    <t>총합(B)</t>
    <phoneticPr fontId="1" type="noConversion"/>
  </si>
  <si>
    <t>총합(A+B)</t>
    <phoneticPr fontId="1" type="noConversion"/>
  </si>
  <si>
    <t>인센티브</t>
    <phoneticPr fontId="1" type="noConversion"/>
  </si>
  <si>
    <t>돌봄시설인센티브</t>
    <phoneticPr fontId="1" type="noConversion"/>
  </si>
  <si>
    <t>외부</t>
    <phoneticPr fontId="1" type="noConversion"/>
  </si>
  <si>
    <t>주민커뮤니티시설</t>
    <phoneticPr fontId="1" type="noConversion"/>
  </si>
  <si>
    <t>근린공원, 녹지</t>
    <phoneticPr fontId="1" type="noConversion"/>
  </si>
  <si>
    <t>실내어린이놀이터</t>
    <phoneticPr fontId="1" type="noConversion"/>
  </si>
  <si>
    <t>실내놀이터</t>
    <phoneticPr fontId="1" type="noConversion"/>
  </si>
  <si>
    <t>공용면적</t>
    <phoneticPr fontId="1" type="noConversion"/>
  </si>
  <si>
    <t>기전실</t>
    <phoneticPr fontId="1" type="noConversion"/>
  </si>
  <si>
    <t>주차장</t>
    <phoneticPr fontId="1" type="noConversion"/>
  </si>
  <si>
    <t>지하층</t>
    <phoneticPr fontId="1" type="noConversion"/>
  </si>
  <si>
    <t>구분</t>
    <phoneticPr fontId="1" type="noConversion"/>
  </si>
  <si>
    <t>전용면적</t>
    <phoneticPr fontId="1" type="noConversion"/>
  </si>
  <si>
    <t>1층</t>
    <phoneticPr fontId="1" type="noConversion"/>
  </si>
  <si>
    <t>2층</t>
    <phoneticPr fontId="1" type="noConversion"/>
  </si>
  <si>
    <t>지상층소계</t>
    <phoneticPr fontId="1" type="noConversion"/>
  </si>
  <si>
    <t>지하층소계</t>
    <phoneticPr fontId="1" type="noConversion"/>
  </si>
  <si>
    <t>3층</t>
    <phoneticPr fontId="1" type="noConversion"/>
  </si>
  <si>
    <t>4층</t>
    <phoneticPr fontId="1" type="noConversion"/>
  </si>
  <si>
    <t>5층</t>
    <phoneticPr fontId="1" type="noConversion"/>
  </si>
  <si>
    <t>1. 1획지_중앙로32길변</t>
    <phoneticPr fontId="1" type="noConversion"/>
  </si>
  <si>
    <t>2. 2획지_중앙로32길변</t>
    <phoneticPr fontId="1" type="noConversion"/>
  </si>
  <si>
    <t>3. 2획지 목동서로변</t>
    <phoneticPr fontId="1" type="noConversion"/>
  </si>
  <si>
    <t>■근린생활시설분양면적표_3개동</t>
    <phoneticPr fontId="1" type="noConversion"/>
  </si>
  <si>
    <t>*상기면적은 정비구역 지정에 필요한 대략 연면적을 배분하여 산정된것입니다.</t>
    <phoneticPr fontId="1" type="noConversion"/>
  </si>
  <si>
    <t>매스층당면적</t>
    <phoneticPr fontId="1" type="noConversion"/>
  </si>
  <si>
    <t>주차</t>
    <phoneticPr fontId="1" type="noConversion"/>
  </si>
  <si>
    <t>합계</t>
    <phoneticPr fontId="1" type="noConversion"/>
  </si>
  <si>
    <t>유치원</t>
    <phoneticPr fontId="1" type="noConversion"/>
  </si>
  <si>
    <t>지상</t>
    <phoneticPr fontId="1" type="noConversion"/>
  </si>
  <si>
    <t>지하</t>
    <phoneticPr fontId="1" type="noConversion"/>
  </si>
  <si>
    <t>상가</t>
    <phoneticPr fontId="1" type="noConversion"/>
  </si>
  <si>
    <t>기전기실+주차</t>
    <phoneticPr fontId="1" type="noConversion"/>
  </si>
  <si>
    <t>2층</t>
  </si>
  <si>
    <t>전체</t>
    <phoneticPr fontId="1" type="noConversion"/>
  </si>
  <si>
    <t>조합원분양분</t>
    <phoneticPr fontId="1" type="noConversion"/>
  </si>
  <si>
    <t>분양세대</t>
    <phoneticPr fontId="1" type="noConversion"/>
  </si>
  <si>
    <t>정비계획안</t>
    <phoneticPr fontId="1" type="noConversion"/>
  </si>
  <si>
    <t>조합원</t>
    <phoneticPr fontId="1" type="noConversion"/>
  </si>
  <si>
    <t>일반분양</t>
    <phoneticPr fontId="1" type="noConversion"/>
  </si>
  <si>
    <t>현재계획안</t>
    <phoneticPr fontId="1" type="noConversion"/>
  </si>
  <si>
    <t>분양평형</t>
    <phoneticPr fontId="1" type="noConversion"/>
  </si>
  <si>
    <t>평당분양가</t>
    <phoneticPr fontId="1" type="noConversion"/>
  </si>
  <si>
    <t>정비계획</t>
    <phoneticPr fontId="1" type="noConversion"/>
  </si>
  <si>
    <t>차</t>
    <phoneticPr fontId="1" type="noConversion"/>
  </si>
  <si>
    <t>192㎡</t>
    <phoneticPr fontId="1" type="noConversion"/>
  </si>
  <si>
    <t xml:space="preserve">  지하3층,지상37층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</si>
</sst>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9">
    <numFmt numFmtId="176" formatCode="###,###,###,###.000\ &quot;m²&quot;"/>
    <numFmt numFmtId="177" formatCode="#,##0.000_ "/>
    <numFmt numFmtId="178" formatCode="###,###,###,##0\ &quot;대&quot;"/>
    <numFmt numFmtId="179" formatCode="###,###,###,###.00\ &quot;m²&quot;"/>
    <numFmt numFmtId="180" formatCode="###,###,###,###\ &quot;대&quot;"/>
    <numFmt numFmtId="181" formatCode="###,###,###,###.00\ &quot;m²이상&quot;"/>
    <numFmt numFmtId="182" formatCode="#,##0.00_ "/>
    <numFmt numFmtId="183" formatCode="&quot;세대당&quot;\ ###.00\ &quot;대&quot;"/>
    <numFmt numFmtId="184" formatCode="&quot;(&quot;\ ###.00\ &quot;평&quot;\ &quot;)&quot;"/>
    <numFmt numFmtId="185" formatCode="&quot;(&quot;\ ##,###.00\ &quot;평&quot;\ &quot;)&quot;"/>
    <numFmt numFmtId="186" formatCode="###,###,###,###&quot;대&quot;"/>
    <numFmt numFmtId="187" formatCode="0.00_ "/>
    <numFmt numFmtId="188" formatCode="000.000\ &quot;㎡&quot;"/>
    <numFmt numFmtId="189" formatCode="\ ###,###,###,###.00\ &quot;m²&quot;"/>
    <numFmt numFmtId="190" formatCode="0.00_);[Red]\(0.00\)"/>
    <numFmt numFmtId="191" formatCode="0.0%"/>
    <numFmt numFmtId="192" formatCode="###,###,###,###.00\ &quot;m² 이상&quot;"/>
    <numFmt numFmtId="193" formatCode="###,###,###,###.00\ &quot;대&quot;"/>
    <numFmt numFmtId="194" formatCode="0,000.000\ &quot;㎡&quot;"/>
    <numFmt numFmtId="195" formatCode="0.00%\ &quot;이상&quot;"/>
    <numFmt numFmtId="196" formatCode="#,##0.00000000000_ "/>
    <numFmt numFmtId="197" formatCode="#,##0_ "/>
    <numFmt numFmtId="198" formatCode="#,##0.0000000000000_ "/>
    <numFmt numFmtId="199" formatCode="#,##0.00000_ "/>
    <numFmt numFmtId="200" formatCode="#,##0.000000000000_ "/>
    <numFmt numFmtId="201" formatCode="#,##0.00_);[Red]\(#,##0.00\)"/>
    <numFmt numFmtId="202" formatCode="0.0000_);[Red]\(0.0000\)"/>
    <numFmt numFmtId="203" formatCode="0_);[Red]\(0\)"/>
    <numFmt numFmtId="204" formatCode="#,##0.0000_);[Red]\(#,##0.0000\)"/>
  </numFmts>
  <fonts count="2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8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002060"/>
      <name val="맑은 고딕"/>
      <family val="2"/>
      <charset val="129"/>
      <scheme val="minor"/>
    </font>
    <font>
      <sz val="11"/>
      <color rgb="FF00206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b/>
      <sz val="11"/>
      <color rgb="FFC0000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2" tint="-0.24994659260841701"/>
        <bgColor indexed="64"/>
      </patternFill>
    </fill>
    <fill>
      <patternFill patternType="solid">
        <fgColor theme="9" tint="0.79998168889431442"/>
        <bgColor indexed="64"/>
      </patternFill>
    </fill>
  </fills>
  <borders count="7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9" fontId="9" fillId="0" borderId="0" applyFont="0" applyFill="0" applyBorder="0" applyAlignment="0" applyProtection="0">
      <alignment vertical="center"/>
    </xf>
  </cellStyleXfs>
  <cellXfs count="478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10" fontId="0" fillId="0" borderId="12" xfId="0" applyNumberForma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0" fillId="0" borderId="11" xfId="0" applyBorder="1" applyAlignment="1">
      <alignment horizontal="center" vertical="center"/>
    </xf>
    <xf numFmtId="179" fontId="0" fillId="0" borderId="3" xfId="0" applyNumberFormat="1" applyBorder="1" applyAlignment="1">
      <alignment horizontal="center" vertical="center"/>
    </xf>
    <xf numFmtId="179" fontId="0" fillId="0" borderId="11" xfId="0" applyNumberFormat="1" applyBorder="1" applyAlignment="1">
      <alignment horizontal="center" vertical="center"/>
    </xf>
    <xf numFmtId="181" fontId="0" fillId="0" borderId="3" xfId="0" applyNumberFormat="1" applyBorder="1">
      <alignment vertical="center"/>
    </xf>
    <xf numFmtId="176" fontId="0" fillId="0" borderId="1" xfId="0" applyNumberFormat="1" applyBorder="1">
      <alignment vertical="center"/>
    </xf>
    <xf numFmtId="176" fontId="0" fillId="0" borderId="2" xfId="0" applyNumberFormat="1" applyBorder="1">
      <alignment vertical="center"/>
    </xf>
    <xf numFmtId="10" fontId="0" fillId="0" borderId="1" xfId="0" applyNumberFormat="1" applyBorder="1">
      <alignment vertical="center"/>
    </xf>
    <xf numFmtId="10" fontId="0" fillId="0" borderId="2" xfId="0" applyNumberFormat="1" applyBorder="1">
      <alignment vertical="center"/>
    </xf>
    <xf numFmtId="0" fontId="0" fillId="0" borderId="0" xfId="0" applyAlignment="1">
      <alignment horizontal="center" vertical="center"/>
    </xf>
    <xf numFmtId="10" fontId="4" fillId="0" borderId="1" xfId="0" applyNumberFormat="1" applyFont="1" applyBorder="1">
      <alignment vertical="center"/>
    </xf>
    <xf numFmtId="10" fontId="4" fillId="0" borderId="2" xfId="0" applyNumberFormat="1" applyFont="1" applyBorder="1">
      <alignment vertical="center"/>
    </xf>
    <xf numFmtId="0" fontId="0" fillId="0" borderId="12" xfId="0" applyBorder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10" fontId="0" fillId="0" borderId="12" xfId="0" applyNumberFormat="1" applyBorder="1">
      <alignment vertical="center"/>
    </xf>
    <xf numFmtId="0" fontId="0" fillId="0" borderId="36" xfId="0" applyBorder="1" applyAlignment="1">
      <alignment vertical="center" wrapText="1"/>
    </xf>
    <xf numFmtId="0" fontId="0" fillId="0" borderId="38" xfId="0" applyBorder="1">
      <alignment vertical="center"/>
    </xf>
    <xf numFmtId="10" fontId="11" fillId="0" borderId="12" xfId="0" applyNumberFormat="1" applyFont="1" applyBorder="1">
      <alignment vertical="center"/>
    </xf>
    <xf numFmtId="176" fontId="12" fillId="0" borderId="0" xfId="0" applyNumberFormat="1" applyFont="1" applyAlignment="1">
      <alignment horizontal="center" vertical="center"/>
    </xf>
    <xf numFmtId="176" fontId="8" fillId="3" borderId="1" xfId="0" applyNumberFormat="1" applyFont="1" applyFill="1" applyBorder="1">
      <alignment vertical="center"/>
    </xf>
    <xf numFmtId="176" fontId="3" fillId="3" borderId="1" xfId="0" applyNumberFormat="1" applyFont="1" applyFill="1" applyBorder="1">
      <alignment vertical="center"/>
    </xf>
    <xf numFmtId="176" fontId="3" fillId="3" borderId="2" xfId="0" applyNumberFormat="1" applyFont="1" applyFill="1" applyBorder="1">
      <alignment vertical="center"/>
    </xf>
    <xf numFmtId="0" fontId="0" fillId="3" borderId="12" xfId="0" applyFill="1" applyBorder="1" applyAlignment="1">
      <alignment horizontal="center" vertical="center"/>
    </xf>
    <xf numFmtId="186" fontId="0" fillId="3" borderId="3" xfId="0" applyNumberFormat="1" applyFill="1" applyBorder="1" applyAlignment="1">
      <alignment horizontal="center" vertical="center"/>
    </xf>
    <xf numFmtId="180" fontId="3" fillId="3" borderId="3" xfId="0" applyNumberFormat="1" applyFont="1" applyFill="1" applyBorder="1" applyAlignment="1">
      <alignment horizontal="center" vertical="center"/>
    </xf>
    <xf numFmtId="0" fontId="3" fillId="3" borderId="1" xfId="0" applyFont="1" applyFill="1" applyBorder="1">
      <alignment vertical="center"/>
    </xf>
    <xf numFmtId="0" fontId="3" fillId="3" borderId="3" xfId="0" applyFont="1" applyFill="1" applyBorder="1">
      <alignment vertical="center"/>
    </xf>
    <xf numFmtId="0" fontId="7" fillId="3" borderId="34" xfId="0" applyFont="1" applyFill="1" applyBorder="1" applyAlignment="1">
      <alignment horizontal="center" vertical="center"/>
    </xf>
    <xf numFmtId="0" fontId="3" fillId="4" borderId="24" xfId="0" applyFont="1" applyFill="1" applyBorder="1">
      <alignment vertical="center"/>
    </xf>
    <xf numFmtId="0" fontId="0" fillId="4" borderId="23" xfId="0" applyFill="1" applyBorder="1" applyAlignment="1">
      <alignment horizontal="center" vertical="center"/>
    </xf>
    <xf numFmtId="0" fontId="3" fillId="2" borderId="0" xfId="0" applyFont="1" applyFill="1">
      <alignment vertical="center"/>
    </xf>
    <xf numFmtId="188" fontId="0" fillId="0" borderId="3" xfId="0" applyNumberFormat="1" applyBorder="1" applyAlignment="1">
      <alignment horizontal="center" vertical="center"/>
    </xf>
    <xf numFmtId="190" fontId="0" fillId="0" borderId="37" xfId="0" applyNumberFormat="1" applyBorder="1">
      <alignment vertical="center"/>
    </xf>
    <xf numFmtId="10" fontId="0" fillId="0" borderId="0" xfId="1" applyNumberFormat="1" applyFont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0" fillId="0" borderId="12" xfId="0" applyBorder="1" applyAlignment="1">
      <alignment horizontal="left" vertical="center" indent="1"/>
    </xf>
    <xf numFmtId="0" fontId="0" fillId="0" borderId="1" xfId="0" applyBorder="1" applyAlignment="1">
      <alignment horizontal="left" vertical="center" indent="1"/>
    </xf>
    <xf numFmtId="0" fontId="0" fillId="0" borderId="2" xfId="0" applyBorder="1" applyAlignment="1">
      <alignment horizontal="left" vertical="center" indent="1"/>
    </xf>
    <xf numFmtId="0" fontId="0" fillId="0" borderId="12" xfId="0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80" fontId="0" fillId="3" borderId="3" xfId="0" applyNumberForma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4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177" fontId="0" fillId="0" borderId="0" xfId="0" applyNumberFormat="1">
      <alignment vertical="center"/>
    </xf>
    <xf numFmtId="0" fontId="3" fillId="3" borderId="5" xfId="0" applyFont="1" applyFill="1" applyBorder="1" applyAlignment="1">
      <alignment horizontal="center" vertical="center"/>
    </xf>
    <xf numFmtId="2" fontId="0" fillId="0" borderId="0" xfId="0" applyNumberFormat="1" applyAlignment="1">
      <alignment horizontal="right" vertical="center"/>
    </xf>
    <xf numFmtId="192" fontId="0" fillId="0" borderId="3" xfId="0" applyNumberFormat="1" applyBorder="1">
      <alignment vertical="center"/>
    </xf>
    <xf numFmtId="2" fontId="0" fillId="0" borderId="0" xfId="0" applyNumberFormat="1">
      <alignment vertical="center"/>
    </xf>
    <xf numFmtId="10" fontId="0" fillId="0" borderId="0" xfId="1" applyNumberFormat="1" applyFont="1" applyFill="1" applyBorder="1">
      <alignment vertical="center"/>
    </xf>
    <xf numFmtId="192" fontId="0" fillId="0" borderId="3" xfId="0" applyNumberFormat="1" applyBorder="1" applyAlignment="1">
      <alignment horizontal="center" vertical="center"/>
    </xf>
    <xf numFmtId="179" fontId="8" fillId="3" borderId="12" xfId="0" applyNumberFormat="1" applyFont="1" applyFill="1" applyBorder="1">
      <alignment vertical="center"/>
    </xf>
    <xf numFmtId="179" fontId="0" fillId="0" borderId="12" xfId="0" applyNumberFormat="1" applyBorder="1">
      <alignment vertical="center"/>
    </xf>
    <xf numFmtId="179" fontId="3" fillId="3" borderId="12" xfId="0" applyNumberFormat="1" applyFont="1" applyFill="1" applyBorder="1">
      <alignment vertical="center"/>
    </xf>
    <xf numFmtId="179" fontId="11" fillId="0" borderId="3" xfId="0" applyNumberFormat="1" applyFont="1" applyBorder="1" applyAlignment="1">
      <alignment horizontal="right" vertical="center"/>
    </xf>
    <xf numFmtId="179" fontId="0" fillId="2" borderId="3" xfId="0" applyNumberFormat="1" applyFill="1" applyBorder="1" applyAlignment="1">
      <alignment horizontal="right" vertical="center" wrapText="1"/>
    </xf>
    <xf numFmtId="179" fontId="0" fillId="0" borderId="3" xfId="0" applyNumberFormat="1" applyBorder="1" applyAlignment="1">
      <alignment horizontal="right" vertical="center"/>
    </xf>
    <xf numFmtId="179" fontId="0" fillId="2" borderId="3" xfId="0" applyNumberFormat="1" applyFill="1" applyBorder="1" applyAlignment="1">
      <alignment horizontal="right" vertical="center"/>
    </xf>
    <xf numFmtId="179" fontId="0" fillId="2" borderId="11" xfId="0" applyNumberFormat="1" applyFill="1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179" fontId="0" fillId="0" borderId="0" xfId="0" applyNumberFormat="1">
      <alignment vertical="center"/>
    </xf>
    <xf numFmtId="194" fontId="0" fillId="0" borderId="0" xfId="0" applyNumberFormat="1">
      <alignment vertical="center"/>
    </xf>
    <xf numFmtId="194" fontId="0" fillId="0" borderId="0" xfId="0" applyNumberFormat="1" applyAlignment="1">
      <alignment horizontal="center" vertical="center"/>
    </xf>
    <xf numFmtId="182" fontId="0" fillId="0" borderId="0" xfId="0" applyNumberFormat="1" applyAlignment="1">
      <alignment horizontal="center" vertical="center"/>
    </xf>
    <xf numFmtId="10" fontId="0" fillId="0" borderId="0" xfId="0" applyNumberFormat="1">
      <alignment vertical="center"/>
    </xf>
    <xf numFmtId="0" fontId="0" fillId="5" borderId="0" xfId="0" applyFill="1">
      <alignment vertical="center"/>
    </xf>
    <xf numFmtId="0" fontId="0" fillId="5" borderId="0" xfId="0" applyFill="1" applyAlignment="1">
      <alignment horizontal="center" vertical="center"/>
    </xf>
    <xf numFmtId="182" fontId="7" fillId="7" borderId="3" xfId="0" applyNumberFormat="1" applyFont="1" applyFill="1" applyBorder="1" applyAlignment="1">
      <alignment horizontal="center" vertical="center"/>
    </xf>
    <xf numFmtId="187" fontId="0" fillId="0" borderId="0" xfId="0" applyNumberFormat="1">
      <alignment vertical="center"/>
    </xf>
    <xf numFmtId="10" fontId="7" fillId="6" borderId="12" xfId="0" applyNumberFormat="1" applyFont="1" applyFill="1" applyBorder="1">
      <alignment vertical="center"/>
    </xf>
    <xf numFmtId="177" fontId="7" fillId="7" borderId="35" xfId="0" applyNumberFormat="1" applyFont="1" applyFill="1" applyBorder="1" applyAlignment="1">
      <alignment horizontal="center" vertical="center"/>
    </xf>
    <xf numFmtId="177" fontId="7" fillId="7" borderId="3" xfId="0" applyNumberFormat="1" applyFont="1" applyFill="1" applyBorder="1" applyAlignment="1">
      <alignment horizontal="center" vertical="center"/>
    </xf>
    <xf numFmtId="10" fontId="13" fillId="7" borderId="12" xfId="0" applyNumberFormat="1" applyFont="1" applyFill="1" applyBorder="1">
      <alignment vertical="center"/>
    </xf>
    <xf numFmtId="0" fontId="3" fillId="4" borderId="26" xfId="0" applyFont="1" applyFill="1" applyBorder="1" applyAlignment="1">
      <alignment horizontal="center" vertical="center"/>
    </xf>
    <xf numFmtId="182" fontId="3" fillId="4" borderId="16" xfId="0" applyNumberFormat="1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7" fillId="3" borderId="40" xfId="0" applyFont="1" applyFill="1" applyBorder="1" applyAlignment="1">
      <alignment horizontal="center" vertical="center"/>
    </xf>
    <xf numFmtId="182" fontId="8" fillId="3" borderId="41" xfId="0" applyNumberFormat="1" applyFont="1" applyFill="1" applyBorder="1" applyAlignment="1">
      <alignment horizontal="center" vertical="center"/>
    </xf>
    <xf numFmtId="182" fontId="8" fillId="0" borderId="41" xfId="0" applyNumberFormat="1" applyFont="1" applyBorder="1" applyAlignment="1">
      <alignment horizontal="center" vertical="center"/>
    </xf>
    <xf numFmtId="182" fontId="7" fillId="3" borderId="41" xfId="0" applyNumberFormat="1" applyFont="1" applyFill="1" applyBorder="1" applyAlignment="1">
      <alignment horizontal="center" vertical="center"/>
    </xf>
    <xf numFmtId="10" fontId="8" fillId="2" borderId="42" xfId="0" applyNumberFormat="1" applyFont="1" applyFill="1" applyBorder="1">
      <alignment vertical="center"/>
    </xf>
    <xf numFmtId="0" fontId="7" fillId="3" borderId="44" xfId="0" applyFont="1" applyFill="1" applyBorder="1" applyAlignment="1">
      <alignment horizontal="center" vertical="center"/>
    </xf>
    <xf numFmtId="182" fontId="8" fillId="3" borderId="45" xfId="0" applyNumberFormat="1" applyFont="1" applyFill="1" applyBorder="1" applyAlignment="1">
      <alignment horizontal="center" vertical="center"/>
    </xf>
    <xf numFmtId="182" fontId="8" fillId="0" borderId="45" xfId="0" applyNumberFormat="1" applyFont="1" applyBorder="1" applyAlignment="1">
      <alignment horizontal="center" vertical="center"/>
    </xf>
    <xf numFmtId="182" fontId="7" fillId="3" borderId="45" xfId="0" applyNumberFormat="1" applyFont="1" applyFill="1" applyBorder="1" applyAlignment="1">
      <alignment horizontal="center" vertical="center"/>
    </xf>
    <xf numFmtId="10" fontId="8" fillId="2" borderId="46" xfId="0" applyNumberFormat="1" applyFont="1" applyFill="1" applyBorder="1">
      <alignment vertical="center"/>
    </xf>
    <xf numFmtId="0" fontId="7" fillId="3" borderId="48" xfId="0" applyFont="1" applyFill="1" applyBorder="1" applyAlignment="1">
      <alignment horizontal="center" vertical="center"/>
    </xf>
    <xf numFmtId="182" fontId="8" fillId="3" borderId="49" xfId="0" applyNumberFormat="1" applyFont="1" applyFill="1" applyBorder="1" applyAlignment="1">
      <alignment horizontal="center" vertical="center"/>
    </xf>
    <xf numFmtId="182" fontId="8" fillId="0" borderId="49" xfId="0" applyNumberFormat="1" applyFont="1" applyBorder="1" applyAlignment="1">
      <alignment horizontal="center" vertical="center"/>
    </xf>
    <xf numFmtId="182" fontId="7" fillId="3" borderId="49" xfId="0" applyNumberFormat="1" applyFont="1" applyFill="1" applyBorder="1" applyAlignment="1">
      <alignment horizontal="center" vertical="center"/>
    </xf>
    <xf numFmtId="10" fontId="8" fillId="2" borderId="50" xfId="0" applyNumberFormat="1" applyFont="1" applyFill="1" applyBorder="1">
      <alignment vertical="center"/>
    </xf>
    <xf numFmtId="177" fontId="0" fillId="0" borderId="0" xfId="0" applyNumberFormat="1" applyAlignment="1">
      <alignment horizontal="center" vertical="center"/>
    </xf>
    <xf numFmtId="0" fontId="7" fillId="6" borderId="44" xfId="0" applyFont="1" applyFill="1" applyBorder="1" applyAlignment="1">
      <alignment horizontal="center" vertical="center"/>
    </xf>
    <xf numFmtId="182" fontId="8" fillId="6" borderId="45" xfId="0" applyNumberFormat="1" applyFont="1" applyFill="1" applyBorder="1" applyAlignment="1">
      <alignment horizontal="center" vertical="center"/>
    </xf>
    <xf numFmtId="182" fontId="7" fillId="6" borderId="45" xfId="0" applyNumberFormat="1" applyFont="1" applyFill="1" applyBorder="1" applyAlignment="1">
      <alignment horizontal="center" vertical="center"/>
    </xf>
    <xf numFmtId="0" fontId="3" fillId="3" borderId="6" xfId="0" applyFont="1" applyFill="1" applyBorder="1">
      <alignment vertical="center"/>
    </xf>
    <xf numFmtId="0" fontId="3" fillId="3" borderId="32" xfId="0" applyFont="1" applyFill="1" applyBorder="1">
      <alignment vertical="center"/>
    </xf>
    <xf numFmtId="196" fontId="14" fillId="0" borderId="0" xfId="0" applyNumberFormat="1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89" fontId="0" fillId="0" borderId="8" xfId="0" applyNumberFormat="1" applyBorder="1" applyAlignment="1">
      <alignment horizontal="center" vertical="center"/>
    </xf>
    <xf numFmtId="189" fontId="10" fillId="0" borderId="9" xfId="0" applyNumberFormat="1" applyFont="1" applyBorder="1" applyAlignment="1">
      <alignment horizontal="center" vertical="center"/>
    </xf>
    <xf numFmtId="179" fontId="7" fillId="3" borderId="12" xfId="0" applyNumberFormat="1" applyFont="1" applyFill="1" applyBorder="1">
      <alignment vertical="center"/>
    </xf>
    <xf numFmtId="10" fontId="7" fillId="7" borderId="35" xfId="0" applyNumberFormat="1" applyFont="1" applyFill="1" applyBorder="1">
      <alignment vertical="center"/>
    </xf>
    <xf numFmtId="185" fontId="3" fillId="4" borderId="26" xfId="0" applyNumberFormat="1" applyFont="1" applyFill="1" applyBorder="1">
      <alignment vertical="center"/>
    </xf>
    <xf numFmtId="184" fontId="8" fillId="3" borderId="40" xfId="0" applyNumberFormat="1" applyFont="1" applyFill="1" applyBorder="1">
      <alignment vertical="center"/>
    </xf>
    <xf numFmtId="184" fontId="8" fillId="3" borderId="44" xfId="0" applyNumberFormat="1" applyFont="1" applyFill="1" applyBorder="1">
      <alignment vertical="center"/>
    </xf>
    <xf numFmtId="184" fontId="8" fillId="3" borderId="48" xfId="0" applyNumberFormat="1" applyFont="1" applyFill="1" applyBorder="1">
      <alignment vertical="center"/>
    </xf>
    <xf numFmtId="185" fontId="8" fillId="3" borderId="48" xfId="0" applyNumberFormat="1" applyFont="1" applyFill="1" applyBorder="1">
      <alignment vertical="center"/>
    </xf>
    <xf numFmtId="0" fontId="0" fillId="0" borderId="12" xfId="0" applyBorder="1" applyAlignment="1">
      <alignment horizontal="right" vertical="center"/>
    </xf>
    <xf numFmtId="197" fontId="8" fillId="2" borderId="41" xfId="0" applyNumberFormat="1" applyFont="1" applyFill="1" applyBorder="1" applyAlignment="1">
      <alignment horizontal="center" vertical="center"/>
    </xf>
    <xf numFmtId="197" fontId="8" fillId="2" borderId="45" xfId="0" applyNumberFormat="1" applyFont="1" applyFill="1" applyBorder="1" applyAlignment="1">
      <alignment horizontal="center" vertical="center"/>
    </xf>
    <xf numFmtId="197" fontId="8" fillId="0" borderId="45" xfId="0" applyNumberFormat="1" applyFont="1" applyBorder="1" applyAlignment="1">
      <alignment horizontal="center" vertical="center"/>
    </xf>
    <xf numFmtId="197" fontId="8" fillId="0" borderId="49" xfId="0" applyNumberFormat="1" applyFont="1" applyBorder="1" applyAlignment="1">
      <alignment horizontal="center" vertical="center"/>
    </xf>
    <xf numFmtId="10" fontId="8" fillId="0" borderId="45" xfId="0" applyNumberFormat="1" applyFont="1" applyBorder="1" applyAlignment="1">
      <alignment horizontal="center" vertical="center"/>
    </xf>
    <xf numFmtId="182" fontId="8" fillId="3" borderId="52" xfId="0" applyNumberFormat="1" applyFont="1" applyFill="1" applyBorder="1" applyAlignment="1">
      <alignment horizontal="center" vertical="center"/>
    </xf>
    <xf numFmtId="182" fontId="8" fillId="0" borderId="52" xfId="0" applyNumberFormat="1" applyFont="1" applyBorder="1" applyAlignment="1">
      <alignment horizontal="center" vertical="center"/>
    </xf>
    <xf numFmtId="10" fontId="8" fillId="2" borderId="55" xfId="0" applyNumberFormat="1" applyFont="1" applyFill="1" applyBorder="1">
      <alignment vertical="center"/>
    </xf>
    <xf numFmtId="10" fontId="8" fillId="2" borderId="41" xfId="0" applyNumberFormat="1" applyFont="1" applyFill="1" applyBorder="1" applyAlignment="1">
      <alignment horizontal="center" vertical="center"/>
    </xf>
    <xf numFmtId="0" fontId="7" fillId="3" borderId="56" xfId="0" applyFont="1" applyFill="1" applyBorder="1" applyAlignment="1">
      <alignment horizontal="center" vertical="center"/>
    </xf>
    <xf numFmtId="0" fontId="3" fillId="4" borderId="28" xfId="0" applyFont="1" applyFill="1" applyBorder="1">
      <alignment vertical="center"/>
    </xf>
    <xf numFmtId="0" fontId="3" fillId="4" borderId="10" xfId="0" applyFont="1" applyFill="1" applyBorder="1">
      <alignment vertical="center"/>
    </xf>
    <xf numFmtId="10" fontId="8" fillId="2" borderId="8" xfId="0" applyNumberFormat="1" applyFont="1" applyFill="1" applyBorder="1">
      <alignment vertical="center"/>
    </xf>
    <xf numFmtId="184" fontId="8" fillId="6" borderId="44" xfId="0" applyNumberFormat="1" applyFont="1" applyFill="1" applyBorder="1">
      <alignment vertical="center"/>
    </xf>
    <xf numFmtId="182" fontId="0" fillId="0" borderId="0" xfId="0" applyNumberFormat="1">
      <alignment vertical="center"/>
    </xf>
    <xf numFmtId="181" fontId="0" fillId="0" borderId="3" xfId="0" applyNumberFormat="1" applyBorder="1" applyAlignment="1">
      <alignment horizontal="center" vertical="center"/>
    </xf>
    <xf numFmtId="198" fontId="0" fillId="0" borderId="0" xfId="0" applyNumberFormat="1" applyAlignment="1">
      <alignment horizontal="center" vertical="center"/>
    </xf>
    <xf numFmtId="10" fontId="7" fillId="7" borderId="35" xfId="0" applyNumberFormat="1" applyFont="1" applyFill="1" applyBorder="1" applyAlignment="1">
      <alignment horizontal="center" vertical="center"/>
    </xf>
    <xf numFmtId="191" fontId="3" fillId="4" borderId="16" xfId="1" applyNumberFormat="1" applyFont="1" applyFill="1" applyBorder="1" applyAlignment="1">
      <alignment horizontal="center" vertical="center"/>
    </xf>
    <xf numFmtId="199" fontId="0" fillId="0" borderId="0" xfId="0" applyNumberFormat="1" applyAlignment="1">
      <alignment horizontal="center" vertical="center"/>
    </xf>
    <xf numFmtId="199" fontId="0" fillId="0" borderId="0" xfId="0" applyNumberFormat="1">
      <alignment vertical="center"/>
    </xf>
    <xf numFmtId="0" fontId="15" fillId="0" borderId="0" xfId="0" applyFont="1" applyAlignment="1">
      <alignment horizontal="left" vertical="center"/>
    </xf>
    <xf numFmtId="197" fontId="0" fillId="0" borderId="0" xfId="0" applyNumberFormat="1" applyAlignment="1">
      <alignment horizontal="center" vertical="center"/>
    </xf>
    <xf numFmtId="10" fontId="8" fillId="0" borderId="39" xfId="0" applyNumberFormat="1" applyFont="1" applyBorder="1">
      <alignment vertical="center"/>
    </xf>
    <xf numFmtId="10" fontId="8" fillId="0" borderId="11" xfId="0" applyNumberFormat="1" applyFont="1" applyBorder="1">
      <alignment vertical="center"/>
    </xf>
    <xf numFmtId="10" fontId="8" fillId="0" borderId="53" xfId="0" applyNumberFormat="1" applyFont="1" applyBorder="1">
      <alignment vertical="center"/>
    </xf>
    <xf numFmtId="10" fontId="8" fillId="0" borderId="45" xfId="0" applyNumberFormat="1" applyFont="1" applyBorder="1">
      <alignment vertical="center"/>
    </xf>
    <xf numFmtId="10" fontId="8" fillId="0" borderId="49" xfId="0" applyNumberFormat="1" applyFont="1" applyBorder="1">
      <alignment vertical="center"/>
    </xf>
    <xf numFmtId="0" fontId="3" fillId="3" borderId="6" xfId="0" applyFont="1" applyFill="1" applyBorder="1" applyAlignment="1">
      <alignment horizontal="center" vertical="center"/>
    </xf>
    <xf numFmtId="10" fontId="0" fillId="0" borderId="1" xfId="0" applyNumberFormat="1" applyBorder="1" applyAlignment="1">
      <alignment horizontal="left" vertical="center"/>
    </xf>
    <xf numFmtId="10" fontId="0" fillId="0" borderId="2" xfId="0" applyNumberFormat="1" applyBorder="1" applyAlignment="1">
      <alignment horizontal="left" vertical="center"/>
    </xf>
    <xf numFmtId="0" fontId="0" fillId="0" borderId="12" xfId="0" applyBorder="1" applyAlignment="1">
      <alignment horizontal="left" vertical="center" indent="2"/>
    </xf>
    <xf numFmtId="0" fontId="0" fillId="0" borderId="1" xfId="0" applyBorder="1" applyAlignment="1">
      <alignment horizontal="left" vertical="center" indent="2"/>
    </xf>
    <xf numFmtId="0" fontId="4" fillId="0" borderId="0" xfId="0" applyFont="1">
      <alignment vertical="center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197" fontId="8" fillId="2" borderId="53" xfId="0" applyNumberFormat="1" applyFont="1" applyFill="1" applyBorder="1" applyAlignment="1">
      <alignment horizontal="center" vertical="center"/>
    </xf>
    <xf numFmtId="10" fontId="8" fillId="2" borderId="53" xfId="0" applyNumberFormat="1" applyFont="1" applyFill="1" applyBorder="1" applyAlignment="1">
      <alignment horizontal="center" vertical="center"/>
    </xf>
    <xf numFmtId="182" fontId="8" fillId="3" borderId="53" xfId="0" applyNumberFormat="1" applyFont="1" applyFill="1" applyBorder="1" applyAlignment="1">
      <alignment horizontal="center" vertical="center"/>
    </xf>
    <xf numFmtId="182" fontId="8" fillId="0" borderId="53" xfId="0" applyNumberFormat="1" applyFont="1" applyBorder="1" applyAlignment="1">
      <alignment horizontal="center" vertical="center"/>
    </xf>
    <xf numFmtId="184" fontId="8" fillId="3" borderId="56" xfId="0" applyNumberFormat="1" applyFont="1" applyFill="1" applyBorder="1">
      <alignment vertical="center"/>
    </xf>
    <xf numFmtId="182" fontId="7" fillId="3" borderId="53" xfId="0" applyNumberFormat="1" applyFont="1" applyFill="1" applyBorder="1" applyAlignment="1">
      <alignment horizontal="center" vertical="center"/>
    </xf>
    <xf numFmtId="10" fontId="8" fillId="2" borderId="57" xfId="0" applyNumberFormat="1" applyFont="1" applyFill="1" applyBorder="1">
      <alignment vertical="center"/>
    </xf>
    <xf numFmtId="0" fontId="7" fillId="6" borderId="59" xfId="0" applyFont="1" applyFill="1" applyBorder="1" applyAlignment="1">
      <alignment horizontal="center" vertical="center"/>
    </xf>
    <xf numFmtId="10" fontId="8" fillId="0" borderId="61" xfId="0" applyNumberFormat="1" applyFont="1" applyBorder="1">
      <alignment vertical="center"/>
    </xf>
    <xf numFmtId="182" fontId="8" fillId="6" borderId="61" xfId="0" applyNumberFormat="1" applyFont="1" applyFill="1" applyBorder="1" applyAlignment="1">
      <alignment horizontal="center" vertical="center"/>
    </xf>
    <xf numFmtId="182" fontId="8" fillId="0" borderId="61" xfId="0" applyNumberFormat="1" applyFont="1" applyBorder="1" applyAlignment="1">
      <alignment horizontal="center" vertical="center"/>
    </xf>
    <xf numFmtId="184" fontId="8" fillId="6" borderId="59" xfId="0" applyNumberFormat="1" applyFont="1" applyFill="1" applyBorder="1">
      <alignment vertical="center"/>
    </xf>
    <xf numFmtId="182" fontId="7" fillId="6" borderId="61" xfId="0" applyNumberFormat="1" applyFont="1" applyFill="1" applyBorder="1" applyAlignment="1">
      <alignment horizontal="center" vertical="center"/>
    </xf>
    <xf numFmtId="10" fontId="8" fillId="2" borderId="60" xfId="0" applyNumberFormat="1" applyFont="1" applyFill="1" applyBorder="1">
      <alignment vertical="center"/>
    </xf>
    <xf numFmtId="0" fontId="7" fillId="6" borderId="26" xfId="0" applyFont="1" applyFill="1" applyBorder="1" applyAlignment="1">
      <alignment horizontal="center" vertical="center"/>
    </xf>
    <xf numFmtId="10" fontId="8" fillId="0" borderId="16" xfId="0" applyNumberFormat="1" applyFont="1" applyBorder="1">
      <alignment vertical="center"/>
    </xf>
    <xf numFmtId="182" fontId="7" fillId="6" borderId="16" xfId="0" applyNumberFormat="1" applyFont="1" applyFill="1" applyBorder="1" applyAlignment="1">
      <alignment horizontal="center" vertical="center"/>
    </xf>
    <xf numFmtId="185" fontId="8" fillId="6" borderId="63" xfId="0" applyNumberFormat="1" applyFont="1" applyFill="1" applyBorder="1">
      <alignment vertical="center"/>
    </xf>
    <xf numFmtId="10" fontId="7" fillId="6" borderId="17" xfId="0" applyNumberFormat="1" applyFont="1" applyFill="1" applyBorder="1">
      <alignment vertical="center"/>
    </xf>
    <xf numFmtId="0" fontId="7" fillId="6" borderId="48" xfId="0" applyFont="1" applyFill="1" applyBorder="1" applyAlignment="1">
      <alignment horizontal="center" vertical="center"/>
    </xf>
    <xf numFmtId="182" fontId="8" fillId="6" borderId="49" xfId="0" applyNumberFormat="1" applyFont="1" applyFill="1" applyBorder="1" applyAlignment="1">
      <alignment horizontal="center" vertical="center"/>
    </xf>
    <xf numFmtId="184" fontId="8" fillId="6" borderId="48" xfId="0" applyNumberFormat="1" applyFont="1" applyFill="1" applyBorder="1">
      <alignment vertical="center"/>
    </xf>
    <xf numFmtId="182" fontId="7" fillId="6" borderId="49" xfId="0" applyNumberFormat="1" applyFont="1" applyFill="1" applyBorder="1" applyAlignment="1">
      <alignment horizontal="center" vertical="center"/>
    </xf>
    <xf numFmtId="0" fontId="7" fillId="8" borderId="59" xfId="0" applyFont="1" applyFill="1" applyBorder="1" applyAlignment="1">
      <alignment horizontal="center" vertical="center"/>
    </xf>
    <xf numFmtId="0" fontId="7" fillId="8" borderId="44" xfId="0" applyFont="1" applyFill="1" applyBorder="1" applyAlignment="1">
      <alignment horizontal="center" vertical="center"/>
    </xf>
    <xf numFmtId="0" fontId="7" fillId="8" borderId="26" xfId="0" applyFont="1" applyFill="1" applyBorder="1" applyAlignment="1">
      <alignment horizontal="center" vertical="center"/>
    </xf>
    <xf numFmtId="182" fontId="8" fillId="8" borderId="61" xfId="0" applyNumberFormat="1" applyFont="1" applyFill="1" applyBorder="1" applyAlignment="1">
      <alignment horizontal="center" vertical="center"/>
    </xf>
    <xf numFmtId="182" fontId="8" fillId="8" borderId="45" xfId="0" applyNumberFormat="1" applyFont="1" applyFill="1" applyBorder="1" applyAlignment="1">
      <alignment horizontal="center" vertical="center"/>
    </xf>
    <xf numFmtId="182" fontId="7" fillId="8" borderId="16" xfId="0" applyNumberFormat="1" applyFont="1" applyFill="1" applyBorder="1" applyAlignment="1">
      <alignment horizontal="center" vertical="center"/>
    </xf>
    <xf numFmtId="185" fontId="8" fillId="8" borderId="63" xfId="0" applyNumberFormat="1" applyFont="1" applyFill="1" applyBorder="1">
      <alignment vertical="center"/>
    </xf>
    <xf numFmtId="10" fontId="7" fillId="8" borderId="17" xfId="0" applyNumberFormat="1" applyFont="1" applyFill="1" applyBorder="1">
      <alignment vertical="center"/>
    </xf>
    <xf numFmtId="184" fontId="8" fillId="8" borderId="59" xfId="0" applyNumberFormat="1" applyFont="1" applyFill="1" applyBorder="1">
      <alignment vertical="center"/>
    </xf>
    <xf numFmtId="184" fontId="8" fillId="8" borderId="44" xfId="0" applyNumberFormat="1" applyFont="1" applyFill="1" applyBorder="1">
      <alignment vertical="center"/>
    </xf>
    <xf numFmtId="182" fontId="7" fillId="8" borderId="61" xfId="0" applyNumberFormat="1" applyFont="1" applyFill="1" applyBorder="1" applyAlignment="1">
      <alignment horizontal="center" vertical="center"/>
    </xf>
    <xf numFmtId="182" fontId="7" fillId="8" borderId="45" xfId="0" applyNumberFormat="1" applyFont="1" applyFill="1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8" xfId="0" applyBorder="1">
      <alignment vertical="center"/>
    </xf>
    <xf numFmtId="10" fontId="0" fillId="0" borderId="0" xfId="0" applyNumberFormat="1" applyAlignment="1">
      <alignment horizontal="center" vertical="center"/>
    </xf>
    <xf numFmtId="190" fontId="0" fillId="0" borderId="0" xfId="0" applyNumberFormat="1" applyAlignment="1">
      <alignment horizontal="right" vertical="center"/>
    </xf>
    <xf numFmtId="190" fontId="0" fillId="0" borderId="7" xfId="0" applyNumberFormat="1" applyBorder="1" applyAlignment="1">
      <alignment horizontal="right" vertical="center"/>
    </xf>
    <xf numFmtId="190" fontId="0" fillId="0" borderId="54" xfId="0" applyNumberFormat="1" applyBorder="1" applyAlignment="1">
      <alignment horizontal="right" vertical="center"/>
    </xf>
    <xf numFmtId="190" fontId="0" fillId="0" borderId="9" xfId="0" applyNumberFormat="1" applyBorder="1" applyAlignment="1">
      <alignment horizontal="right" vertical="center"/>
    </xf>
    <xf numFmtId="190" fontId="0" fillId="0" borderId="10" xfId="0" applyNumberFormat="1" applyBorder="1" applyAlignment="1">
      <alignment horizontal="right" vertical="center"/>
    </xf>
    <xf numFmtId="190" fontId="0" fillId="0" borderId="8" xfId="0" applyNumberFormat="1" applyBorder="1" applyAlignment="1">
      <alignment horizontal="right" vertical="center"/>
    </xf>
    <xf numFmtId="190" fontId="0" fillId="0" borderId="1" xfId="0" applyNumberFormat="1" applyBorder="1" applyAlignment="1">
      <alignment horizontal="right" vertical="center"/>
    </xf>
    <xf numFmtId="190" fontId="0" fillId="0" borderId="2" xfId="0" applyNumberFormat="1" applyBorder="1" applyAlignment="1">
      <alignment horizontal="right" vertical="center"/>
    </xf>
    <xf numFmtId="190" fontId="0" fillId="0" borderId="12" xfId="0" applyNumberFormat="1" applyBorder="1" applyAlignment="1">
      <alignment horizontal="right" vertical="center"/>
    </xf>
    <xf numFmtId="190" fontId="3" fillId="0" borderId="1" xfId="0" applyNumberFormat="1" applyFont="1" applyBorder="1" applyAlignment="1">
      <alignment horizontal="right" vertical="center"/>
    </xf>
    <xf numFmtId="10" fontId="0" fillId="0" borderId="0" xfId="0" applyNumberFormat="1" applyAlignment="1">
      <alignment horizontal="right" vertical="center"/>
    </xf>
    <xf numFmtId="0" fontId="18" fillId="0" borderId="15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9" fillId="0" borderId="65" xfId="0" applyFont="1" applyBorder="1" applyAlignment="1">
      <alignment horizontal="center" vertical="center"/>
    </xf>
    <xf numFmtId="0" fontId="19" fillId="0" borderId="29" xfId="0" applyFont="1" applyBorder="1" applyAlignment="1">
      <alignment horizontal="center" vertical="center"/>
    </xf>
    <xf numFmtId="201" fontId="18" fillId="0" borderId="66" xfId="0" applyNumberFormat="1" applyFont="1" applyBorder="1" applyAlignment="1">
      <alignment horizontal="center" vertical="center"/>
    </xf>
    <xf numFmtId="201" fontId="18" fillId="0" borderId="21" xfId="0" applyNumberFormat="1" applyFont="1" applyBorder="1" applyAlignment="1">
      <alignment horizontal="center" vertical="center"/>
    </xf>
    <xf numFmtId="201" fontId="18" fillId="0" borderId="67" xfId="0" applyNumberFormat="1" applyFont="1" applyBorder="1" applyAlignment="1">
      <alignment horizontal="center" vertical="center"/>
    </xf>
    <xf numFmtId="201" fontId="18" fillId="0" borderId="25" xfId="0" applyNumberFormat="1" applyFont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201" fontId="18" fillId="0" borderId="14" xfId="0" applyNumberFormat="1" applyFont="1" applyBorder="1" applyAlignment="1">
      <alignment horizontal="center" vertical="center"/>
    </xf>
    <xf numFmtId="201" fontId="18" fillId="0" borderId="23" xfId="0" applyNumberFormat="1" applyFont="1" applyBorder="1" applyAlignment="1">
      <alignment horizontal="center" vertical="center"/>
    </xf>
    <xf numFmtId="2" fontId="19" fillId="0" borderId="69" xfId="0" applyNumberFormat="1" applyFont="1" applyBorder="1" applyAlignment="1">
      <alignment horizontal="center" vertical="center"/>
    </xf>
    <xf numFmtId="201" fontId="18" fillId="0" borderId="70" xfId="0" applyNumberFormat="1" applyFont="1" applyBorder="1" applyAlignment="1">
      <alignment horizontal="center" vertical="center"/>
    </xf>
    <xf numFmtId="201" fontId="18" fillId="0" borderId="68" xfId="0" applyNumberFormat="1" applyFont="1" applyBorder="1" applyAlignment="1">
      <alignment horizontal="center" vertical="center"/>
    </xf>
    <xf numFmtId="0" fontId="19" fillId="0" borderId="0" xfId="0" applyFont="1">
      <alignment vertical="center"/>
    </xf>
    <xf numFmtId="0" fontId="18" fillId="0" borderId="9" xfId="0" applyFont="1" applyBorder="1" applyAlignment="1">
      <alignment horizontal="center" vertical="center"/>
    </xf>
    <xf numFmtId="201" fontId="18" fillId="0" borderId="71" xfId="0" applyNumberFormat="1" applyFont="1" applyBorder="1" applyAlignment="1">
      <alignment horizontal="center" vertical="center"/>
    </xf>
    <xf numFmtId="201" fontId="18" fillId="0" borderId="11" xfId="0" applyNumberFormat="1" applyFont="1" applyBorder="1" applyAlignment="1">
      <alignment horizontal="center" vertical="center"/>
    </xf>
    <xf numFmtId="201" fontId="18" fillId="0" borderId="8" xfId="0" applyNumberFormat="1" applyFont="1" applyBorder="1" applyAlignment="1">
      <alignment horizontal="center" vertical="center"/>
    </xf>
    <xf numFmtId="201" fontId="18" fillId="0" borderId="72" xfId="0" applyNumberFormat="1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201" fontId="18" fillId="0" borderId="74" xfId="0" applyNumberFormat="1" applyFont="1" applyBorder="1" applyAlignment="1">
      <alignment horizontal="center" vertical="center"/>
    </xf>
    <xf numFmtId="201" fontId="18" fillId="0" borderId="33" xfId="0" applyNumberFormat="1" applyFont="1" applyBorder="1" applyAlignment="1">
      <alignment horizontal="center" vertical="center"/>
    </xf>
    <xf numFmtId="201" fontId="18" fillId="0" borderId="75" xfId="0" applyNumberFormat="1" applyFont="1" applyBorder="1" applyAlignment="1">
      <alignment horizontal="center" vertical="center"/>
    </xf>
    <xf numFmtId="202" fontId="0" fillId="0" borderId="0" xfId="0" applyNumberFormat="1" applyAlignment="1">
      <alignment horizontal="center" vertical="center"/>
    </xf>
    <xf numFmtId="202" fontId="0" fillId="0" borderId="0" xfId="0" applyNumberFormat="1">
      <alignment vertical="center"/>
    </xf>
    <xf numFmtId="202" fontId="0" fillId="0" borderId="0" xfId="1" applyNumberFormat="1" applyFont="1" applyFill="1" applyBorder="1">
      <alignment vertical="center"/>
    </xf>
    <xf numFmtId="202" fontId="4" fillId="0" borderId="0" xfId="0" applyNumberFormat="1" applyFont="1">
      <alignment vertical="center"/>
    </xf>
    <xf numFmtId="202" fontId="4" fillId="0" borderId="0" xfId="1" applyNumberFormat="1" applyFont="1" applyFill="1" applyBorder="1">
      <alignment vertical="center"/>
    </xf>
    <xf numFmtId="203" fontId="0" fillId="0" borderId="0" xfId="0" applyNumberFormat="1">
      <alignment vertical="center"/>
    </xf>
    <xf numFmtId="203" fontId="0" fillId="0" borderId="64" xfId="0" applyNumberFormat="1" applyBorder="1">
      <alignment vertical="center"/>
    </xf>
    <xf numFmtId="201" fontId="0" fillId="0" borderId="0" xfId="0" applyNumberFormat="1">
      <alignment vertical="center"/>
    </xf>
    <xf numFmtId="202" fontId="18" fillId="0" borderId="66" xfId="0" applyNumberFormat="1" applyFont="1" applyBorder="1" applyAlignment="1">
      <alignment horizontal="right" vertical="center"/>
    </xf>
    <xf numFmtId="202" fontId="18" fillId="0" borderId="21" xfId="0" applyNumberFormat="1" applyFont="1" applyBorder="1" applyAlignment="1">
      <alignment horizontal="right" vertical="center"/>
    </xf>
    <xf numFmtId="202" fontId="18" fillId="0" borderId="14" xfId="0" applyNumberFormat="1" applyFont="1" applyBorder="1" applyAlignment="1">
      <alignment horizontal="right" vertical="center"/>
    </xf>
    <xf numFmtId="202" fontId="18" fillId="0" borderId="70" xfId="0" applyNumberFormat="1" applyFont="1" applyBorder="1" applyAlignment="1">
      <alignment horizontal="right" vertical="center"/>
    </xf>
    <xf numFmtId="202" fontId="18" fillId="0" borderId="73" xfId="0" applyNumberFormat="1" applyFont="1" applyBorder="1" applyAlignment="1">
      <alignment horizontal="right" vertical="center"/>
    </xf>
    <xf numFmtId="202" fontId="18" fillId="0" borderId="39" xfId="0" applyNumberFormat="1" applyFont="1" applyBorder="1" applyAlignment="1">
      <alignment horizontal="right" vertical="center"/>
    </xf>
    <xf numFmtId="202" fontId="18" fillId="0" borderId="54" xfId="0" applyNumberFormat="1" applyFont="1" applyBorder="1" applyAlignment="1">
      <alignment horizontal="right" vertical="center"/>
    </xf>
    <xf numFmtId="202" fontId="18" fillId="0" borderId="67" xfId="0" applyNumberFormat="1" applyFont="1" applyBorder="1" applyAlignment="1">
      <alignment horizontal="right" vertical="center"/>
    </xf>
    <xf numFmtId="202" fontId="18" fillId="0" borderId="25" xfId="0" applyNumberFormat="1" applyFont="1" applyBorder="1" applyAlignment="1">
      <alignment horizontal="right" vertical="center"/>
    </xf>
    <xf numFmtId="202" fontId="18" fillId="0" borderId="23" xfId="0" applyNumberFormat="1" applyFont="1" applyBorder="1" applyAlignment="1">
      <alignment horizontal="right" vertical="center"/>
    </xf>
    <xf numFmtId="202" fontId="18" fillId="0" borderId="68" xfId="0" applyNumberFormat="1" applyFont="1" applyBorder="1" applyAlignment="1">
      <alignment horizontal="right" vertical="center"/>
    </xf>
    <xf numFmtId="202" fontId="18" fillId="0" borderId="74" xfId="0" applyNumberFormat="1" applyFont="1" applyBorder="1" applyAlignment="1">
      <alignment horizontal="right" vertical="center"/>
    </xf>
    <xf numFmtId="202" fontId="18" fillId="0" borderId="33" xfId="0" applyNumberFormat="1" applyFont="1" applyBorder="1" applyAlignment="1">
      <alignment horizontal="right" vertical="center"/>
    </xf>
    <xf numFmtId="202" fontId="18" fillId="0" borderId="31" xfId="0" applyNumberFormat="1" applyFont="1" applyBorder="1" applyAlignment="1">
      <alignment horizontal="right" vertical="center"/>
    </xf>
    <xf numFmtId="202" fontId="18" fillId="0" borderId="75" xfId="0" applyNumberFormat="1" applyFont="1" applyBorder="1" applyAlignment="1">
      <alignment horizontal="right" vertical="center"/>
    </xf>
    <xf numFmtId="204" fontId="18" fillId="0" borderId="66" xfId="0" applyNumberFormat="1" applyFont="1" applyBorder="1" applyAlignment="1">
      <alignment horizontal="right" vertical="center"/>
    </xf>
    <xf numFmtId="204" fontId="18" fillId="0" borderId="21" xfId="0" applyNumberFormat="1" applyFont="1" applyBorder="1" applyAlignment="1">
      <alignment horizontal="right" vertical="center"/>
    </xf>
    <xf numFmtId="204" fontId="18" fillId="0" borderId="14" xfId="0" applyNumberFormat="1" applyFont="1" applyBorder="1" applyAlignment="1">
      <alignment horizontal="right" vertical="center"/>
    </xf>
    <xf numFmtId="204" fontId="18" fillId="0" borderId="70" xfId="0" applyNumberFormat="1" applyFont="1" applyBorder="1" applyAlignment="1">
      <alignment horizontal="right" vertical="center"/>
    </xf>
    <xf numFmtId="204" fontId="18" fillId="0" borderId="71" xfId="0" applyNumberFormat="1" applyFont="1" applyBorder="1" applyAlignment="1">
      <alignment horizontal="right" vertical="center"/>
    </xf>
    <xf numFmtId="204" fontId="18" fillId="0" borderId="11" xfId="0" applyNumberFormat="1" applyFont="1" applyBorder="1" applyAlignment="1">
      <alignment horizontal="right" vertical="center"/>
    </xf>
    <xf numFmtId="204" fontId="18" fillId="0" borderId="8" xfId="0" applyNumberFormat="1" applyFont="1" applyBorder="1" applyAlignment="1">
      <alignment horizontal="right" vertical="center"/>
    </xf>
    <xf numFmtId="204" fontId="18" fillId="0" borderId="72" xfId="0" applyNumberFormat="1" applyFont="1" applyBorder="1" applyAlignment="1">
      <alignment horizontal="right" vertical="center"/>
    </xf>
    <xf numFmtId="204" fontId="18" fillId="0" borderId="67" xfId="0" applyNumberFormat="1" applyFont="1" applyBorder="1" applyAlignment="1">
      <alignment horizontal="right" vertical="center"/>
    </xf>
    <xf numFmtId="204" fontId="18" fillId="0" borderId="25" xfId="0" applyNumberFormat="1" applyFont="1" applyBorder="1" applyAlignment="1">
      <alignment horizontal="right" vertical="center"/>
    </xf>
    <xf numFmtId="204" fontId="18" fillId="0" borderId="23" xfId="0" applyNumberFormat="1" applyFont="1" applyBorder="1" applyAlignment="1">
      <alignment horizontal="right" vertical="center"/>
    </xf>
    <xf numFmtId="204" fontId="18" fillId="0" borderId="68" xfId="0" applyNumberFormat="1" applyFont="1" applyBorder="1" applyAlignment="1">
      <alignment horizontal="right" vertical="center"/>
    </xf>
    <xf numFmtId="204" fontId="18" fillId="0" borderId="74" xfId="0" applyNumberFormat="1" applyFont="1" applyBorder="1" applyAlignment="1">
      <alignment horizontal="right" vertical="center"/>
    </xf>
    <xf numFmtId="204" fontId="18" fillId="0" borderId="33" xfId="0" applyNumberFormat="1" applyFont="1" applyBorder="1" applyAlignment="1">
      <alignment horizontal="right" vertical="center"/>
    </xf>
    <xf numFmtId="204" fontId="18" fillId="0" borderId="31" xfId="0" applyNumberFormat="1" applyFont="1" applyBorder="1" applyAlignment="1">
      <alignment horizontal="right" vertical="center"/>
    </xf>
    <xf numFmtId="204" fontId="18" fillId="0" borderId="75" xfId="0" applyNumberFormat="1" applyFont="1" applyBorder="1" applyAlignment="1">
      <alignment horizontal="right" vertical="center"/>
    </xf>
    <xf numFmtId="204" fontId="0" fillId="0" borderId="0" xfId="0" applyNumberFormat="1" applyAlignment="1">
      <alignment horizontal="center" vertical="center"/>
    </xf>
    <xf numFmtId="0" fontId="18" fillId="0" borderId="76" xfId="0" applyFont="1" applyBorder="1" applyAlignment="1">
      <alignment horizontal="center" vertical="center"/>
    </xf>
    <xf numFmtId="0" fontId="18" fillId="0" borderId="77" xfId="0" applyFont="1" applyBorder="1" applyAlignment="1">
      <alignment horizontal="center" vertical="center"/>
    </xf>
    <xf numFmtId="182" fontId="0" fillId="0" borderId="0" xfId="1" applyNumberFormat="1" applyFon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97" fontId="0" fillId="0" borderId="0" xfId="0" applyNumberFormat="1">
      <alignment vertical="center"/>
    </xf>
    <xf numFmtId="184" fontId="0" fillId="0" borderId="0" xfId="0" applyNumberFormat="1">
      <alignment vertical="center"/>
    </xf>
    <xf numFmtId="0" fontId="7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0" fillId="0" borderId="12" xfId="0" applyBorder="1" applyAlignment="1">
      <alignment horizontal="left" vertical="center" indent="1"/>
    </xf>
    <xf numFmtId="0" fontId="0" fillId="0" borderId="1" xfId="0" applyBorder="1" applyAlignment="1">
      <alignment horizontal="left" vertical="center" indent="1"/>
    </xf>
    <xf numFmtId="0" fontId="0" fillId="0" borderId="2" xfId="0" applyBorder="1" applyAlignment="1">
      <alignment horizontal="left" vertical="center" indent="1"/>
    </xf>
    <xf numFmtId="197" fontId="8" fillId="0" borderId="46" xfId="0" applyNumberFormat="1" applyFont="1" applyBorder="1" applyAlignment="1">
      <alignment horizontal="center" vertical="center"/>
    </xf>
    <xf numFmtId="197" fontId="8" fillId="0" borderId="44" xfId="0" applyNumberFormat="1" applyFont="1" applyBorder="1" applyAlignment="1">
      <alignment horizontal="center" vertical="center"/>
    </xf>
    <xf numFmtId="182" fontId="8" fillId="8" borderId="46" xfId="0" applyNumberFormat="1" applyFont="1" applyFill="1" applyBorder="1">
      <alignment vertical="center"/>
    </xf>
    <xf numFmtId="182" fontId="8" fillId="8" borderId="47" xfId="0" applyNumberFormat="1" applyFont="1" applyFill="1" applyBorder="1">
      <alignment vertical="center"/>
    </xf>
    <xf numFmtId="182" fontId="8" fillId="0" borderId="46" xfId="0" applyNumberFormat="1" applyFont="1" applyBorder="1" applyAlignment="1">
      <alignment horizontal="center" vertical="center"/>
    </xf>
    <xf numFmtId="182" fontId="8" fillId="0" borderId="44" xfId="0" applyNumberFormat="1" applyFont="1" applyBorder="1" applyAlignment="1">
      <alignment horizontal="center" vertical="center"/>
    </xf>
    <xf numFmtId="182" fontId="7" fillId="8" borderId="17" xfId="0" applyNumberFormat="1" applyFont="1" applyFill="1" applyBorder="1">
      <alignment vertical="center"/>
    </xf>
    <xf numFmtId="182" fontId="7" fillId="8" borderId="18" xfId="0" applyNumberFormat="1" applyFont="1" applyFill="1" applyBorder="1">
      <alignment vertical="center"/>
    </xf>
    <xf numFmtId="182" fontId="7" fillId="8" borderId="17" xfId="0" applyNumberFormat="1" applyFont="1" applyFill="1" applyBorder="1" applyAlignment="1">
      <alignment horizontal="center" vertical="center"/>
    </xf>
    <xf numFmtId="182" fontId="7" fillId="8" borderId="26" xfId="0" applyNumberFormat="1" applyFont="1" applyFill="1" applyBorder="1" applyAlignment="1">
      <alignment horizontal="center" vertical="center"/>
    </xf>
    <xf numFmtId="182" fontId="0" fillId="0" borderId="19" xfId="0" applyNumberFormat="1" applyBorder="1" applyAlignment="1">
      <alignment horizontal="center" vertical="center"/>
    </xf>
    <xf numFmtId="182" fontId="8" fillId="6" borderId="60" xfId="0" applyNumberFormat="1" applyFont="1" applyFill="1" applyBorder="1">
      <alignment vertical="center"/>
    </xf>
    <xf numFmtId="182" fontId="8" fillId="6" borderId="62" xfId="0" applyNumberFormat="1" applyFont="1" applyFill="1" applyBorder="1">
      <alignment vertical="center"/>
    </xf>
    <xf numFmtId="182" fontId="8" fillId="3" borderId="46" xfId="0" applyNumberFormat="1" applyFont="1" applyFill="1" applyBorder="1">
      <alignment vertical="center"/>
    </xf>
    <xf numFmtId="182" fontId="8" fillId="3" borderId="47" xfId="0" applyNumberFormat="1" applyFont="1" applyFill="1" applyBorder="1">
      <alignment vertical="center"/>
    </xf>
    <xf numFmtId="182" fontId="8" fillId="6" borderId="46" xfId="0" applyNumberFormat="1" applyFont="1" applyFill="1" applyBorder="1">
      <alignment vertical="center"/>
    </xf>
    <xf numFmtId="182" fontId="8" fillId="6" borderId="47" xfId="0" applyNumberFormat="1" applyFont="1" applyFill="1" applyBorder="1">
      <alignment vertical="center"/>
    </xf>
    <xf numFmtId="197" fontId="7" fillId="7" borderId="12" xfId="0" applyNumberFormat="1" applyFont="1" applyFill="1" applyBorder="1" applyAlignment="1">
      <alignment horizontal="center" vertical="center"/>
    </xf>
    <xf numFmtId="197" fontId="7" fillId="7" borderId="2" xfId="0" applyNumberFormat="1" applyFont="1" applyFill="1" applyBorder="1" applyAlignment="1">
      <alignment horizontal="center" vertical="center"/>
    </xf>
    <xf numFmtId="182" fontId="7" fillId="7" borderId="12" xfId="0" applyNumberFormat="1" applyFont="1" applyFill="1" applyBorder="1">
      <alignment vertical="center"/>
    </xf>
    <xf numFmtId="182" fontId="7" fillId="7" borderId="1" xfId="0" applyNumberFormat="1" applyFont="1" applyFill="1" applyBorder="1">
      <alignment vertical="center"/>
    </xf>
    <xf numFmtId="177" fontId="7" fillId="7" borderId="12" xfId="0" applyNumberFormat="1" applyFont="1" applyFill="1" applyBorder="1" applyAlignment="1">
      <alignment horizontal="center" vertical="center"/>
    </xf>
    <xf numFmtId="177" fontId="7" fillId="7" borderId="2" xfId="0" applyNumberFormat="1" applyFont="1" applyFill="1" applyBorder="1" applyAlignment="1">
      <alignment horizontal="center" vertical="center"/>
    </xf>
    <xf numFmtId="179" fontId="0" fillId="0" borderId="12" xfId="0" applyNumberFormat="1" applyBorder="1" applyAlignment="1">
      <alignment horizontal="right" vertical="center"/>
    </xf>
    <xf numFmtId="179" fontId="0" fillId="0" borderId="1" xfId="0" applyNumberFormat="1" applyBorder="1" applyAlignment="1">
      <alignment horizontal="right" vertical="center"/>
    </xf>
    <xf numFmtId="197" fontId="3" fillId="4" borderId="17" xfId="0" applyNumberFormat="1" applyFont="1" applyFill="1" applyBorder="1" applyAlignment="1">
      <alignment horizontal="center" vertical="center"/>
    </xf>
    <xf numFmtId="197" fontId="3" fillId="4" borderId="26" xfId="0" applyNumberFormat="1" applyFont="1" applyFill="1" applyBorder="1" applyAlignment="1">
      <alignment horizontal="center" vertical="center"/>
    </xf>
    <xf numFmtId="182" fontId="3" fillId="4" borderId="17" xfId="0" applyNumberFormat="1" applyFont="1" applyFill="1" applyBorder="1">
      <alignment vertical="center"/>
    </xf>
    <xf numFmtId="182" fontId="3" fillId="4" borderId="18" xfId="0" applyNumberFormat="1" applyFont="1" applyFill="1" applyBorder="1">
      <alignment vertical="center"/>
    </xf>
    <xf numFmtId="182" fontId="3" fillId="4" borderId="17" xfId="0" applyNumberFormat="1" applyFont="1" applyFill="1" applyBorder="1" applyAlignment="1">
      <alignment horizontal="center" vertical="center"/>
    </xf>
    <xf numFmtId="182" fontId="3" fillId="4" borderId="26" xfId="0" applyNumberFormat="1" applyFont="1" applyFill="1" applyBorder="1" applyAlignment="1">
      <alignment horizontal="center" vertical="center"/>
    </xf>
    <xf numFmtId="182" fontId="8" fillId="3" borderId="50" xfId="0" applyNumberFormat="1" applyFont="1" applyFill="1" applyBorder="1">
      <alignment vertical="center"/>
    </xf>
    <xf numFmtId="182" fontId="8" fillId="3" borderId="51" xfId="0" applyNumberFormat="1" applyFont="1" applyFill="1" applyBorder="1">
      <alignment vertical="center"/>
    </xf>
    <xf numFmtId="182" fontId="8" fillId="0" borderId="50" xfId="0" applyNumberFormat="1" applyFont="1" applyBorder="1" applyAlignment="1">
      <alignment horizontal="center" vertical="center"/>
    </xf>
    <xf numFmtId="182" fontId="8" fillId="0" borderId="48" xfId="0" applyNumberFormat="1" applyFont="1" applyBorder="1" applyAlignment="1">
      <alignment horizontal="center" vertical="center"/>
    </xf>
    <xf numFmtId="182" fontId="8" fillId="3" borderId="46" xfId="0" applyNumberFormat="1" applyFont="1" applyFill="1" applyBorder="1" applyAlignment="1">
      <alignment horizontal="right" vertical="center"/>
    </xf>
    <xf numFmtId="182" fontId="8" fillId="3" borderId="47" xfId="0" applyNumberFormat="1" applyFont="1" applyFill="1" applyBorder="1" applyAlignment="1">
      <alignment horizontal="right" vertical="center"/>
    </xf>
    <xf numFmtId="197" fontId="8" fillId="0" borderId="42" xfId="0" applyNumberFormat="1" applyFont="1" applyBorder="1" applyAlignment="1">
      <alignment horizontal="center" vertical="center"/>
    </xf>
    <xf numFmtId="197" fontId="8" fillId="0" borderId="40" xfId="0" applyNumberFormat="1" applyFont="1" applyBorder="1" applyAlignment="1">
      <alignment horizontal="center" vertical="center"/>
    </xf>
    <xf numFmtId="197" fontId="8" fillId="0" borderId="50" xfId="0" applyNumberFormat="1" applyFont="1" applyBorder="1" applyAlignment="1">
      <alignment horizontal="center" vertical="center"/>
    </xf>
    <xf numFmtId="197" fontId="8" fillId="0" borderId="48" xfId="0" applyNumberFormat="1" applyFont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4" borderId="27" xfId="0" applyFont="1" applyFill="1" applyBorder="1" applyAlignment="1">
      <alignment horizontal="center" vertical="center"/>
    </xf>
    <xf numFmtId="0" fontId="3" fillId="4" borderId="28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29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182" fontId="8" fillId="8" borderId="60" xfId="0" applyNumberFormat="1" applyFont="1" applyFill="1" applyBorder="1">
      <alignment vertical="center"/>
    </xf>
    <xf numFmtId="182" fontId="8" fillId="8" borderId="62" xfId="0" applyNumberFormat="1" applyFont="1" applyFill="1" applyBorder="1">
      <alignment vertical="center"/>
    </xf>
    <xf numFmtId="182" fontId="8" fillId="0" borderId="60" xfId="0" applyNumberFormat="1" applyFont="1" applyBorder="1" applyAlignment="1">
      <alignment horizontal="center" vertical="center"/>
    </xf>
    <xf numFmtId="182" fontId="8" fillId="0" borderId="59" xfId="0" applyNumberFormat="1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197" fontId="8" fillId="0" borderId="60" xfId="0" applyNumberFormat="1" applyFont="1" applyBorder="1" applyAlignment="1">
      <alignment horizontal="center" vertical="center"/>
    </xf>
    <xf numFmtId="197" fontId="8" fillId="0" borderId="59" xfId="0" applyNumberFormat="1" applyFont="1" applyBorder="1" applyAlignment="1">
      <alignment horizontal="center" vertical="center"/>
    </xf>
    <xf numFmtId="197" fontId="7" fillId="8" borderId="17" xfId="0" applyNumberFormat="1" applyFont="1" applyFill="1" applyBorder="1" applyAlignment="1">
      <alignment horizontal="center" vertical="center"/>
    </xf>
    <xf numFmtId="197" fontId="7" fillId="8" borderId="26" xfId="0" applyNumberFormat="1" applyFont="1" applyFill="1" applyBorder="1" applyAlignment="1">
      <alignment horizontal="center" vertical="center"/>
    </xf>
    <xf numFmtId="197" fontId="7" fillId="6" borderId="17" xfId="0" applyNumberFormat="1" applyFont="1" applyFill="1" applyBorder="1" applyAlignment="1">
      <alignment horizontal="center" vertical="center"/>
    </xf>
    <xf numFmtId="197" fontId="7" fillId="6" borderId="26" xfId="0" applyNumberFormat="1" applyFont="1" applyFill="1" applyBorder="1" applyAlignment="1">
      <alignment horizontal="center" vertical="center"/>
    </xf>
    <xf numFmtId="182" fontId="7" fillId="6" borderId="17" xfId="0" applyNumberFormat="1" applyFont="1" applyFill="1" applyBorder="1">
      <alignment vertical="center"/>
    </xf>
    <xf numFmtId="182" fontId="7" fillId="6" borderId="18" xfId="0" applyNumberFormat="1" applyFont="1" applyFill="1" applyBorder="1">
      <alignment vertical="center"/>
    </xf>
    <xf numFmtId="182" fontId="7" fillId="6" borderId="17" xfId="0" applyNumberFormat="1" applyFont="1" applyFill="1" applyBorder="1" applyAlignment="1">
      <alignment horizontal="center" vertical="center"/>
    </xf>
    <xf numFmtId="182" fontId="7" fillId="6" borderId="26" xfId="0" applyNumberFormat="1" applyFont="1" applyFill="1" applyBorder="1" applyAlignment="1">
      <alignment horizontal="center" vertical="center"/>
    </xf>
    <xf numFmtId="182" fontId="8" fillId="3" borderId="57" xfId="0" applyNumberFormat="1" applyFont="1" applyFill="1" applyBorder="1">
      <alignment vertical="center"/>
    </xf>
    <xf numFmtId="182" fontId="8" fillId="3" borderId="58" xfId="0" applyNumberFormat="1" applyFont="1" applyFill="1" applyBorder="1">
      <alignment vertical="center"/>
    </xf>
    <xf numFmtId="182" fontId="8" fillId="0" borderId="57" xfId="0" applyNumberFormat="1" applyFont="1" applyBorder="1" applyAlignment="1">
      <alignment horizontal="center" vertical="center"/>
    </xf>
    <xf numFmtId="182" fontId="8" fillId="0" borderId="56" xfId="0" applyNumberFormat="1" applyFont="1" applyBorder="1" applyAlignment="1">
      <alignment horizontal="center" vertical="center"/>
    </xf>
    <xf numFmtId="182" fontId="8" fillId="6" borderId="50" xfId="0" applyNumberFormat="1" applyFont="1" applyFill="1" applyBorder="1">
      <alignment vertical="center"/>
    </xf>
    <xf numFmtId="182" fontId="8" fillId="6" borderId="51" xfId="0" applyNumberFormat="1" applyFont="1" applyFill="1" applyBorder="1">
      <alignment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30" xfId="0" applyFont="1" applyFill="1" applyBorder="1" applyAlignment="1">
      <alignment horizontal="center" vertical="center"/>
    </xf>
    <xf numFmtId="0" fontId="0" fillId="0" borderId="4" xfId="0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0" fillId="0" borderId="31" xfId="0" applyBorder="1" applyAlignment="1">
      <alignment horizontal="right" vertical="center"/>
    </xf>
    <xf numFmtId="0" fontId="0" fillId="0" borderId="20" xfId="0" applyBorder="1" applyAlignment="1">
      <alignment horizontal="right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179" fontId="0" fillId="0" borderId="32" xfId="0" applyNumberFormat="1" applyBorder="1" applyAlignment="1">
      <alignment horizontal="center" vertical="center"/>
    </xf>
    <xf numFmtId="179" fontId="0" fillId="0" borderId="33" xfId="0" applyNumberFormat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0" fontId="0" fillId="0" borderId="12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2" xfId="0" applyNumberFormat="1" applyBorder="1" applyAlignment="1">
      <alignment horizontal="center" vertical="center"/>
    </xf>
    <xf numFmtId="179" fontId="0" fillId="0" borderId="12" xfId="0" applyNumberFormat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9" fontId="0" fillId="0" borderId="2" xfId="0" applyNumberFormat="1" applyBorder="1" applyAlignment="1">
      <alignment horizontal="center" vertical="center"/>
    </xf>
    <xf numFmtId="192" fontId="0" fillId="0" borderId="12" xfId="0" applyNumberFormat="1" applyBorder="1" applyAlignment="1">
      <alignment horizontal="center" vertical="center"/>
    </xf>
    <xf numFmtId="192" fontId="0" fillId="0" borderId="1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0" fillId="0" borderId="12" xfId="0" applyNumberFormat="1" applyBorder="1" applyAlignment="1">
      <alignment horizontal="right" vertical="center" indent="2"/>
    </xf>
    <xf numFmtId="179" fontId="0" fillId="0" borderId="1" xfId="0" applyNumberFormat="1" applyBorder="1" applyAlignment="1">
      <alignment horizontal="right" vertical="center" indent="2"/>
    </xf>
    <xf numFmtId="10" fontId="0" fillId="0" borderId="1" xfId="0" applyNumberFormat="1" applyBorder="1" applyAlignment="1">
      <alignment horizontal="left" vertical="center"/>
    </xf>
    <xf numFmtId="10" fontId="0" fillId="0" borderId="2" xfId="0" applyNumberFormat="1" applyBorder="1" applyAlignment="1">
      <alignment horizontal="left" vertical="center"/>
    </xf>
    <xf numFmtId="0" fontId="0" fillId="0" borderId="12" xfId="0" applyBorder="1" applyAlignment="1">
      <alignment horizontal="left" vertical="center" indent="2"/>
    </xf>
    <xf numFmtId="0" fontId="0" fillId="0" borderId="1" xfId="0" applyBorder="1" applyAlignment="1">
      <alignment horizontal="left" vertical="center" indent="2"/>
    </xf>
    <xf numFmtId="180" fontId="0" fillId="0" borderId="3" xfId="0" applyNumberFormat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180" fontId="0" fillId="0" borderId="12" xfId="0" applyNumberFormat="1" applyBorder="1" applyAlignment="1">
      <alignment horizontal="center" vertical="center"/>
    </xf>
    <xf numFmtId="180" fontId="0" fillId="0" borderId="2" xfId="0" applyNumberFormat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180" fontId="0" fillId="3" borderId="3" xfId="0" applyNumberFormat="1" applyFill="1" applyBorder="1" applyAlignment="1">
      <alignment horizontal="center" vertical="center"/>
    </xf>
    <xf numFmtId="183" fontId="4" fillId="0" borderId="12" xfId="0" applyNumberFormat="1" applyFont="1" applyBorder="1" applyAlignment="1">
      <alignment horizontal="center" vertical="center"/>
    </xf>
    <xf numFmtId="183" fontId="4" fillId="0" borderId="2" xfId="0" applyNumberFormat="1" applyFont="1" applyBorder="1" applyAlignment="1">
      <alignment horizontal="center" vertical="center"/>
    </xf>
    <xf numFmtId="10" fontId="0" fillId="0" borderId="12" xfId="1" applyNumberFormat="1" applyFont="1" applyBorder="1" applyAlignment="1">
      <alignment horizontal="center" vertical="center"/>
    </xf>
    <xf numFmtId="10" fontId="0" fillId="0" borderId="2" xfId="1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54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right" vertical="center" indent="1"/>
    </xf>
    <xf numFmtId="0" fontId="0" fillId="0" borderId="1" xfId="0" applyBorder="1" applyAlignment="1">
      <alignment horizontal="right" vertical="center" indent="1"/>
    </xf>
    <xf numFmtId="0" fontId="0" fillId="0" borderId="2" xfId="0" applyBorder="1" applyAlignment="1">
      <alignment horizontal="right" vertical="center" indent="1"/>
    </xf>
    <xf numFmtId="178" fontId="0" fillId="3" borderId="3" xfId="0" applyNumberForma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8" xfId="0" applyBorder="1" applyAlignment="1">
      <alignment horizontal="left" vertical="center" indent="1"/>
    </xf>
    <xf numFmtId="0" fontId="0" fillId="0" borderId="9" xfId="0" applyBorder="1" applyAlignment="1">
      <alignment horizontal="left" vertical="center" indent="1"/>
    </xf>
    <xf numFmtId="0" fontId="0" fillId="0" borderId="10" xfId="0" applyBorder="1" applyAlignment="1">
      <alignment horizontal="left" vertical="center" indent="1"/>
    </xf>
    <xf numFmtId="185" fontId="7" fillId="3" borderId="1" xfId="0" applyNumberFormat="1" applyFont="1" applyFill="1" applyBorder="1" applyAlignment="1">
      <alignment horizontal="center" vertical="center"/>
    </xf>
    <xf numFmtId="185" fontId="7" fillId="3" borderId="2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9" fontId="0" fillId="0" borderId="12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185" fontId="8" fillId="2" borderId="1" xfId="0" applyNumberFormat="1" applyFont="1" applyFill="1" applyBorder="1" applyAlignment="1">
      <alignment horizontal="center" vertical="center"/>
    </xf>
    <xf numFmtId="185" fontId="8" fillId="2" borderId="2" xfId="0" applyNumberFormat="1" applyFont="1" applyFill="1" applyBorder="1" applyAlignment="1">
      <alignment horizontal="center" vertical="center"/>
    </xf>
    <xf numFmtId="200" fontId="0" fillId="0" borderId="8" xfId="0" applyNumberFormat="1" applyBorder="1" applyAlignment="1">
      <alignment horizontal="center" vertical="center"/>
    </xf>
    <xf numFmtId="0" fontId="3" fillId="3" borderId="32" xfId="0" applyFont="1" applyFill="1" applyBorder="1" applyAlignment="1">
      <alignment horizontal="left" vertical="center"/>
    </xf>
    <xf numFmtId="0" fontId="3" fillId="3" borderId="11" xfId="0" applyFont="1" applyFill="1" applyBorder="1" applyAlignment="1">
      <alignment horizontal="left" vertical="center"/>
    </xf>
    <xf numFmtId="0" fontId="3" fillId="3" borderId="6" xfId="0" applyFont="1" applyFill="1" applyBorder="1" applyAlignment="1">
      <alignment horizontal="right" vertical="center"/>
    </xf>
    <xf numFmtId="0" fontId="3" fillId="3" borderId="10" xfId="0" applyFont="1" applyFill="1" applyBorder="1" applyAlignment="1">
      <alignment horizontal="right" vertical="center"/>
    </xf>
    <xf numFmtId="0" fontId="5" fillId="0" borderId="12" xfId="0" applyFont="1" applyBorder="1" applyAlignment="1">
      <alignment horizontal="left" vertical="center" indent="2"/>
    </xf>
    <xf numFmtId="0" fontId="6" fillId="0" borderId="1" xfId="0" applyFont="1" applyBorder="1" applyAlignment="1">
      <alignment horizontal="left" vertical="center" indent="2"/>
    </xf>
    <xf numFmtId="0" fontId="6" fillId="0" borderId="2" xfId="0" applyFont="1" applyBorder="1" applyAlignment="1">
      <alignment horizontal="left" vertical="center" indent="2"/>
    </xf>
    <xf numFmtId="179" fontId="8" fillId="3" borderId="4" xfId="0" applyNumberFormat="1" applyFont="1" applyFill="1" applyBorder="1" applyAlignment="1">
      <alignment horizontal="center" vertical="center"/>
    </xf>
    <xf numFmtId="179" fontId="8" fillId="3" borderId="6" xfId="0" applyNumberFormat="1" applyFont="1" applyFill="1" applyBorder="1" applyAlignment="1">
      <alignment horizontal="center" vertical="center"/>
    </xf>
    <xf numFmtId="179" fontId="8" fillId="3" borderId="8" xfId="0" applyNumberFormat="1" applyFont="1" applyFill="1" applyBorder="1" applyAlignment="1">
      <alignment horizontal="center" vertical="center"/>
    </xf>
    <xf numFmtId="179" fontId="8" fillId="3" borderId="10" xfId="0" applyNumberFormat="1" applyFont="1" applyFill="1" applyBorder="1" applyAlignment="1">
      <alignment horizontal="center" vertical="center"/>
    </xf>
    <xf numFmtId="185" fontId="8" fillId="3" borderId="1" xfId="0" applyNumberFormat="1" applyFont="1" applyFill="1" applyBorder="1" applyAlignment="1">
      <alignment horizontal="center" vertical="center"/>
    </xf>
    <xf numFmtId="185" fontId="8" fillId="3" borderId="2" xfId="0" applyNumberFormat="1" applyFont="1" applyFill="1" applyBorder="1" applyAlignment="1">
      <alignment horizontal="center" vertical="center"/>
    </xf>
    <xf numFmtId="187" fontId="0" fillId="0" borderId="8" xfId="1" applyNumberFormat="1" applyFont="1" applyBorder="1" applyAlignment="1">
      <alignment horizontal="center" vertical="center"/>
    </xf>
    <xf numFmtId="187" fontId="0" fillId="0" borderId="9" xfId="1" applyNumberFormat="1" applyFont="1" applyBorder="1" applyAlignment="1">
      <alignment horizontal="center" vertical="center"/>
    </xf>
    <xf numFmtId="0" fontId="3" fillId="4" borderId="24" xfId="0" applyFont="1" applyFill="1" applyBorder="1" applyAlignment="1">
      <alignment horizontal="center" vertical="center"/>
    </xf>
    <xf numFmtId="0" fontId="3" fillId="4" borderId="22" xfId="0" applyFont="1" applyFill="1" applyBorder="1" applyAlignment="1">
      <alignment horizontal="center" vertical="center"/>
    </xf>
    <xf numFmtId="0" fontId="3" fillId="4" borderId="23" xfId="0" applyFont="1" applyFill="1" applyBorder="1" applyAlignment="1">
      <alignment horizontal="center" vertical="center"/>
    </xf>
    <xf numFmtId="0" fontId="3" fillId="4" borderId="25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left" vertical="center" indent="2"/>
    </xf>
    <xf numFmtId="0" fontId="6" fillId="0" borderId="15" xfId="0" applyFont="1" applyBorder="1" applyAlignment="1">
      <alignment horizontal="left" vertical="center" indent="2"/>
    </xf>
    <xf numFmtId="0" fontId="6" fillId="0" borderId="13" xfId="0" applyFont="1" applyBorder="1" applyAlignment="1">
      <alignment horizontal="left" vertical="center" indent="2"/>
    </xf>
    <xf numFmtId="0" fontId="0" fillId="0" borderId="2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4" xfId="0" applyBorder="1" applyAlignment="1">
      <alignment horizontal="left" vertical="center" indent="1"/>
    </xf>
    <xf numFmtId="0" fontId="0" fillId="0" borderId="15" xfId="0" applyBorder="1" applyAlignment="1">
      <alignment horizontal="left" vertical="center" indent="1"/>
    </xf>
    <xf numFmtId="0" fontId="0" fillId="0" borderId="13" xfId="0" applyBorder="1" applyAlignment="1">
      <alignment horizontal="left" vertical="center" indent="1"/>
    </xf>
    <xf numFmtId="0" fontId="6" fillId="0" borderId="12" xfId="0" applyFont="1" applyBorder="1" applyAlignment="1">
      <alignment horizontal="left" vertical="center" indent="2"/>
    </xf>
    <xf numFmtId="0" fontId="0" fillId="0" borderId="2" xfId="0" applyBorder="1" applyAlignment="1">
      <alignment horizontal="left" vertical="center" indent="2"/>
    </xf>
    <xf numFmtId="189" fontId="0" fillId="0" borderId="8" xfId="0" applyNumberFormat="1" applyBorder="1" applyAlignment="1">
      <alignment horizontal="center" vertical="center"/>
    </xf>
    <xf numFmtId="189" fontId="10" fillId="0" borderId="9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10" fontId="0" fillId="0" borderId="8" xfId="1" applyNumberFormat="1" applyFont="1" applyBorder="1" applyAlignment="1">
      <alignment horizontal="center" vertical="center"/>
    </xf>
    <xf numFmtId="10" fontId="0" fillId="0" borderId="9" xfId="1" applyNumberFormat="1" applyFont="1" applyBorder="1" applyAlignment="1">
      <alignment horizontal="center" vertical="center"/>
    </xf>
    <xf numFmtId="193" fontId="0" fillId="0" borderId="3" xfId="0" applyNumberFormat="1" applyBorder="1" applyAlignment="1">
      <alignment horizontal="center" vertical="center"/>
    </xf>
    <xf numFmtId="195" fontId="0" fillId="0" borderId="12" xfId="0" applyNumberFormat="1" applyBorder="1" applyAlignment="1">
      <alignment horizontal="center" vertical="center"/>
    </xf>
    <xf numFmtId="195" fontId="0" fillId="0" borderId="1" xfId="0" applyNumberFormat="1" applyBorder="1" applyAlignment="1">
      <alignment horizontal="center" vertical="center"/>
    </xf>
    <xf numFmtId="182" fontId="0" fillId="0" borderId="46" xfId="0" applyNumberFormat="1" applyBorder="1" applyAlignment="1">
      <alignment horizontal="center" vertical="center"/>
    </xf>
    <xf numFmtId="182" fontId="0" fillId="0" borderId="44" xfId="0" applyNumberFormat="1" applyBorder="1" applyAlignment="1">
      <alignment horizontal="center" vertical="center"/>
    </xf>
    <xf numFmtId="182" fontId="8" fillId="3" borderId="42" xfId="0" applyNumberFormat="1" applyFont="1" applyFill="1" applyBorder="1">
      <alignment vertical="center"/>
    </xf>
    <xf numFmtId="182" fontId="8" fillId="3" borderId="43" xfId="0" applyNumberFormat="1" applyFont="1" applyFill="1" applyBorder="1">
      <alignment vertical="center"/>
    </xf>
    <xf numFmtId="182" fontId="8" fillId="0" borderId="42" xfId="0" applyNumberFormat="1" applyFont="1" applyBorder="1" applyAlignment="1">
      <alignment horizontal="center" vertical="center"/>
    </xf>
    <xf numFmtId="182" fontId="8" fillId="0" borderId="40" xfId="0" applyNumberFormat="1" applyFont="1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45319-7D20-49BD-9242-576897098AD5}">
  <sheetPr>
    <tabColor theme="9" tint="-0.249977111117893"/>
    <pageSetUpPr fitToPage="1"/>
  </sheetPr>
  <dimension ref="A2:AA130"/>
  <sheetViews>
    <sheetView showGridLines="0" tabSelected="1" view="pageBreakPreview" topLeftCell="A5" zoomScaleNormal="70" zoomScaleSheetLayoutView="100" workbookViewId="0">
      <selection activeCell="F21" sqref="F21"/>
    </sheetView>
  </sheetViews>
  <sheetFormatPr defaultRowHeight="16.5"/>
  <cols>
    <col min="1" max="1" width="9" style="13" customWidth="1"/>
    <col min="2" max="2" width="12.625" style="13" customWidth="1"/>
    <col min="3" max="3" width="16.375" style="13" customWidth="1"/>
    <col min="4" max="4" width="18.125" style="13" customWidth="1"/>
    <col min="5" max="5" width="18.625" customWidth="1"/>
    <col min="6" max="6" width="15.75" customWidth="1"/>
    <col min="7" max="7" width="14.25" bestFit="1" customWidth="1"/>
    <col min="8" max="8" width="12.625" customWidth="1"/>
    <col min="9" max="9" width="15.25" customWidth="1"/>
    <col min="10" max="10" width="14.125" customWidth="1"/>
    <col min="11" max="11" width="6.25" customWidth="1"/>
    <col min="12" max="12" width="18.625" customWidth="1"/>
    <col min="13" max="13" width="15.25" customWidth="1"/>
    <col min="14" max="15" width="12.625" customWidth="1"/>
    <col min="16" max="16" width="31" customWidth="1"/>
    <col min="17" max="17" width="17.875" style="13" customWidth="1"/>
    <col min="18" max="18" width="15.75" style="13" customWidth="1"/>
    <col min="19" max="19" width="15.625" style="13" customWidth="1"/>
    <col min="20" max="20" width="16.5" customWidth="1"/>
    <col min="21" max="21" width="16.25" customWidth="1"/>
    <col min="24" max="24" width="13.75" bestFit="1" customWidth="1"/>
    <col min="25" max="25" width="12.25" bestFit="1" customWidth="1"/>
  </cols>
  <sheetData>
    <row r="2" spans="2:27" ht="45" customHeight="1">
      <c r="B2" s="138" t="s">
        <v>147</v>
      </c>
    </row>
    <row r="3" spans="2:27" ht="30" customHeight="1">
      <c r="B3" s="3" t="s">
        <v>115</v>
      </c>
      <c r="C3" s="1"/>
      <c r="D3" s="1"/>
      <c r="L3" s="3" t="s">
        <v>1</v>
      </c>
    </row>
    <row r="4" spans="2:27" ht="5.25" customHeight="1" thickBot="1"/>
    <row r="5" spans="2:27" ht="39.950000000000003" customHeight="1" thickBot="1">
      <c r="B5" s="443" t="s">
        <v>69</v>
      </c>
      <c r="C5" s="443"/>
      <c r="D5" s="444"/>
      <c r="E5" s="445" t="s">
        <v>107</v>
      </c>
      <c r="F5" s="443"/>
      <c r="G5" s="443"/>
      <c r="H5" s="443"/>
      <c r="I5" s="33"/>
      <c r="J5" s="33"/>
      <c r="K5" s="35"/>
      <c r="L5" s="444" t="s">
        <v>2</v>
      </c>
      <c r="M5" s="446"/>
      <c r="N5" s="446" t="s">
        <v>3</v>
      </c>
      <c r="O5" s="446"/>
      <c r="P5" s="446"/>
      <c r="Q5" s="446"/>
      <c r="R5" s="48" t="s">
        <v>4</v>
      </c>
      <c r="S5" s="34" t="s">
        <v>5</v>
      </c>
    </row>
    <row r="6" spans="2:27" ht="20.100000000000001" customHeight="1">
      <c r="B6" s="447" t="s">
        <v>70</v>
      </c>
      <c r="C6" s="447"/>
      <c r="D6" s="448"/>
      <c r="E6" s="449" t="s">
        <v>108</v>
      </c>
      <c r="F6" s="450"/>
      <c r="G6" s="450"/>
      <c r="H6" s="451"/>
      <c r="I6" s="452"/>
      <c r="J6" s="453"/>
      <c r="L6" s="447" t="s">
        <v>6</v>
      </c>
      <c r="M6" s="448"/>
      <c r="N6" s="454" t="s">
        <v>71</v>
      </c>
      <c r="O6" s="455"/>
      <c r="P6" s="456"/>
      <c r="Q6" s="5" t="s">
        <v>72</v>
      </c>
      <c r="R6" s="5" t="s">
        <v>112</v>
      </c>
      <c r="S6" s="47"/>
    </row>
    <row r="7" spans="2:27" ht="20.100000000000001" customHeight="1">
      <c r="B7" s="276" t="s">
        <v>73</v>
      </c>
      <c r="C7" s="276"/>
      <c r="D7" s="277"/>
      <c r="E7" s="457" t="s">
        <v>109</v>
      </c>
      <c r="F7" s="433"/>
      <c r="G7" s="433"/>
      <c r="H7" s="434"/>
      <c r="I7" s="383"/>
      <c r="J7" s="384"/>
      <c r="L7" s="276" t="s">
        <v>7</v>
      </c>
      <c r="M7" s="277"/>
      <c r="N7" s="278" t="s">
        <v>8</v>
      </c>
      <c r="O7" s="279"/>
      <c r="P7" s="280"/>
      <c r="Q7" s="46" t="s">
        <v>9</v>
      </c>
      <c r="R7" s="66" t="s">
        <v>74</v>
      </c>
      <c r="S7" s="43"/>
    </row>
    <row r="8" spans="2:27" ht="20.100000000000001" customHeight="1">
      <c r="B8" s="276" t="s">
        <v>75</v>
      </c>
      <c r="C8" s="276"/>
      <c r="D8" s="277"/>
      <c r="E8" s="392" t="s">
        <v>76</v>
      </c>
      <c r="F8" s="393"/>
      <c r="G8" s="393"/>
      <c r="H8" s="458"/>
      <c r="I8" s="383"/>
      <c r="J8" s="384"/>
      <c r="L8" s="276" t="s">
        <v>10</v>
      </c>
      <c r="M8" s="277"/>
      <c r="N8" s="278" t="s">
        <v>126</v>
      </c>
      <c r="O8" s="279"/>
      <c r="P8" s="280"/>
      <c r="Q8" s="54">
        <f>'1획지'!Q8+'2획지'!Q8</f>
        <v>219.05</v>
      </c>
      <c r="R8" s="63">
        <f>'1획지'!R8+'2획지'!R8</f>
        <v>574.71</v>
      </c>
      <c r="S8" s="47" t="s">
        <v>77</v>
      </c>
    </row>
    <row r="9" spans="2:27" ht="20.100000000000001" customHeight="1">
      <c r="B9" s="276" t="s">
        <v>78</v>
      </c>
      <c r="C9" s="276"/>
      <c r="D9" s="277"/>
      <c r="E9" s="432" t="s">
        <v>110</v>
      </c>
      <c r="F9" s="433"/>
      <c r="G9" s="433"/>
      <c r="H9" s="434"/>
      <c r="I9" s="383"/>
      <c r="J9" s="384"/>
      <c r="L9" s="276" t="s">
        <v>221</v>
      </c>
      <c r="M9" s="277"/>
      <c r="N9" s="417" t="s">
        <v>87</v>
      </c>
      <c r="O9" s="418"/>
      <c r="P9" s="419"/>
      <c r="Q9" s="7" t="s">
        <v>127</v>
      </c>
      <c r="R9" s="65"/>
      <c r="S9" s="43" t="s">
        <v>121</v>
      </c>
    </row>
    <row r="10" spans="2:27" ht="20.100000000000001" customHeight="1">
      <c r="B10" s="276" t="s">
        <v>11</v>
      </c>
      <c r="C10" s="276"/>
      <c r="D10" s="277"/>
      <c r="E10" s="58">
        <v>194686.2</v>
      </c>
      <c r="F10" s="24"/>
      <c r="G10" s="439"/>
      <c r="H10" s="440"/>
      <c r="I10" s="459"/>
      <c r="J10" s="460"/>
      <c r="L10" s="276" t="s">
        <v>12</v>
      </c>
      <c r="M10" s="277"/>
      <c r="N10" s="278" t="s">
        <v>148</v>
      </c>
      <c r="O10" s="279"/>
      <c r="P10" s="280"/>
      <c r="Q10" s="54">
        <f>'1획지'!Q10+'2획지'!Q10</f>
        <v>11339.375</v>
      </c>
      <c r="R10" s="61">
        <f>'1획지'!R10+'2획지'!R10</f>
        <v>18771.2667</v>
      </c>
      <c r="S10" s="47"/>
      <c r="T10">
        <f>R10/C65</f>
        <v>4.5996732908600837</v>
      </c>
      <c r="V10" t="s">
        <v>152</v>
      </c>
    </row>
    <row r="11" spans="2:27" ht="20.100000000000001" customHeight="1">
      <c r="B11" s="358" t="s">
        <v>111</v>
      </c>
      <c r="C11" s="30" t="s">
        <v>197</v>
      </c>
      <c r="D11" s="30"/>
      <c r="E11" s="58">
        <f>9510+2645.9</f>
        <v>12155.9</v>
      </c>
      <c r="F11" s="24"/>
      <c r="G11" s="435">
        <f>E11+E12</f>
        <v>29314.199999999997</v>
      </c>
      <c r="H11" s="436"/>
      <c r="I11" s="107"/>
      <c r="J11" s="108"/>
      <c r="L11" s="105"/>
      <c r="M11" s="106"/>
      <c r="N11" s="40"/>
      <c r="O11" s="41"/>
      <c r="P11" s="42"/>
      <c r="Q11" s="54"/>
      <c r="R11" s="61"/>
      <c r="S11" s="47"/>
      <c r="T11">
        <f>T10*0.3025</f>
        <v>1.3914011704851752</v>
      </c>
      <c r="V11" t="s">
        <v>153</v>
      </c>
    </row>
    <row r="12" spans="2:27" ht="20.100000000000001" customHeight="1">
      <c r="B12" s="374"/>
      <c r="C12" s="30" t="s">
        <v>180</v>
      </c>
      <c r="D12" s="30"/>
      <c r="E12" s="58">
        <f>11813.7+730.7+718.3+3895.6</f>
        <v>17158.3</v>
      </c>
      <c r="F12" s="24"/>
      <c r="G12" s="437"/>
      <c r="H12" s="438"/>
      <c r="I12" s="107"/>
      <c r="J12" s="108"/>
      <c r="L12" s="105"/>
      <c r="M12" s="106"/>
      <c r="N12" s="40"/>
      <c r="O12" s="41"/>
      <c r="P12" s="42"/>
      <c r="Q12" s="54"/>
      <c r="R12" s="61"/>
      <c r="S12" s="47"/>
      <c r="V12">
        <f>Q10*0.2</f>
        <v>2267.875</v>
      </c>
      <c r="W12">
        <f>'1획지'!R17+'1획지'!R18+'2획지'!R17+'2획지'!R18</f>
        <v>1802.4195</v>
      </c>
      <c r="Z12" t="s">
        <v>185</v>
      </c>
    </row>
    <row r="13" spans="2:27" ht="20.100000000000001" customHeight="1">
      <c r="B13" s="276" t="s">
        <v>117</v>
      </c>
      <c r="C13" s="276"/>
      <c r="D13" s="277"/>
      <c r="E13" s="109">
        <f>E10-E11-E12</f>
        <v>165372.00000000003</v>
      </c>
      <c r="F13" s="24"/>
      <c r="G13" s="439">
        <f>E13*0.3025</f>
        <v>50025.030000000006</v>
      </c>
      <c r="H13" s="440"/>
      <c r="I13" s="441"/>
      <c r="J13" s="442"/>
      <c r="L13" s="30">
        <v>1</v>
      </c>
      <c r="M13" s="31" t="s">
        <v>13</v>
      </c>
      <c r="N13" s="278" t="s">
        <v>148</v>
      </c>
      <c r="O13" s="279"/>
      <c r="P13" s="280"/>
      <c r="Q13" s="54">
        <f>'1획지'!Q13+'2획지'!Q13</f>
        <v>1307.4000000000001</v>
      </c>
      <c r="R13" s="62">
        <f>'1획지'!R13+'2획지'!R13</f>
        <v>1506.6672000000001</v>
      </c>
      <c r="S13" s="47"/>
      <c r="T13" s="131">
        <f>R13+R8+R15+R17+R18+R19+R20+R21+R24</f>
        <v>12983.0867</v>
      </c>
      <c r="U13" s="190"/>
      <c r="V13" s="422" t="s">
        <v>162</v>
      </c>
      <c r="W13" s="411"/>
      <c r="X13" s="410" t="s">
        <v>171</v>
      </c>
      <c r="Y13" s="411"/>
      <c r="Z13" s="189" t="s">
        <v>174</v>
      </c>
      <c r="AA13" s="189"/>
    </row>
    <row r="14" spans="2:27" ht="20.100000000000001" customHeight="1">
      <c r="B14" s="276" t="s">
        <v>79</v>
      </c>
      <c r="C14" s="276"/>
      <c r="D14" s="277"/>
      <c r="E14" s="59">
        <f>'1획지'!E14+'2획지'!E14</f>
        <v>36430.867700000003</v>
      </c>
      <c r="F14" s="9"/>
      <c r="G14" s="9"/>
      <c r="H14" s="10"/>
      <c r="I14" s="410"/>
      <c r="J14" s="422"/>
      <c r="L14" s="30">
        <v>2</v>
      </c>
      <c r="M14" s="31" t="s">
        <v>14</v>
      </c>
      <c r="N14" s="278" t="s">
        <v>148</v>
      </c>
      <c r="O14" s="279"/>
      <c r="P14" s="280"/>
      <c r="Q14" s="54">
        <f>'1획지'!Q14+'2획지'!Q14</f>
        <v>3802.3999999999996</v>
      </c>
      <c r="R14" s="63">
        <f>'1획지'!R14+'2획지'!R14</f>
        <v>4067.89</v>
      </c>
      <c r="S14" s="47"/>
      <c r="T14">
        <f>T13/C65</f>
        <v>3.1813493506493504</v>
      </c>
      <c r="U14" s="190"/>
      <c r="V14" s="189" t="s">
        <v>168</v>
      </c>
      <c r="W14" s="190" t="s">
        <v>169</v>
      </c>
      <c r="X14" s="191" t="s">
        <v>168</v>
      </c>
      <c r="Y14" s="190" t="s">
        <v>169</v>
      </c>
      <c r="Z14" s="189" t="s">
        <v>168</v>
      </c>
      <c r="AA14" s="189" t="s">
        <v>169</v>
      </c>
    </row>
    <row r="15" spans="2:27" ht="20.100000000000001" customHeight="1">
      <c r="B15" s="276" t="s">
        <v>15</v>
      </c>
      <c r="C15" s="276"/>
      <c r="D15" s="277"/>
      <c r="E15" s="19">
        <f>E14/E13</f>
        <v>0.22029646917253221</v>
      </c>
      <c r="F15" s="11"/>
      <c r="G15" s="11"/>
      <c r="H15" s="12"/>
      <c r="I15" s="423"/>
      <c r="J15" s="424"/>
      <c r="L15" s="30">
        <v>3</v>
      </c>
      <c r="M15" s="31" t="s">
        <v>16</v>
      </c>
      <c r="N15" s="278" t="s">
        <v>148</v>
      </c>
      <c r="O15" s="279"/>
      <c r="P15" s="280"/>
      <c r="Q15" s="54">
        <f>'1획지'!Q15+'2획지'!Q15</f>
        <v>1307.4000000000001</v>
      </c>
      <c r="R15" s="64">
        <f>'1획지'!R15+'2획지'!R15</f>
        <v>1566.12</v>
      </c>
      <c r="S15" s="43"/>
      <c r="U15" s="188" t="s">
        <v>163</v>
      </c>
      <c r="V15" s="193">
        <f>'1획지'!Q15</f>
        <v>330</v>
      </c>
      <c r="W15" s="194">
        <f>'2획지'!Q15</f>
        <v>977.4</v>
      </c>
      <c r="X15" s="195">
        <f>'1획지'!R15</f>
        <v>378.12</v>
      </c>
      <c r="Y15" s="194">
        <f>'2획지'!R15</f>
        <v>1188</v>
      </c>
      <c r="Z15" s="193">
        <f>X15-V15</f>
        <v>48.120000000000005</v>
      </c>
      <c r="AA15" s="193">
        <f>Y15-W15</f>
        <v>210.60000000000002</v>
      </c>
    </row>
    <row r="16" spans="2:27" ht="18.75" customHeight="1">
      <c r="B16" s="358" t="s">
        <v>17</v>
      </c>
      <c r="C16" s="395" t="s">
        <v>18</v>
      </c>
      <c r="D16" s="277"/>
      <c r="E16" s="59">
        <f>J65+R13+R8+R15+R17+R20+R24+R18+R22+R19</f>
        <v>495919.5871</v>
      </c>
      <c r="F16" s="9"/>
      <c r="G16" s="425">
        <f>E16*0.3025</f>
        <v>150015.67509775001</v>
      </c>
      <c r="H16" s="426"/>
      <c r="I16" s="410"/>
      <c r="J16" s="422"/>
      <c r="L16" s="30">
        <v>4</v>
      </c>
      <c r="M16" s="31" t="s">
        <v>19</v>
      </c>
      <c r="N16" s="278" t="s">
        <v>148</v>
      </c>
      <c r="O16" s="279"/>
      <c r="P16" s="280"/>
      <c r="Q16" s="54"/>
      <c r="R16" s="64">
        <f>'1획지'!R16+'2획지'!R16</f>
        <v>2400</v>
      </c>
      <c r="S16" s="47"/>
      <c r="U16" s="188" t="s">
        <v>198</v>
      </c>
      <c r="V16" s="193"/>
      <c r="W16" s="194"/>
      <c r="X16" s="195"/>
      <c r="Y16" s="194">
        <f>'2획지'!U20</f>
        <v>978.17</v>
      </c>
      <c r="Z16" s="193"/>
      <c r="AA16" s="193">
        <f>Y16-W16</f>
        <v>978.17</v>
      </c>
    </row>
    <row r="17" spans="2:27" ht="20.100000000000001" customHeight="1">
      <c r="B17" s="407"/>
      <c r="C17" s="395" t="s">
        <v>20</v>
      </c>
      <c r="D17" s="277"/>
      <c r="E17" s="59">
        <f>R21+N65+P65+R23</f>
        <v>362607.24919999996</v>
      </c>
      <c r="F17" s="9"/>
      <c r="G17" s="425">
        <f>E17*0.3025</f>
        <v>109688.69288299998</v>
      </c>
      <c r="H17" s="426"/>
      <c r="I17" s="427"/>
      <c r="J17" s="422"/>
      <c r="L17" s="30">
        <v>5</v>
      </c>
      <c r="M17" s="31" t="s">
        <v>21</v>
      </c>
      <c r="N17" s="278" t="s">
        <v>148</v>
      </c>
      <c r="O17" s="279"/>
      <c r="P17" s="280"/>
      <c r="Q17" s="54">
        <f>'1획지'!Q17+'2획지'!Q17</f>
        <v>582.20000000000005</v>
      </c>
      <c r="R17" s="64">
        <f>'1획지'!R17+'2획지'!R17</f>
        <v>845.56</v>
      </c>
      <c r="S17" s="43"/>
      <c r="U17" s="188" t="s">
        <v>164</v>
      </c>
      <c r="V17" s="193">
        <f>'1획지'!Q17</f>
        <v>158</v>
      </c>
      <c r="W17" s="194">
        <f>'2획지'!Q17</f>
        <v>424.2</v>
      </c>
      <c r="X17" s="195">
        <f>'1획지'!R17</f>
        <v>214.88</v>
      </c>
      <c r="Y17" s="194">
        <f>'2획지'!R17</f>
        <v>630.67999999999995</v>
      </c>
      <c r="Z17" s="193">
        <f t="shared" ref="Z17:Z19" si="0">X17-V17</f>
        <v>56.879999999999995</v>
      </c>
      <c r="AA17" s="193">
        <f t="shared" ref="AA17:AA19" si="1">Y17-W17</f>
        <v>206.47999999999996</v>
      </c>
    </row>
    <row r="18" spans="2:27" ht="20.100000000000001" customHeight="1">
      <c r="B18" s="407"/>
      <c r="C18" s="395" t="s">
        <v>22</v>
      </c>
      <c r="D18" s="277"/>
      <c r="E18" s="60">
        <f>E16+E17</f>
        <v>858526.83629999997</v>
      </c>
      <c r="F18" s="25"/>
      <c r="G18" s="420">
        <f>E18*0.3025</f>
        <v>259704.36798074999</v>
      </c>
      <c r="H18" s="421"/>
      <c r="I18" s="410"/>
      <c r="J18" s="422"/>
      <c r="L18" s="102">
        <v>6</v>
      </c>
      <c r="M18" s="103" t="s">
        <v>106</v>
      </c>
      <c r="N18" s="278" t="s">
        <v>148</v>
      </c>
      <c r="O18" s="279"/>
      <c r="P18" s="280"/>
      <c r="Q18" s="54">
        <f>'1획지'!Q18+'2획지'!Q18</f>
        <v>132</v>
      </c>
      <c r="R18" s="64">
        <f>'1획지'!R18+'2획지'!R18</f>
        <v>956.85949999999991</v>
      </c>
      <c r="S18" s="43"/>
      <c r="U18" s="188" t="s">
        <v>172</v>
      </c>
      <c r="V18" s="193">
        <f>'1획지'!Q18</f>
        <v>66</v>
      </c>
      <c r="W18" s="194">
        <f>'2획지'!Q18</f>
        <v>66</v>
      </c>
      <c r="X18" s="195">
        <f>'1획지'!R18</f>
        <v>214.88</v>
      </c>
      <c r="Y18" s="194">
        <f>'2획지'!R18</f>
        <v>741.97949999999992</v>
      </c>
      <c r="Z18" s="193">
        <f t="shared" si="0"/>
        <v>148.88</v>
      </c>
      <c r="AA18" s="193">
        <f t="shared" si="1"/>
        <v>675.97949999999992</v>
      </c>
    </row>
    <row r="19" spans="2:27" ht="20.100000000000001" customHeight="1">
      <c r="B19" s="276" t="s">
        <v>81</v>
      </c>
      <c r="C19" s="276"/>
      <c r="D19" s="277"/>
      <c r="E19" s="60">
        <f>E16</f>
        <v>495919.5871</v>
      </c>
      <c r="F19" s="25"/>
      <c r="G19" s="25"/>
      <c r="H19" s="26"/>
      <c r="I19" s="383"/>
      <c r="J19" s="384"/>
      <c r="L19" s="102">
        <v>7</v>
      </c>
      <c r="M19" s="103" t="s">
        <v>166</v>
      </c>
      <c r="N19" s="278" t="s">
        <v>148</v>
      </c>
      <c r="O19" s="279"/>
      <c r="P19" s="280"/>
      <c r="Q19" s="54"/>
      <c r="R19" s="64">
        <f>'1획지'!R19+'2획지'!R19</f>
        <v>450</v>
      </c>
      <c r="S19" s="43"/>
      <c r="U19" s="190" t="s">
        <v>167</v>
      </c>
      <c r="V19" s="196"/>
      <c r="W19" s="197"/>
      <c r="X19" s="198">
        <f>'1획지'!R19</f>
        <v>0</v>
      </c>
      <c r="Y19" s="197">
        <f>'2획지'!R19</f>
        <v>450</v>
      </c>
      <c r="Z19" s="196">
        <f t="shared" si="0"/>
        <v>0</v>
      </c>
      <c r="AA19" s="196">
        <f t="shared" si="1"/>
        <v>450</v>
      </c>
    </row>
    <row r="20" spans="2:27" ht="20.100000000000001" customHeight="1">
      <c r="B20" s="276" t="s">
        <v>83</v>
      </c>
      <c r="C20" s="276"/>
      <c r="D20" s="277"/>
      <c r="E20" s="22">
        <f>E19/E13</f>
        <v>2.998812296519362</v>
      </c>
      <c r="F20" s="14"/>
      <c r="G20" s="14"/>
      <c r="H20" s="15"/>
      <c r="I20" s="423" t="s">
        <v>84</v>
      </c>
      <c r="J20" s="424"/>
      <c r="L20" s="430">
        <v>8</v>
      </c>
      <c r="M20" s="428" t="s">
        <v>165</v>
      </c>
      <c r="N20" s="278" t="s">
        <v>196</v>
      </c>
      <c r="O20" s="279"/>
      <c r="P20" s="280"/>
      <c r="Q20" s="54"/>
      <c r="R20" s="64">
        <f>'2획지'!R20</f>
        <v>978.17</v>
      </c>
      <c r="S20" s="43"/>
      <c r="U20" s="18" t="s">
        <v>170</v>
      </c>
      <c r="V20" s="199">
        <f>SUM(V15:V19)</f>
        <v>554</v>
      </c>
      <c r="W20" s="200">
        <f>SUM(W15:W19)</f>
        <v>1467.6</v>
      </c>
      <c r="X20" s="201">
        <f t="shared" ref="X20:Y20" si="2">SUM(X15:X19)</f>
        <v>807.88</v>
      </c>
      <c r="Y20" s="200">
        <f t="shared" si="2"/>
        <v>3988.8294999999998</v>
      </c>
      <c r="Z20" s="199">
        <f t="shared" ref="Z20" si="3">SUM(Z15:Z19)</f>
        <v>253.88</v>
      </c>
      <c r="AA20" s="199">
        <f t="shared" ref="AA20" si="4">SUM(AA15:AA19)</f>
        <v>2521.2294999999999</v>
      </c>
    </row>
    <row r="21" spans="2:27" ht="20.100000000000001" customHeight="1">
      <c r="B21" s="276" t="s">
        <v>85</v>
      </c>
      <c r="C21" s="276"/>
      <c r="D21" s="277"/>
      <c r="E21" s="16" t="s">
        <v>239</v>
      </c>
      <c r="F21" s="17"/>
      <c r="G21" s="17"/>
      <c r="H21" s="18"/>
      <c r="I21" s="383"/>
      <c r="J21" s="384"/>
      <c r="L21" s="431"/>
      <c r="M21" s="429"/>
      <c r="N21" s="40" t="s">
        <v>188</v>
      </c>
      <c r="O21" s="41"/>
      <c r="P21" s="42"/>
      <c r="Q21" s="54"/>
      <c r="R21" s="64">
        <f>'1획지'!R21+'2획지'!R21</f>
        <v>6000</v>
      </c>
      <c r="S21" s="43" t="s">
        <v>82</v>
      </c>
      <c r="U21" s="188" t="s">
        <v>190</v>
      </c>
      <c r="V21" s="193"/>
      <c r="W21" s="194">
        <f>V20+W20</f>
        <v>2021.6</v>
      </c>
      <c r="X21" s="195"/>
      <c r="Y21" s="194">
        <f>X20+Y20</f>
        <v>4796.7094999999999</v>
      </c>
      <c r="Z21" s="193"/>
      <c r="AA21" s="193">
        <f>Z20+AA20</f>
        <v>2775.1095</v>
      </c>
    </row>
    <row r="22" spans="2:27" ht="20.100000000000001" customHeight="1">
      <c r="B22" s="276" t="s">
        <v>86</v>
      </c>
      <c r="C22" s="276"/>
      <c r="D22" s="277"/>
      <c r="E22" s="116"/>
      <c r="F22" s="17"/>
      <c r="G22" s="17"/>
      <c r="H22" s="18"/>
      <c r="I22" s="383"/>
      <c r="J22" s="384"/>
      <c r="L22" s="357" t="s">
        <v>23</v>
      </c>
      <c r="M22" s="358"/>
      <c r="N22" s="412"/>
      <c r="O22" s="413"/>
      <c r="P22" s="414"/>
      <c r="Q22" s="132" t="s">
        <v>222</v>
      </c>
      <c r="R22" s="63">
        <f>'1획지'!R22+'2획지'!R22</f>
        <v>3785.84</v>
      </c>
      <c r="S22" s="47" t="s">
        <v>224</v>
      </c>
      <c r="V22" s="193"/>
      <c r="W22" s="193"/>
      <c r="X22" s="193"/>
      <c r="Y22" s="193"/>
      <c r="Z22" s="193"/>
      <c r="AA22" s="193"/>
    </row>
    <row r="23" spans="2:27" ht="20.100000000000001" customHeight="1">
      <c r="B23" s="52"/>
      <c r="C23" s="395" t="s">
        <v>25</v>
      </c>
      <c r="D23" s="277"/>
      <c r="E23" s="416" t="s">
        <v>26</v>
      </c>
      <c r="F23" s="416"/>
      <c r="G23" s="416" t="s">
        <v>23</v>
      </c>
      <c r="H23" s="416"/>
      <c r="I23" s="44" t="s">
        <v>27</v>
      </c>
      <c r="J23" s="27" t="s">
        <v>28</v>
      </c>
      <c r="L23" s="373"/>
      <c r="M23" s="374"/>
      <c r="N23" s="417"/>
      <c r="O23" s="418"/>
      <c r="P23" s="419"/>
      <c r="Q23" s="7" t="s">
        <v>223</v>
      </c>
      <c r="R23" s="63">
        <f>'1획지'!R23+'2획지'!R23</f>
        <v>1809.3992000000001</v>
      </c>
      <c r="S23" s="43" t="s">
        <v>225</v>
      </c>
      <c r="U23" t="s">
        <v>173</v>
      </c>
      <c r="V23" s="203">
        <f>210%*(AA21/Q10)*0.1</f>
        <v>5.1393749214573119E-2</v>
      </c>
      <c r="W23" s="193"/>
      <c r="X23" s="193"/>
      <c r="Y23" s="193"/>
      <c r="Z23" s="193"/>
      <c r="AA23" s="193"/>
    </row>
    <row r="24" spans="2:27" ht="20.100000000000001" customHeight="1">
      <c r="B24" s="357" t="s">
        <v>24</v>
      </c>
      <c r="C24" s="398" t="s">
        <v>32</v>
      </c>
      <c r="D24" s="358"/>
      <c r="E24" s="20" t="s">
        <v>88</v>
      </c>
      <c r="F24" s="37">
        <f>(C47+C54+C44)*0.8</f>
        <v>971.2</v>
      </c>
      <c r="G24" s="365" t="s">
        <v>90</v>
      </c>
      <c r="H24" s="367"/>
      <c r="I24" s="44"/>
      <c r="J24" s="43"/>
      <c r="L24" s="276" t="s">
        <v>67</v>
      </c>
      <c r="M24" s="277"/>
      <c r="N24" s="278" t="s">
        <v>151</v>
      </c>
      <c r="O24" s="279"/>
      <c r="P24" s="280"/>
      <c r="Q24" s="8"/>
      <c r="R24" s="63">
        <f>'1획지'!R24+'2획지'!R24</f>
        <v>105</v>
      </c>
      <c r="S24" s="43"/>
      <c r="V24" s="193"/>
      <c r="W24" s="193"/>
      <c r="X24" s="193"/>
      <c r="Y24" s="193"/>
      <c r="Z24" s="193"/>
      <c r="AA24" s="193"/>
    </row>
    <row r="25" spans="2:27" ht="20.100000000000001" customHeight="1">
      <c r="B25" s="405"/>
      <c r="C25" s="406"/>
      <c r="D25" s="407"/>
      <c r="E25" s="20" t="s">
        <v>89</v>
      </c>
      <c r="F25" s="37">
        <f>SUMPRODUCT(C55:C58,F55:F58)/75+C48*F48/75+C45*F45/75+C49*F49/75</f>
        <v>1525.7765333333334</v>
      </c>
      <c r="G25" s="408"/>
      <c r="H25" s="409"/>
      <c r="I25" s="415"/>
      <c r="J25" s="43"/>
      <c r="L25" s="276" t="s">
        <v>29</v>
      </c>
      <c r="M25" s="277"/>
      <c r="N25" s="278" t="s">
        <v>30</v>
      </c>
      <c r="O25" s="279"/>
      <c r="P25" s="279"/>
      <c r="Q25" s="280"/>
      <c r="R25" s="46" t="s">
        <v>31</v>
      </c>
      <c r="S25" s="43"/>
      <c r="U25" s="188" t="s">
        <v>186</v>
      </c>
      <c r="V25" s="195">
        <f>'1획지'!Q13</f>
        <v>330</v>
      </c>
      <c r="W25" s="194">
        <f>'2획지'!Q13</f>
        <v>977.4</v>
      </c>
      <c r="X25" s="193">
        <f>'1획지'!R13</f>
        <v>448.26</v>
      </c>
      <c r="Y25" s="194">
        <f>'2획지'!R13</f>
        <v>1058.4072000000001</v>
      </c>
      <c r="Z25" s="193">
        <f t="shared" ref="Z25:AA27" si="5">X25-V25</f>
        <v>118.25999999999999</v>
      </c>
      <c r="AA25" s="193">
        <f t="shared" si="5"/>
        <v>81.007200000000125</v>
      </c>
    </row>
    <row r="26" spans="2:27" ht="20.100000000000001" customHeight="1">
      <c r="B26" s="405"/>
      <c r="C26" s="399"/>
      <c r="D26" s="374"/>
      <c r="E26" s="21" t="s">
        <v>136</v>
      </c>
      <c r="F26" s="37">
        <f>SUMPRODUCT(C59:C63,F59:F63)/65</f>
        <v>2661.404769230769</v>
      </c>
      <c r="G26" s="410"/>
      <c r="H26" s="411"/>
      <c r="I26" s="415"/>
      <c r="J26" s="43"/>
      <c r="L26" s="276" t="s">
        <v>33</v>
      </c>
      <c r="M26" s="277"/>
      <c r="N26" s="40" t="s">
        <v>34</v>
      </c>
      <c r="O26" s="41"/>
      <c r="P26" s="41"/>
      <c r="Q26" s="42"/>
      <c r="R26" s="46" t="s">
        <v>31</v>
      </c>
      <c r="S26" s="43"/>
      <c r="U26" s="188" t="s">
        <v>187</v>
      </c>
      <c r="V26" s="195">
        <f>'1획지'!Q14</f>
        <v>1019</v>
      </c>
      <c r="W26" s="194">
        <f>'2획지'!Q14</f>
        <v>2783.3999999999996</v>
      </c>
      <c r="X26" s="193">
        <f>'1획지'!R14</f>
        <v>1261.8499999999999</v>
      </c>
      <c r="Y26" s="194">
        <f>'2획지'!R14</f>
        <v>2806.04</v>
      </c>
      <c r="Z26" s="193">
        <f t="shared" si="5"/>
        <v>242.84999999999991</v>
      </c>
      <c r="AA26" s="193">
        <f t="shared" si="5"/>
        <v>22.640000000000327</v>
      </c>
    </row>
    <row r="27" spans="2:27" ht="20.100000000000001" customHeight="1">
      <c r="B27" s="405"/>
      <c r="C27" s="395" t="s">
        <v>38</v>
      </c>
      <c r="D27" s="277"/>
      <c r="E27" s="394">
        <f>F24+F25+F26</f>
        <v>5158.381302564103</v>
      </c>
      <c r="F27" s="394"/>
      <c r="G27" s="394">
        <f>R22/134</f>
        <v>28.252537313432835</v>
      </c>
      <c r="H27" s="394"/>
      <c r="I27" s="28">
        <f>SUM(E27:H27)</f>
        <v>5186.633839877536</v>
      </c>
      <c r="J27" s="43"/>
      <c r="L27" s="276" t="s">
        <v>35</v>
      </c>
      <c r="M27" s="277"/>
      <c r="N27" s="40" t="s">
        <v>36</v>
      </c>
      <c r="O27" s="41"/>
      <c r="P27" s="41"/>
      <c r="Q27" s="42"/>
      <c r="R27" s="46" t="s">
        <v>37</v>
      </c>
      <c r="S27" s="43"/>
      <c r="U27" s="190" t="s">
        <v>188</v>
      </c>
      <c r="V27" s="198"/>
      <c r="W27" s="197"/>
      <c r="X27" s="196">
        <f>'1획지'!R16</f>
        <v>1200</v>
      </c>
      <c r="Y27" s="197">
        <f>'2획지'!R16</f>
        <v>1200</v>
      </c>
      <c r="Z27" s="196">
        <f t="shared" si="5"/>
        <v>1200</v>
      </c>
      <c r="AA27" s="196">
        <f t="shared" si="5"/>
        <v>1200</v>
      </c>
    </row>
    <row r="28" spans="2:27" ht="20.100000000000001" customHeight="1">
      <c r="B28" s="405"/>
      <c r="C28" s="398" t="s">
        <v>4</v>
      </c>
      <c r="D28" s="358"/>
      <c r="E28" s="400">
        <f>'1획지'!E28+'2획지'!E28</f>
        <v>8162</v>
      </c>
      <c r="F28" s="400"/>
      <c r="G28" s="400">
        <f>SUM(G30:H31)</f>
        <v>37</v>
      </c>
      <c r="H28" s="400"/>
      <c r="I28" s="28">
        <f>SUM(E28:H28)</f>
        <v>8199</v>
      </c>
      <c r="J28" s="2">
        <f>J31+J30</f>
        <v>1</v>
      </c>
      <c r="L28" s="276" t="s">
        <v>39</v>
      </c>
      <c r="M28" s="277"/>
      <c r="N28" s="40" t="s">
        <v>40</v>
      </c>
      <c r="O28" s="41"/>
      <c r="P28" s="41"/>
      <c r="Q28" s="42"/>
      <c r="R28" s="46" t="s">
        <v>31</v>
      </c>
      <c r="S28" s="43"/>
      <c r="U28" s="18" t="s">
        <v>189</v>
      </c>
      <c r="V28" s="201">
        <f>SUM(V25:V27)</f>
        <v>1349</v>
      </c>
      <c r="W28" s="200">
        <f t="shared" ref="W28:Y28" si="6">SUM(W25:W27)</f>
        <v>3760.7999999999997</v>
      </c>
      <c r="X28" s="199">
        <f t="shared" si="6"/>
        <v>2910.1099999999997</v>
      </c>
      <c r="Y28" s="200">
        <f t="shared" si="6"/>
        <v>5064.4472000000005</v>
      </c>
      <c r="Z28" s="199">
        <f>SUM(Z25:Z27)</f>
        <v>1561.11</v>
      </c>
      <c r="AA28" s="199">
        <f>SUM(AA25:AA27)</f>
        <v>1303.6472000000003</v>
      </c>
    </row>
    <row r="29" spans="2:27" ht="20.100000000000001" customHeight="1">
      <c r="B29" s="405"/>
      <c r="C29" s="399"/>
      <c r="D29" s="374"/>
      <c r="E29" s="401">
        <f>E28/C65</f>
        <v>2</v>
      </c>
      <c r="F29" s="402"/>
      <c r="G29" s="403">
        <f>G28/G27</f>
        <v>1.3096168881939014</v>
      </c>
      <c r="H29" s="404"/>
      <c r="I29" s="29"/>
      <c r="J29" s="2"/>
      <c r="L29" s="276" t="s">
        <v>41</v>
      </c>
      <c r="M29" s="277"/>
      <c r="N29" s="40" t="s">
        <v>42</v>
      </c>
      <c r="O29" s="41"/>
      <c r="P29" s="41"/>
      <c r="Q29" s="42"/>
      <c r="R29" s="46" t="s">
        <v>31</v>
      </c>
      <c r="S29" s="43"/>
      <c r="U29" s="18" t="s">
        <v>191</v>
      </c>
      <c r="V29" s="201"/>
      <c r="W29" s="200">
        <f>V28+W28</f>
        <v>5109.7999999999993</v>
      </c>
      <c r="X29" s="199"/>
      <c r="Y29" s="200">
        <f>X28+Y28</f>
        <v>7974.5572000000002</v>
      </c>
      <c r="Z29" s="199"/>
      <c r="AA29" s="199">
        <f>Z28+AA28</f>
        <v>2864.7572</v>
      </c>
    </row>
    <row r="30" spans="2:27" ht="20.100000000000001" customHeight="1">
      <c r="B30" s="405"/>
      <c r="C30" s="395" t="s">
        <v>43</v>
      </c>
      <c r="D30" s="277"/>
      <c r="E30" s="394"/>
      <c r="F30" s="394"/>
      <c r="G30" s="394"/>
      <c r="H30" s="394"/>
      <c r="I30" s="45"/>
      <c r="J30" s="2"/>
      <c r="L30" s="276" t="s">
        <v>44</v>
      </c>
      <c r="M30" s="277"/>
      <c r="N30" s="40" t="s">
        <v>92</v>
      </c>
      <c r="O30" s="41"/>
      <c r="P30" s="41"/>
      <c r="Q30" s="42"/>
      <c r="R30" s="46" t="s">
        <v>31</v>
      </c>
      <c r="S30" s="43"/>
      <c r="U30" s="188" t="s">
        <v>192</v>
      </c>
      <c r="V30" s="193"/>
      <c r="W30" s="194">
        <f>W21+W29</f>
        <v>7131.4</v>
      </c>
      <c r="X30" s="193"/>
      <c r="Y30" s="194">
        <f>Y21+Y29</f>
        <v>12771.2667</v>
      </c>
      <c r="Z30" s="193"/>
      <c r="AA30" s="193">
        <f>AA21+AA29</f>
        <v>5639.8667000000005</v>
      </c>
    </row>
    <row r="31" spans="2:27" ht="20.100000000000001" customHeight="1">
      <c r="B31" s="373"/>
      <c r="C31" s="395" t="s">
        <v>175</v>
      </c>
      <c r="D31" s="277"/>
      <c r="E31" s="396">
        <f>C65*2</f>
        <v>8162</v>
      </c>
      <c r="F31" s="397"/>
      <c r="G31" s="394">
        <f>'1획지'!G31+'2획지'!G31</f>
        <v>37</v>
      </c>
      <c r="H31" s="394"/>
      <c r="I31" s="45">
        <f>SUM(E31:H31)</f>
        <v>8199</v>
      </c>
      <c r="J31" s="2">
        <f>I31/I28</f>
        <v>1</v>
      </c>
      <c r="L31" s="276" t="s">
        <v>46</v>
      </c>
      <c r="M31" s="277"/>
      <c r="N31" s="40" t="s">
        <v>47</v>
      </c>
      <c r="O31" s="41"/>
      <c r="P31" s="41"/>
      <c r="Q31" s="42"/>
      <c r="R31" s="46" t="s">
        <v>31</v>
      </c>
      <c r="S31" s="43"/>
      <c r="V31" s="193"/>
      <c r="W31" s="193"/>
      <c r="X31" s="193"/>
      <c r="Y31" s="193"/>
      <c r="Z31" s="193"/>
      <c r="AA31" s="193"/>
    </row>
    <row r="32" spans="2:27" ht="20.100000000000001" customHeight="1">
      <c r="B32" s="276" t="s">
        <v>93</v>
      </c>
      <c r="C32" s="276"/>
      <c r="D32" s="277"/>
      <c r="E32" s="383" t="s">
        <v>48</v>
      </c>
      <c r="F32" s="384"/>
      <c r="G32" s="384"/>
      <c r="H32" s="385"/>
      <c r="I32" s="386"/>
      <c r="J32" s="387"/>
      <c r="L32" s="276" t="s">
        <v>49</v>
      </c>
      <c r="M32" s="277"/>
      <c r="N32" s="40" t="s">
        <v>50</v>
      </c>
      <c r="O32" s="41"/>
      <c r="P32" s="41"/>
      <c r="Q32" s="42"/>
      <c r="R32" s="46" t="s">
        <v>31</v>
      </c>
      <c r="S32" s="43"/>
      <c r="U32" t="s">
        <v>193</v>
      </c>
      <c r="V32" s="193">
        <f>210%*(AA30/W30)*0.1</f>
        <v>0.16607847084723903</v>
      </c>
      <c r="W32" s="193"/>
      <c r="X32" s="193"/>
      <c r="Y32" s="193"/>
      <c r="Z32" s="193"/>
      <c r="AA32" s="193"/>
    </row>
    <row r="33" spans="2:27" ht="20.100000000000001" customHeight="1">
      <c r="B33" s="276" t="s">
        <v>94</v>
      </c>
      <c r="C33" s="276"/>
      <c r="D33" s="277"/>
      <c r="E33" s="388">
        <f>E13*0.3</f>
        <v>49611.600000000006</v>
      </c>
      <c r="F33" s="389"/>
      <c r="G33" s="390">
        <f>E33/E13</f>
        <v>0.3</v>
      </c>
      <c r="H33" s="391"/>
      <c r="I33" s="392"/>
      <c r="J33" s="393"/>
      <c r="L33" s="276" t="s">
        <v>51</v>
      </c>
      <c r="M33" s="277"/>
      <c r="N33" s="40" t="s">
        <v>52</v>
      </c>
      <c r="O33" s="41"/>
      <c r="P33" s="41"/>
      <c r="Q33" s="42"/>
      <c r="R33" s="46" t="s">
        <v>31</v>
      </c>
      <c r="S33" s="43"/>
      <c r="V33" s="193"/>
      <c r="W33" s="193"/>
      <c r="X33" s="193"/>
      <c r="Y33" s="193"/>
      <c r="Z33" s="193"/>
      <c r="AA33" s="193"/>
    </row>
    <row r="34" spans="2:27" ht="20.100000000000001" customHeight="1">
      <c r="B34" s="52"/>
      <c r="C34" s="52" t="s">
        <v>184</v>
      </c>
      <c r="D34" s="145"/>
      <c r="E34" s="304">
        <f>'1획지'!E34+'2획지'!E34</f>
        <v>2312.3112000000001</v>
      </c>
      <c r="F34" s="305"/>
      <c r="G34" s="146"/>
      <c r="H34" s="147"/>
      <c r="I34" s="148"/>
      <c r="J34" s="149"/>
      <c r="L34" s="276" t="s">
        <v>53</v>
      </c>
      <c r="M34" s="277"/>
      <c r="N34" s="278" t="s">
        <v>54</v>
      </c>
      <c r="O34" s="279"/>
      <c r="P34" s="279"/>
      <c r="Q34" s="280"/>
      <c r="R34" s="7" t="s">
        <v>31</v>
      </c>
      <c r="S34" s="43"/>
      <c r="U34" s="16" t="s">
        <v>194</v>
      </c>
      <c r="V34" s="202">
        <f>(Y21-W21)/Q10*210*0.1</f>
        <v>5.1393749214573115</v>
      </c>
      <c r="W34" s="199"/>
      <c r="X34" s="199"/>
      <c r="Y34" s="199"/>
      <c r="Z34" s="199"/>
      <c r="AA34" s="200"/>
    </row>
    <row r="35" spans="2:27" ht="20.100000000000001" customHeight="1">
      <c r="B35" s="357" t="s">
        <v>95</v>
      </c>
      <c r="C35" s="357"/>
      <c r="D35" s="358"/>
      <c r="E35" s="375">
        <f>J50/E13</f>
        <v>0.25085180804489271</v>
      </c>
      <c r="F35" s="376"/>
      <c r="G35" s="376"/>
      <c r="H35" s="377"/>
      <c r="I35" s="375" t="s">
        <v>154</v>
      </c>
      <c r="J35" s="376"/>
      <c r="L35" s="276"/>
      <c r="M35" s="277"/>
      <c r="R35" s="7"/>
      <c r="S35" s="43"/>
    </row>
    <row r="36" spans="2:27" ht="19.5" customHeight="1">
      <c r="B36" s="373"/>
      <c r="C36" s="373"/>
      <c r="D36" s="374"/>
      <c r="E36" s="378">
        <f>J50</f>
        <v>41483.8652</v>
      </c>
      <c r="F36" s="379"/>
      <c r="G36" s="379"/>
      <c r="H36" s="380"/>
      <c r="I36" s="381"/>
      <c r="J36" s="382"/>
      <c r="L36" s="276"/>
      <c r="M36" s="277"/>
      <c r="N36" s="278"/>
      <c r="O36" s="279"/>
      <c r="P36" s="279"/>
      <c r="Q36" s="280"/>
      <c r="R36" s="7"/>
      <c r="S36" s="43"/>
    </row>
    <row r="37" spans="2:27" ht="20.100000000000001" customHeight="1">
      <c r="B37" s="357" t="s">
        <v>96</v>
      </c>
      <c r="C37" s="357"/>
      <c r="D37" s="358"/>
      <c r="E37" s="361"/>
      <c r="F37" s="362"/>
      <c r="G37" s="362"/>
      <c r="H37" s="362"/>
      <c r="I37" s="362"/>
      <c r="J37" s="362"/>
      <c r="L37" s="357" t="s">
        <v>5</v>
      </c>
      <c r="M37" s="358"/>
      <c r="N37" s="365"/>
      <c r="O37" s="366"/>
      <c r="P37" s="366"/>
      <c r="Q37" s="367"/>
      <c r="R37" s="371"/>
      <c r="S37" s="365"/>
    </row>
    <row r="38" spans="2:27" ht="20.100000000000001" customHeight="1" thickBot="1">
      <c r="B38" s="359"/>
      <c r="C38" s="359"/>
      <c r="D38" s="360"/>
      <c r="E38" s="363"/>
      <c r="F38" s="364"/>
      <c r="G38" s="364"/>
      <c r="H38" s="364"/>
      <c r="I38" s="364"/>
      <c r="J38" s="364"/>
      <c r="L38" s="359"/>
      <c r="M38" s="360"/>
      <c r="N38" s="368"/>
      <c r="O38" s="369"/>
      <c r="P38" s="369"/>
      <c r="Q38" s="370"/>
      <c r="R38" s="372"/>
      <c r="S38" s="368"/>
    </row>
    <row r="39" spans="2:27" ht="9.9499999999999993" customHeight="1"/>
    <row r="40" spans="2:27" ht="30" customHeight="1">
      <c r="B40" s="4" t="s">
        <v>55</v>
      </c>
    </row>
    <row r="41" spans="2:27" ht="3" customHeight="1" thickBot="1"/>
    <row r="42" spans="2:27" ht="20.100000000000001" customHeight="1">
      <c r="B42" s="324" t="s">
        <v>56</v>
      </c>
      <c r="C42" s="325" t="s">
        <v>57</v>
      </c>
      <c r="D42" s="326"/>
      <c r="E42" s="337" t="s">
        <v>28</v>
      </c>
      <c r="F42" s="337" t="s">
        <v>58</v>
      </c>
      <c r="G42" s="337" t="s">
        <v>97</v>
      </c>
      <c r="H42" s="337"/>
      <c r="I42" s="337"/>
      <c r="J42" s="325" t="s">
        <v>59</v>
      </c>
      <c r="K42" s="339"/>
      <c r="L42" s="127"/>
      <c r="M42" s="322" t="s">
        <v>0</v>
      </c>
      <c r="N42" s="323"/>
      <c r="O42" s="324"/>
      <c r="P42" s="325" t="s">
        <v>60</v>
      </c>
      <c r="Q42" s="326"/>
      <c r="R42" s="329" t="s">
        <v>61</v>
      </c>
      <c r="S42" s="322" t="s">
        <v>5</v>
      </c>
    </row>
    <row r="43" spans="2:27" ht="19.5" customHeight="1" thickBot="1">
      <c r="B43" s="336"/>
      <c r="C43" s="327"/>
      <c r="D43" s="328"/>
      <c r="E43" s="338"/>
      <c r="F43" s="338"/>
      <c r="G43" s="39" t="s">
        <v>62</v>
      </c>
      <c r="H43" s="39" t="s">
        <v>63</v>
      </c>
      <c r="I43" s="39" t="s">
        <v>64</v>
      </c>
      <c r="J43" s="327"/>
      <c r="K43" s="340"/>
      <c r="L43" s="128"/>
      <c r="M43" s="39" t="s">
        <v>65</v>
      </c>
      <c r="N43" s="39" t="s">
        <v>66</v>
      </c>
      <c r="O43" s="39" t="s">
        <v>64</v>
      </c>
      <c r="P43" s="327"/>
      <c r="Q43" s="328"/>
      <c r="R43" s="330"/>
      <c r="S43" s="331"/>
      <c r="T43" t="s">
        <v>176</v>
      </c>
      <c r="W43" t="s">
        <v>177</v>
      </c>
      <c r="Y43" s="131">
        <f>F65</f>
        <v>360191.7099999999</v>
      </c>
      <c r="Z43" s="151">
        <f>E13/Y49*Y43</f>
        <v>158015.49994071305</v>
      </c>
      <c r="AA43" s="150">
        <f>Z43/F65</f>
        <v>0.43869832523550611</v>
      </c>
    </row>
    <row r="44" spans="2:27" ht="20.25" customHeight="1">
      <c r="B44" s="176" t="s">
        <v>182</v>
      </c>
      <c r="C44" s="341">
        <f>'1획지'!C44+'2획지'!C44</f>
        <v>21</v>
      </c>
      <c r="D44" s="342"/>
      <c r="E44" s="161"/>
      <c r="F44" s="179">
        <v>59.94</v>
      </c>
      <c r="G44" s="163">
        <v>7.04</v>
      </c>
      <c r="H44" s="163">
        <f>F44*0.24</f>
        <v>14.385599999999998</v>
      </c>
      <c r="I44" s="163">
        <f t="shared" ref="I44:I45" si="7">G44+H44</f>
        <v>21.425599999999999</v>
      </c>
      <c r="J44" s="332">
        <f t="shared" ref="J44:J45" si="8">F44+I44</f>
        <v>81.365600000000001</v>
      </c>
      <c r="K44" s="333"/>
      <c r="L44" s="184">
        <f t="shared" ref="L44:L50" si="9">J44*0.3025</f>
        <v>24.613094</v>
      </c>
      <c r="M44" s="163">
        <f t="shared" ref="M44:M45" si="10">(F44/F$65)*M$65</f>
        <v>2.1605333915042082</v>
      </c>
      <c r="N44" s="163">
        <f>(F44/F$65)*N$65</f>
        <v>0.50934363536573357</v>
      </c>
      <c r="O44" s="163">
        <f t="shared" ref="O44" si="11">SUM(M44:N44)</f>
        <v>2.6698770268699419</v>
      </c>
      <c r="P44" s="334">
        <f t="shared" ref="P44:P45" si="12">(F44/F$65)*P$65</f>
        <v>58.533056671404246</v>
      </c>
      <c r="Q44" s="335"/>
      <c r="R44" s="186">
        <f t="shared" ref="R44:R45" si="13">J44+O44+P44</f>
        <v>142.56853369827419</v>
      </c>
      <c r="S44" s="166"/>
    </row>
    <row r="45" spans="2:27" ht="20.100000000000001" customHeight="1">
      <c r="B45" s="177" t="s">
        <v>183</v>
      </c>
      <c r="C45" s="281">
        <f>'1획지'!C45+'2획지'!C45</f>
        <v>6</v>
      </c>
      <c r="D45" s="282"/>
      <c r="E45" s="143"/>
      <c r="F45" s="180">
        <v>74.94</v>
      </c>
      <c r="G45" s="90">
        <v>7.68</v>
      </c>
      <c r="H45" s="90">
        <f>F45*0.24</f>
        <v>17.985599999999998</v>
      </c>
      <c r="I45" s="90">
        <f t="shared" si="7"/>
        <v>25.665599999999998</v>
      </c>
      <c r="J45" s="283">
        <f t="shared" si="8"/>
        <v>100.6056</v>
      </c>
      <c r="K45" s="284"/>
      <c r="L45" s="185">
        <f t="shared" si="9"/>
        <v>30.433193999999997</v>
      </c>
      <c r="M45" s="90">
        <f t="shared" si="10"/>
        <v>2.701207413402158</v>
      </c>
      <c r="N45" s="90">
        <f t="shared" ref="N45" si="14">(F45/F$65)*N$65</f>
        <v>0.63680700757938058</v>
      </c>
      <c r="O45" s="90">
        <f>SUM(M45:N45)</f>
        <v>3.3380144209815388</v>
      </c>
      <c r="P45" s="285">
        <f t="shared" si="12"/>
        <v>73.180968751335243</v>
      </c>
      <c r="Q45" s="286"/>
      <c r="R45" s="187">
        <f t="shared" si="13"/>
        <v>177.12458317231676</v>
      </c>
      <c r="S45" s="92"/>
    </row>
    <row r="46" spans="2:27" ht="20.100000000000001" customHeight="1" thickBot="1">
      <c r="B46" s="178" t="s">
        <v>181</v>
      </c>
      <c r="C46" s="343">
        <f>C43+C44+C45</f>
        <v>27</v>
      </c>
      <c r="D46" s="344"/>
      <c r="E46" s="168"/>
      <c r="F46" s="181">
        <f>SUMPRODUCT(C44:C45,F44:F45)</f>
        <v>1708.38</v>
      </c>
      <c r="G46" s="181">
        <f>SUMPRODUCT($C$44:$C$45,G44:G45)</f>
        <v>193.92000000000002</v>
      </c>
      <c r="H46" s="181">
        <f>SUMPRODUCT($C$44:$C$45,H44:H45)</f>
        <v>410.01119999999992</v>
      </c>
      <c r="I46" s="181">
        <f>SUM(G46:H46)</f>
        <v>603.93119999999999</v>
      </c>
      <c r="J46" s="287">
        <f>C44*J44+C45*J45</f>
        <v>2312.3112000000001</v>
      </c>
      <c r="K46" s="288"/>
      <c r="L46" s="182">
        <f t="shared" si="9"/>
        <v>699.47413800000004</v>
      </c>
      <c r="M46" s="181">
        <f>SUMPRODUCT(C44:C45,M44:M45)</f>
        <v>61.578445702001318</v>
      </c>
      <c r="N46" s="181">
        <f>SUMPRODUCT(C44:C45,N44:N45)</f>
        <v>14.517058388156688</v>
      </c>
      <c r="O46" s="181">
        <f>M46+N46</f>
        <v>76.095504090158002</v>
      </c>
      <c r="P46" s="289">
        <f>SUMPRODUCT(C44:C45,P44:P45)</f>
        <v>1668.2800026075006</v>
      </c>
      <c r="Q46" s="290"/>
      <c r="R46" s="181">
        <f>J46+P46+O46</f>
        <v>4056.6867066976588</v>
      </c>
      <c r="S46" s="183"/>
    </row>
    <row r="47" spans="2:27" ht="19.5" customHeight="1">
      <c r="B47" s="160" t="s">
        <v>98</v>
      </c>
      <c r="C47" s="341">
        <f>'1획지'!C47+'2획지'!C47</f>
        <v>388</v>
      </c>
      <c r="D47" s="342"/>
      <c r="E47" s="161">
        <f>C47/C50</f>
        <v>0.80497925311203322</v>
      </c>
      <c r="F47" s="162">
        <v>59.94</v>
      </c>
      <c r="G47" s="163">
        <v>7.04</v>
      </c>
      <c r="H47" s="163">
        <f>F47*0.24</f>
        <v>14.385599999999998</v>
      </c>
      <c r="I47" s="163">
        <f t="shared" ref="I47:I48" si="15">G47+H47</f>
        <v>21.425599999999999</v>
      </c>
      <c r="J47" s="292">
        <f t="shared" ref="J47:J49" si="16">F47+I47</f>
        <v>81.365600000000001</v>
      </c>
      <c r="K47" s="293"/>
      <c r="L47" s="164">
        <f t="shared" si="9"/>
        <v>24.613094</v>
      </c>
      <c r="M47" s="163">
        <f>(F47/F$65)*M$65</f>
        <v>2.1605333915042082</v>
      </c>
      <c r="N47" s="163">
        <f>(F47/F$65)*N$65</f>
        <v>0.50934363536573357</v>
      </c>
      <c r="O47" s="163">
        <f t="shared" ref="O47" si="17">SUM(M47:N47)</f>
        <v>2.6698770268699419</v>
      </c>
      <c r="P47" s="334">
        <f>(F47/F$65)*P$65</f>
        <v>58.533056671404246</v>
      </c>
      <c r="Q47" s="335"/>
      <c r="R47" s="165">
        <f t="shared" ref="R47:R49" si="18">J47+O47+P47</f>
        <v>142.56853369827419</v>
      </c>
      <c r="S47" s="166"/>
      <c r="T47">
        <f t="shared" ref="T47:T49" si="19">$T$66*F47</f>
        <v>27.519782951140112</v>
      </c>
      <c r="U47">
        <f>C47*T47</f>
        <v>10677.675785042364</v>
      </c>
      <c r="W47" t="s">
        <v>178</v>
      </c>
      <c r="Y47" s="67">
        <f>R22</f>
        <v>3785.84</v>
      </c>
      <c r="Z47" s="50">
        <f>E13/Y49*Y47</f>
        <v>1660.8416676095885</v>
      </c>
    </row>
    <row r="48" spans="2:27" ht="20.100000000000001" customHeight="1">
      <c r="B48" s="99" t="s">
        <v>120</v>
      </c>
      <c r="C48" s="281">
        <f>'1획지'!C48+'2획지'!C48</f>
        <v>59</v>
      </c>
      <c r="D48" s="282"/>
      <c r="E48" s="143">
        <f>C48/C50</f>
        <v>0.12240663900414937</v>
      </c>
      <c r="F48" s="100">
        <v>74.94</v>
      </c>
      <c r="G48" s="90">
        <v>7.68</v>
      </c>
      <c r="H48" s="90">
        <f>F48*0.24</f>
        <v>17.985599999999998</v>
      </c>
      <c r="I48" s="90">
        <f t="shared" si="15"/>
        <v>25.665599999999998</v>
      </c>
      <c r="J48" s="296">
        <f t="shared" si="16"/>
        <v>100.6056</v>
      </c>
      <c r="K48" s="297"/>
      <c r="L48" s="130">
        <f t="shared" si="9"/>
        <v>30.433193999999997</v>
      </c>
      <c r="M48" s="90">
        <f>(F48/F$65)*M$65</f>
        <v>2.701207413402158</v>
      </c>
      <c r="N48" s="90">
        <f t="shared" ref="N48:N49" si="20">(F48/F$65)*N$65</f>
        <v>0.63680700757938058</v>
      </c>
      <c r="O48" s="90">
        <f>SUM(M48:N48)</f>
        <v>3.3380144209815388</v>
      </c>
      <c r="P48" s="285">
        <f>(F48/F$65)*P$65</f>
        <v>73.180968751335243</v>
      </c>
      <c r="Q48" s="286"/>
      <c r="R48" s="101">
        <f t="shared" si="18"/>
        <v>177.12458317231676</v>
      </c>
      <c r="S48" s="129"/>
      <c r="T48">
        <f t="shared" si="19"/>
        <v>34.406615521495496</v>
      </c>
      <c r="U48">
        <f t="shared" ref="U48:U63" si="21">C48*T48</f>
        <v>2029.9903157682343</v>
      </c>
      <c r="W48" t="s">
        <v>179</v>
      </c>
      <c r="Y48" s="131">
        <f>M65</f>
        <v>12983.0867</v>
      </c>
      <c r="Z48" s="50">
        <f>E13/Y49*Y48</f>
        <v>5695.6583916773734</v>
      </c>
    </row>
    <row r="49" spans="1:26" ht="20.100000000000001" customHeight="1">
      <c r="B49" s="172" t="s">
        <v>149</v>
      </c>
      <c r="C49" s="320">
        <f>'1획지'!C49+'2획지'!C49</f>
        <v>35</v>
      </c>
      <c r="D49" s="321"/>
      <c r="E49" s="144">
        <f>C49/C50</f>
        <v>7.2614107883817433E-2</v>
      </c>
      <c r="F49" s="173">
        <v>84.98</v>
      </c>
      <c r="G49" s="95">
        <v>8.2899999999999991</v>
      </c>
      <c r="H49" s="95">
        <f t="shared" ref="H49" si="22">F49*0.24</f>
        <v>20.395199999999999</v>
      </c>
      <c r="I49" s="95">
        <f>G49+H49</f>
        <v>28.685199999999998</v>
      </c>
      <c r="J49" s="355">
        <f t="shared" si="16"/>
        <v>113.6652</v>
      </c>
      <c r="K49" s="356"/>
      <c r="L49" s="174">
        <f t="shared" si="9"/>
        <v>34.383722999999996</v>
      </c>
      <c r="M49" s="95">
        <f>(F49/F$65)*M$65</f>
        <v>3.0630985587258528</v>
      </c>
      <c r="N49" s="95">
        <f t="shared" si="20"/>
        <v>0.72212249138104834</v>
      </c>
      <c r="O49" s="95">
        <f t="shared" ref="O49" si="23">SUM(M49:N49)</f>
        <v>3.7852210501069012</v>
      </c>
      <c r="P49" s="314">
        <f>(F49/F$65)*P$65</f>
        <v>82.985304570169049</v>
      </c>
      <c r="Q49" s="315"/>
      <c r="R49" s="175">
        <f t="shared" si="18"/>
        <v>200.43572562027595</v>
      </c>
      <c r="S49" s="129"/>
      <c r="T49">
        <f t="shared" si="19"/>
        <v>39.016202121920038</v>
      </c>
      <c r="U49">
        <f t="shared" si="21"/>
        <v>1365.5670742672014</v>
      </c>
      <c r="Y49" s="131">
        <f>Y43+Y47+Y48</f>
        <v>376960.63669999992</v>
      </c>
      <c r="Z49">
        <f>Z43+Z47+Z48</f>
        <v>165372</v>
      </c>
    </row>
    <row r="50" spans="1:26" s="50" customFormat="1" ht="20.100000000000001" customHeight="1" thickBot="1">
      <c r="A50" s="49"/>
      <c r="B50" s="167" t="s">
        <v>99</v>
      </c>
      <c r="C50" s="345">
        <f>C47+C48+C49</f>
        <v>482</v>
      </c>
      <c r="D50" s="346"/>
      <c r="E50" s="168">
        <f>E47+E48+E49</f>
        <v>1</v>
      </c>
      <c r="F50" s="169">
        <f>SUMPRODUCT(C47:C49,F47:F49)</f>
        <v>30652.479999999996</v>
      </c>
      <c r="G50" s="169">
        <f>SUMPRODUCT($C$47:$C$49,G47:G49)</f>
        <v>3474.79</v>
      </c>
      <c r="H50" s="169">
        <f>SUMPRODUCT($C$47:$C$49,H47:H49)</f>
        <v>7356.5951999999997</v>
      </c>
      <c r="I50" s="169">
        <f>SUM(G50:H50)</f>
        <v>10831.385200000001</v>
      </c>
      <c r="J50" s="347">
        <f>J47*C47+C48*J48+C49*J49</f>
        <v>41483.8652</v>
      </c>
      <c r="K50" s="348"/>
      <c r="L50" s="170">
        <f t="shared" si="9"/>
        <v>12548.869223</v>
      </c>
      <c r="M50" s="169">
        <f>SUMPRODUCT(C47:C49,M47:M49)</f>
        <v>1104.866642849765</v>
      </c>
      <c r="N50" s="169">
        <f>SUMPRODUCT(C47:C49,N47:N49)</f>
        <v>260.47123116742478</v>
      </c>
      <c r="O50" s="169">
        <f>M50+N50</f>
        <v>1365.3378740171897</v>
      </c>
      <c r="P50" s="349">
        <f>SUMPRODUCT(C47:C49,P47:P49)</f>
        <v>29932.988804789544</v>
      </c>
      <c r="Q50" s="350"/>
      <c r="R50" s="169">
        <f>J50+P50+O50</f>
        <v>72782.191878806741</v>
      </c>
      <c r="S50" s="171"/>
      <c r="T50">
        <f>'2획지'!R50+'1획지'!R50</f>
        <v>72647.049420521609</v>
      </c>
      <c r="U50"/>
    </row>
    <row r="51" spans="1:26" ht="20.100000000000001" hidden="1" customHeight="1">
      <c r="B51" s="126" t="s">
        <v>119</v>
      </c>
      <c r="C51" s="153"/>
      <c r="D51" s="154">
        <f>C51/C64</f>
        <v>0</v>
      </c>
      <c r="E51" s="140"/>
      <c r="F51" s="155">
        <v>49.53</v>
      </c>
      <c r="G51" s="156">
        <v>5.44</v>
      </c>
      <c r="H51" s="156">
        <f>F51*0.24</f>
        <v>11.8872</v>
      </c>
      <c r="I51" s="156">
        <f>G51+H51</f>
        <v>17.327200000000001</v>
      </c>
      <c r="J51" s="351">
        <f>F51+I51</f>
        <v>66.857200000000006</v>
      </c>
      <c r="K51" s="352"/>
      <c r="L51" s="157">
        <f>J51*0.3025</f>
        <v>20.224303000000003</v>
      </c>
      <c r="M51" s="156">
        <f>(F51/F$65)*M$65</f>
        <v>1.7853056203070308</v>
      </c>
      <c r="N51" s="156">
        <f t="shared" ref="N51:N59" si="24">(F51/F$65)*N$65</f>
        <v>0.42088405504946252</v>
      </c>
      <c r="O51" s="156">
        <f>SUM(M51:N51)</f>
        <v>2.2061896753564931</v>
      </c>
      <c r="P51" s="353">
        <f>(F51/F$65)*P$65</f>
        <v>48.367405687932141</v>
      </c>
      <c r="Q51" s="354"/>
      <c r="R51" s="158">
        <f>J51+O51+P51</f>
        <v>117.43079536328864</v>
      </c>
      <c r="S51" s="159"/>
      <c r="T51">
        <f t="shared" ref="T51:T53" si="25">T63*F51</f>
        <v>4370.6897245136497</v>
      </c>
      <c r="U51">
        <f t="shared" si="21"/>
        <v>0</v>
      </c>
    </row>
    <row r="52" spans="1:26" ht="20.100000000000001" hidden="1" customHeight="1">
      <c r="B52" s="88" t="s">
        <v>103</v>
      </c>
      <c r="C52" s="118"/>
      <c r="D52" s="118"/>
      <c r="E52" s="140"/>
      <c r="F52" s="89">
        <v>45.89</v>
      </c>
      <c r="G52" s="90">
        <v>4.9000000000000004</v>
      </c>
      <c r="H52" s="90">
        <f>$H$68/$F$65*F52</f>
        <v>0</v>
      </c>
      <c r="I52" s="90">
        <f>G52+H52</f>
        <v>4.9000000000000004</v>
      </c>
      <c r="J52" s="294">
        <f>F52+I52</f>
        <v>50.79</v>
      </c>
      <c r="K52" s="295"/>
      <c r="L52" s="113">
        <f>J52*0.3025</f>
        <v>15.363975</v>
      </c>
      <c r="M52" s="90">
        <f>(F52/F$65)*M$65</f>
        <v>1.6541020576597951</v>
      </c>
      <c r="N52" s="90">
        <f t="shared" si="24"/>
        <v>0.3899529433922842</v>
      </c>
      <c r="O52" s="90">
        <f>SUM(M52:N52)</f>
        <v>2.0440550010520795</v>
      </c>
      <c r="P52" s="285">
        <f>(F52/F$65)*P$65</f>
        <v>44.812845689868887</v>
      </c>
      <c r="Q52" s="286"/>
      <c r="R52" s="91">
        <f>J52+O52+P52</f>
        <v>97.646900690920972</v>
      </c>
      <c r="S52" s="92"/>
      <c r="T52">
        <f t="shared" si="25"/>
        <v>0</v>
      </c>
      <c r="U52">
        <f t="shared" si="21"/>
        <v>0</v>
      </c>
    </row>
    <row r="53" spans="1:26" ht="20.100000000000001" hidden="1" customHeight="1">
      <c r="B53" s="88" t="s">
        <v>104</v>
      </c>
      <c r="C53" s="118"/>
      <c r="D53" s="118"/>
      <c r="E53" s="140"/>
      <c r="F53" s="89">
        <v>45.92</v>
      </c>
      <c r="G53" s="90">
        <v>5.44</v>
      </c>
      <c r="H53" s="90">
        <f>$H$68/$F$65*F53</f>
        <v>0</v>
      </c>
      <c r="I53" s="90">
        <f>G53+H53</f>
        <v>5.44</v>
      </c>
      <c r="J53" s="294">
        <f>F53+I53</f>
        <v>51.36</v>
      </c>
      <c r="K53" s="295"/>
      <c r="L53" s="113">
        <f>J53*0.3025</f>
        <v>15.536399999999999</v>
      </c>
      <c r="M53" s="90">
        <f>(F53/F$65)*M$65</f>
        <v>1.655183405703591</v>
      </c>
      <c r="N53" s="90">
        <f t="shared" si="24"/>
        <v>0.39020787013671154</v>
      </c>
      <c r="O53" s="90">
        <f>SUM(M53:N53)</f>
        <v>2.0453912758403026</v>
      </c>
      <c r="P53" s="285">
        <f>(F53/F$65)*P$65</f>
        <v>44.842141514028754</v>
      </c>
      <c r="Q53" s="286"/>
      <c r="R53" s="91">
        <f>J53+O53+P53</f>
        <v>98.247532789869055</v>
      </c>
      <c r="S53" s="92"/>
      <c r="T53">
        <f t="shared" si="25"/>
        <v>0</v>
      </c>
      <c r="U53">
        <f t="shared" si="21"/>
        <v>0</v>
      </c>
    </row>
    <row r="54" spans="1:26" ht="20.100000000000001" customHeight="1">
      <c r="A54" s="38"/>
      <c r="B54" s="88" t="s">
        <v>101</v>
      </c>
      <c r="C54" s="281">
        <f>'1획지'!C54+'2획지'!C54</f>
        <v>805</v>
      </c>
      <c r="D54" s="282"/>
      <c r="E54" s="142"/>
      <c r="F54" s="89">
        <v>59.94</v>
      </c>
      <c r="G54" s="90">
        <v>7.04</v>
      </c>
      <c r="H54" s="90">
        <f>F54*0.24</f>
        <v>14.385599999999998</v>
      </c>
      <c r="I54" s="90">
        <f t="shared" ref="I54:I62" si="26">G54+H54</f>
        <v>21.425599999999999</v>
      </c>
      <c r="J54" s="294">
        <f t="shared" ref="J54:J62" si="27">F54+I54</f>
        <v>81.365600000000001</v>
      </c>
      <c r="K54" s="295"/>
      <c r="L54" s="113">
        <f t="shared" ref="L54:L62" si="28">J54*0.3025</f>
        <v>24.613094</v>
      </c>
      <c r="M54" s="90">
        <f>(F54/F$65)*M$65</f>
        <v>2.1605333915042082</v>
      </c>
      <c r="N54" s="90">
        <f t="shared" si="24"/>
        <v>0.50934363536573357</v>
      </c>
      <c r="O54" s="90">
        <f t="shared" ref="O54" si="29">SUM(M54:N54)</f>
        <v>2.6698770268699419</v>
      </c>
      <c r="P54" s="285">
        <f>$P$65/$F$65*F54</f>
        <v>58.533056671404246</v>
      </c>
      <c r="Q54" s="286"/>
      <c r="R54" s="91">
        <f t="shared" ref="R54:R62" si="30">J54+O54+P54</f>
        <v>142.56853369827419</v>
      </c>
      <c r="S54" s="92"/>
      <c r="T54">
        <f>T66*F54</f>
        <v>27.519782951140112</v>
      </c>
      <c r="U54">
        <f t="shared" si="21"/>
        <v>22153.425275667789</v>
      </c>
      <c r="Y54">
        <f>F54*AA43</f>
        <v>26.295577614616235</v>
      </c>
      <c r="Z54">
        <f>Y54*(C47+C54+C44)</f>
        <v>31922.831224144109</v>
      </c>
    </row>
    <row r="55" spans="1:26" ht="19.5" customHeight="1">
      <c r="B55" s="88" t="s">
        <v>100</v>
      </c>
      <c r="C55" s="281">
        <f>'1획지'!C55+'2획지'!C55</f>
        <v>167</v>
      </c>
      <c r="D55" s="282"/>
      <c r="E55" s="143"/>
      <c r="F55" s="89">
        <v>74.94</v>
      </c>
      <c r="G55" s="90">
        <v>7.68</v>
      </c>
      <c r="H55" s="90">
        <f>F55*0.24</f>
        <v>17.985599999999998</v>
      </c>
      <c r="I55" s="90">
        <f t="shared" si="26"/>
        <v>25.665599999999998</v>
      </c>
      <c r="J55" s="294">
        <f t="shared" si="27"/>
        <v>100.6056</v>
      </c>
      <c r="K55" s="295"/>
      <c r="L55" s="113">
        <f t="shared" si="28"/>
        <v>30.433193999999997</v>
      </c>
      <c r="M55" s="90">
        <f>(F55/F$65)*M$65</f>
        <v>2.701207413402158</v>
      </c>
      <c r="N55" s="90">
        <f t="shared" si="24"/>
        <v>0.63680700757938058</v>
      </c>
      <c r="O55" s="90">
        <f>SUM(M55:N55)</f>
        <v>3.3380144209815388</v>
      </c>
      <c r="P55" s="285">
        <f>$P$65/$F$65*F55</f>
        <v>73.180968751335243</v>
      </c>
      <c r="Q55" s="286"/>
      <c r="R55" s="91">
        <f t="shared" si="30"/>
        <v>177.12458317231676</v>
      </c>
      <c r="S55" s="92"/>
      <c r="T55">
        <f>$T$66*F55</f>
        <v>34.406615521495496</v>
      </c>
      <c r="U55">
        <f t="shared" si="21"/>
        <v>5745.9047920897483</v>
      </c>
      <c r="Y55">
        <f>F55*AA43</f>
        <v>32.876052493148826</v>
      </c>
      <c r="Z55">
        <f>Y55*(C48+C55+C45)</f>
        <v>7627.2441784105276</v>
      </c>
    </row>
    <row r="56" spans="1:26" ht="20.100000000000001" hidden="1" customHeight="1">
      <c r="B56" s="88"/>
      <c r="C56" s="119"/>
      <c r="D56" s="121"/>
      <c r="E56" s="143"/>
      <c r="F56" s="89"/>
      <c r="G56" s="90"/>
      <c r="H56" s="90">
        <f t="shared" ref="H56:H57" si="31">F56*0.245</f>
        <v>0</v>
      </c>
      <c r="I56" s="90"/>
      <c r="J56" s="294"/>
      <c r="K56" s="295"/>
      <c r="L56" s="113"/>
      <c r="M56" s="90"/>
      <c r="N56" s="90">
        <f t="shared" si="24"/>
        <v>0</v>
      </c>
      <c r="O56" s="90"/>
      <c r="P56" s="285">
        <f t="shared" ref="P56:P61" si="32">$P$65/$F$65*F56</f>
        <v>0</v>
      </c>
      <c r="Q56" s="286"/>
      <c r="R56" s="91"/>
      <c r="S56" s="92"/>
      <c r="T56">
        <f t="shared" ref="T56:T63" si="33">$T$66*F56</f>
        <v>0</v>
      </c>
      <c r="U56">
        <f t="shared" si="21"/>
        <v>0</v>
      </c>
      <c r="Y56" t="e">
        <f t="shared" ref="Y56:Y62" si="34">F56/Y51*Y52</f>
        <v>#DIV/0!</v>
      </c>
    </row>
    <row r="57" spans="1:26" ht="20.100000000000001" hidden="1" customHeight="1">
      <c r="B57" s="88"/>
      <c r="C57" s="119"/>
      <c r="D57" s="121"/>
      <c r="E57" s="143"/>
      <c r="F57" s="89"/>
      <c r="G57" s="90"/>
      <c r="H57" s="90">
        <f t="shared" si="31"/>
        <v>0</v>
      </c>
      <c r="I57" s="90"/>
      <c r="J57" s="294"/>
      <c r="K57" s="295"/>
      <c r="L57" s="113"/>
      <c r="M57" s="90"/>
      <c r="N57" s="90">
        <f t="shared" si="24"/>
        <v>0</v>
      </c>
      <c r="O57" s="90"/>
      <c r="P57" s="285">
        <f t="shared" si="32"/>
        <v>0</v>
      </c>
      <c r="Q57" s="286"/>
      <c r="R57" s="91"/>
      <c r="S57" s="92"/>
      <c r="T57">
        <f t="shared" si="33"/>
        <v>0</v>
      </c>
      <c r="U57">
        <f t="shared" si="21"/>
        <v>0</v>
      </c>
      <c r="Y57" t="e">
        <f t="shared" si="34"/>
        <v>#DIV/0!</v>
      </c>
    </row>
    <row r="58" spans="1:26" ht="20.100000000000001" customHeight="1">
      <c r="A58" s="38"/>
      <c r="B58" s="93" t="s">
        <v>113</v>
      </c>
      <c r="C58" s="320">
        <f>'1획지'!C58+'2획지'!C58</f>
        <v>1107</v>
      </c>
      <c r="D58" s="321"/>
      <c r="E58" s="143"/>
      <c r="F58" s="89">
        <v>84.98</v>
      </c>
      <c r="G58" s="90">
        <v>8.2899999999999991</v>
      </c>
      <c r="H58" s="90">
        <f t="shared" ref="H58:H63" si="35">F58*0.24</f>
        <v>20.395199999999999</v>
      </c>
      <c r="I58" s="90">
        <f>G58+H58</f>
        <v>28.685199999999998</v>
      </c>
      <c r="J58" s="294">
        <f>F58+I58</f>
        <v>113.6652</v>
      </c>
      <c r="K58" s="295"/>
      <c r="L58" s="113">
        <f>J58*0.3025</f>
        <v>34.383722999999996</v>
      </c>
      <c r="M58" s="90">
        <f>(F58/F$65)*M$65</f>
        <v>3.0630985587258528</v>
      </c>
      <c r="N58" s="90">
        <f t="shared" si="24"/>
        <v>0.72212249138104834</v>
      </c>
      <c r="O58" s="90">
        <f>SUM(M58:N58)</f>
        <v>3.7852210501069012</v>
      </c>
      <c r="P58" s="285">
        <f t="shared" si="32"/>
        <v>82.985304570169063</v>
      </c>
      <c r="Q58" s="286"/>
      <c r="R58" s="91">
        <f>J58+O58+P58</f>
        <v>200.43572562027595</v>
      </c>
      <c r="S58" s="92"/>
      <c r="T58">
        <f t="shared" si="33"/>
        <v>39.016202121920038</v>
      </c>
      <c r="U58">
        <f t="shared" si="21"/>
        <v>43190.935748965479</v>
      </c>
      <c r="Y58">
        <f>F58*AA43</f>
        <v>37.28058367851331</v>
      </c>
      <c r="Z58">
        <f>Y58*(C49+C58)</f>
        <v>42574.426560862201</v>
      </c>
    </row>
    <row r="59" spans="1:26" ht="20.100000000000001" customHeight="1">
      <c r="A59" s="38"/>
      <c r="B59" s="126" t="s">
        <v>118</v>
      </c>
      <c r="C59" s="318">
        <f>'1획지'!C59+'2획지'!C59</f>
        <v>497</v>
      </c>
      <c r="D59" s="319"/>
      <c r="E59" s="143"/>
      <c r="F59" s="89">
        <v>99.63</v>
      </c>
      <c r="G59" s="90">
        <v>10.28</v>
      </c>
      <c r="H59" s="90">
        <f t="shared" si="35"/>
        <v>23.911199999999997</v>
      </c>
      <c r="I59" s="90">
        <f>G59+H59</f>
        <v>34.191199999999995</v>
      </c>
      <c r="J59" s="316">
        <f>F59+I59</f>
        <v>133.82119999999998</v>
      </c>
      <c r="K59" s="317"/>
      <c r="L59" s="113">
        <f>J59*0.3025</f>
        <v>40.480912999999994</v>
      </c>
      <c r="M59" s="90">
        <f>(F59/F65)*M65</f>
        <v>3.5911568534461837</v>
      </c>
      <c r="N59" s="90">
        <f t="shared" si="24"/>
        <v>0.8466117182430436</v>
      </c>
      <c r="O59" s="90">
        <f>SUM(M59:N59)</f>
        <v>4.4377685716892277</v>
      </c>
      <c r="P59" s="285">
        <f t="shared" si="32"/>
        <v>97.291432034901661</v>
      </c>
      <c r="Q59" s="286"/>
      <c r="R59" s="91">
        <f>J59+O59+P59</f>
        <v>235.55040060659087</v>
      </c>
      <c r="S59" s="92"/>
      <c r="T59">
        <f t="shared" si="33"/>
        <v>45.742341932300455</v>
      </c>
      <c r="U59">
        <f t="shared" si="21"/>
        <v>22733.943940353325</v>
      </c>
      <c r="Y59">
        <f>F59*AA43</f>
        <v>43.707514143213473</v>
      </c>
      <c r="Z59">
        <f>Y59*C59</f>
        <v>21722.634529177096</v>
      </c>
    </row>
    <row r="60" spans="1:26" ht="20.100000000000001" customHeight="1">
      <c r="A60" s="38"/>
      <c r="B60" s="88" t="s">
        <v>133</v>
      </c>
      <c r="C60" s="281">
        <f>'1획지'!C60+'2획지'!C60</f>
        <v>580</v>
      </c>
      <c r="D60" s="282"/>
      <c r="E60" s="143"/>
      <c r="F60" s="89">
        <v>112.4</v>
      </c>
      <c r="G60" s="90">
        <v>12.23</v>
      </c>
      <c r="H60" s="90">
        <f>F60*0.24</f>
        <v>26.975999999999999</v>
      </c>
      <c r="I60" s="90">
        <f t="shared" si="26"/>
        <v>39.206000000000003</v>
      </c>
      <c r="J60" s="294">
        <f>F60+I60</f>
        <v>151.60599999999999</v>
      </c>
      <c r="K60" s="295"/>
      <c r="L60" s="113">
        <f t="shared" si="28"/>
        <v>45.860814999999995</v>
      </c>
      <c r="M60" s="90">
        <f>(F60/F$65)*M$65</f>
        <v>4.0514506707553055</v>
      </c>
      <c r="N60" s="90">
        <f>(F60/F$65)*N$65</f>
        <v>0.95512553578759518</v>
      </c>
      <c r="O60" s="90">
        <f>SUM(M60:N60)</f>
        <v>5.0065762065429009</v>
      </c>
      <c r="P60" s="285">
        <f t="shared" si="32"/>
        <v>109.76168785228292</v>
      </c>
      <c r="Q60" s="286"/>
      <c r="R60" s="91">
        <f>J60+O60+P60</f>
        <v>266.37426405882582</v>
      </c>
      <c r="S60" s="92"/>
      <c r="T60">
        <f t="shared" si="33"/>
        <v>51.605332060529683</v>
      </c>
      <c r="U60">
        <f t="shared" si="21"/>
        <v>29931.092595107217</v>
      </c>
      <c r="Y60">
        <f>F60*AA43</f>
        <v>49.30969175647089</v>
      </c>
      <c r="Z60">
        <f>Y60*C60</f>
        <v>28599.621218753116</v>
      </c>
    </row>
    <row r="61" spans="1:26" ht="19.5" customHeight="1">
      <c r="B61" s="88" t="s">
        <v>105</v>
      </c>
      <c r="C61" s="281">
        <f>'1획지'!C61+'2획지'!C61</f>
        <v>272</v>
      </c>
      <c r="D61" s="282"/>
      <c r="E61" s="143"/>
      <c r="F61" s="89">
        <v>129.19999999999999</v>
      </c>
      <c r="G61" s="90">
        <v>14.58</v>
      </c>
      <c r="H61" s="90">
        <f t="shared" si="35"/>
        <v>31.007999999999996</v>
      </c>
      <c r="I61" s="90">
        <f t="shared" si="26"/>
        <v>45.587999999999994</v>
      </c>
      <c r="J61" s="294">
        <f t="shared" si="27"/>
        <v>174.78799999999998</v>
      </c>
      <c r="K61" s="295"/>
      <c r="L61" s="113">
        <f t="shared" si="28"/>
        <v>52.873369999999994</v>
      </c>
      <c r="M61" s="90">
        <f>(F61/F$65)*M$65</f>
        <v>4.6570055752810084</v>
      </c>
      <c r="N61" s="90">
        <f>(F61/F$65)*N$65</f>
        <v>1.0978845126668797</v>
      </c>
      <c r="O61" s="90">
        <f t="shared" ref="O61:O63" si="36">SUM(M61:N61)</f>
        <v>5.7548900879478886</v>
      </c>
      <c r="P61" s="285">
        <f t="shared" si="32"/>
        <v>126.16734938180561</v>
      </c>
      <c r="Q61" s="286"/>
      <c r="R61" s="91">
        <f t="shared" si="30"/>
        <v>306.7102394697535</v>
      </c>
      <c r="S61" s="92"/>
      <c r="T61">
        <f t="shared" si="33"/>
        <v>59.318584539327702</v>
      </c>
      <c r="U61">
        <f t="shared" si="21"/>
        <v>16134.654994697135</v>
      </c>
      <c r="Y61">
        <f>F61*AA43</f>
        <v>56.679823620427385</v>
      </c>
      <c r="Z61">
        <f>Y61*C61</f>
        <v>15416.91202475625</v>
      </c>
    </row>
    <row r="62" spans="1:26" ht="19.5" customHeight="1">
      <c r="B62" s="88" t="s">
        <v>114</v>
      </c>
      <c r="C62" s="281">
        <f>'2획지'!C75</f>
        <v>140</v>
      </c>
      <c r="D62" s="282"/>
      <c r="E62" s="143"/>
      <c r="F62" s="89">
        <v>159.80000000000001</v>
      </c>
      <c r="G62" s="90">
        <v>17.68</v>
      </c>
      <c r="H62" s="90">
        <f t="shared" si="35"/>
        <v>38.352000000000004</v>
      </c>
      <c r="I62" s="90">
        <f t="shared" si="26"/>
        <v>56.032000000000004</v>
      </c>
      <c r="J62" s="294">
        <f t="shared" si="27"/>
        <v>215.83200000000002</v>
      </c>
      <c r="K62" s="295"/>
      <c r="L62" s="113">
        <f t="shared" si="28"/>
        <v>65.289180000000002</v>
      </c>
      <c r="M62" s="90">
        <f>(F62/F$65)*M$65</f>
        <v>5.7599805799528276</v>
      </c>
      <c r="N62" s="90">
        <f>(F62/F$65)*N$65</f>
        <v>1.3579097919827199</v>
      </c>
      <c r="O62" s="90">
        <f t="shared" si="36"/>
        <v>7.1178903719355473</v>
      </c>
      <c r="P62" s="285">
        <f>(F62/F$65)*P$65</f>
        <v>156.04909002486485</v>
      </c>
      <c r="Q62" s="286"/>
      <c r="R62" s="91">
        <f t="shared" si="30"/>
        <v>378.99898039680045</v>
      </c>
      <c r="S62" s="92"/>
      <c r="T62">
        <f t="shared" si="33"/>
        <v>73.367722982852698</v>
      </c>
      <c r="U62">
        <f t="shared" si="21"/>
        <v>10271.481217599377</v>
      </c>
      <c r="Y62" t="e">
        <f t="shared" si="34"/>
        <v>#DIV/0!</v>
      </c>
    </row>
    <row r="63" spans="1:26" ht="20.100000000000001" customHeight="1">
      <c r="B63" s="93" t="s">
        <v>238</v>
      </c>
      <c r="C63" s="320">
        <f>'2획지'!C76</f>
        <v>4</v>
      </c>
      <c r="D63" s="321"/>
      <c r="E63" s="144"/>
      <c r="F63" s="94">
        <v>192.2</v>
      </c>
      <c r="G63" s="95">
        <v>18.48</v>
      </c>
      <c r="H63" s="90">
        <f t="shared" si="35"/>
        <v>46.127999999999993</v>
      </c>
      <c r="I63" s="95">
        <f>G63+H63</f>
        <v>64.60799999999999</v>
      </c>
      <c r="J63" s="312">
        <f>F63+I63</f>
        <v>256.80799999999999</v>
      </c>
      <c r="K63" s="313"/>
      <c r="L63" s="114">
        <f>J63*0.3025</f>
        <v>77.684419999999989</v>
      </c>
      <c r="M63" s="95">
        <f>(F63/F$65)*M$65</f>
        <v>6.9278364672523995</v>
      </c>
      <c r="N63" s="95">
        <f>(F63/F$65)*N$65</f>
        <v>1.6332306759641975</v>
      </c>
      <c r="O63" s="95">
        <f t="shared" si="36"/>
        <v>8.5610671432165972</v>
      </c>
      <c r="P63" s="314">
        <f>(F63/F$65)*P$65</f>
        <v>187.68858011751578</v>
      </c>
      <c r="Q63" s="315"/>
      <c r="R63" s="96">
        <f>J63+O63+P63</f>
        <v>453.05764726073232</v>
      </c>
      <c r="S63" s="97"/>
      <c r="T63">
        <f t="shared" si="33"/>
        <v>88.24328133482031</v>
      </c>
      <c r="U63">
        <f t="shared" si="21"/>
        <v>352.97312533928124</v>
      </c>
      <c r="Y63">
        <f>F63*AA43</f>
        <v>84.31781811026427</v>
      </c>
      <c r="Z63">
        <f>Y63*C63</f>
        <v>337.27127244105708</v>
      </c>
    </row>
    <row r="64" spans="1:26" s="50" customFormat="1" ht="20.100000000000001" customHeight="1">
      <c r="A64" s="49"/>
      <c r="B64" s="32" t="s">
        <v>68</v>
      </c>
      <c r="C64" s="298">
        <f>SUM(C51:C63)</f>
        <v>3572</v>
      </c>
      <c r="D64" s="299"/>
      <c r="E64" s="134"/>
      <c r="F64" s="77">
        <f>SUMPRODUCT($C$51:$C$63,F51:F63)</f>
        <v>327830.84999999992</v>
      </c>
      <c r="G64" s="77">
        <f>SUMPRODUCT($C$51:$C$63,G51:G63)</f>
        <v>34844.229999999996</v>
      </c>
      <c r="H64" s="77">
        <f>SUMPRODUCT($C$51:$C$63,H51:H63)</f>
        <v>78679.403999999995</v>
      </c>
      <c r="I64" s="77">
        <f>SUMPRODUCT($C$51:$C$63,I51:I63)</f>
        <v>113523.63399999999</v>
      </c>
      <c r="J64" s="300">
        <f>SUMPRODUCT(C51:C63,J51:J63)</f>
        <v>441354.484</v>
      </c>
      <c r="K64" s="301"/>
      <c r="L64" s="115">
        <f>J64*0.3025</f>
        <v>133509.73141000001</v>
      </c>
      <c r="M64" s="78">
        <f>SUMPRODUCT($C$51:$C$63,M51:M63)</f>
        <v>11816.641611448236</v>
      </c>
      <c r="N64" s="78">
        <f>SUMPRODUCT($C$51:$C$63,N51:N63)</f>
        <v>2785.7617104444194</v>
      </c>
      <c r="O64" s="78">
        <f>SUMPRODUCT($C$51:$C$63,O51:O63)</f>
        <v>14602.403321892658</v>
      </c>
      <c r="P64" s="302">
        <f>SUMPRODUCT($C$51:$C$63,P51:P63)</f>
        <v>320135.83119260299</v>
      </c>
      <c r="Q64" s="303"/>
      <c r="R64" s="74">
        <f>J64+O64+P64</f>
        <v>776092.71851449565</v>
      </c>
      <c r="S64" s="79"/>
      <c r="T64"/>
    </row>
    <row r="65" spans="2:26" ht="39" customHeight="1" thickBot="1">
      <c r="B65" s="80" t="s">
        <v>27</v>
      </c>
      <c r="C65" s="306">
        <f>C50+C64+C46</f>
        <v>4081</v>
      </c>
      <c r="D65" s="307"/>
      <c r="E65" s="135"/>
      <c r="F65" s="81">
        <f>F64+F50+F46</f>
        <v>360191.7099999999</v>
      </c>
      <c r="G65" s="81">
        <f>G50+G64+G46</f>
        <v>38512.939999999995</v>
      </c>
      <c r="H65" s="81">
        <f t="shared" ref="H65:I65" si="37">H50+H64+H46</f>
        <v>86446.010399999985</v>
      </c>
      <c r="I65" s="81">
        <f t="shared" si="37"/>
        <v>124958.9504</v>
      </c>
      <c r="J65" s="308">
        <f>F65+I65</f>
        <v>485150.66039999994</v>
      </c>
      <c r="K65" s="309"/>
      <c r="L65" s="111">
        <f>J65*0.3025</f>
        <v>146758.07477099999</v>
      </c>
      <c r="M65" s="81">
        <f>R8+R13+R15+R17+R18+R20+R19+R24+R21</f>
        <v>12983.0867</v>
      </c>
      <c r="N65" s="81">
        <f>C65*0.75</f>
        <v>3060.75</v>
      </c>
      <c r="O65" s="81">
        <f>SUM(M65:N65)</f>
        <v>16043.8367</v>
      </c>
      <c r="P65" s="310">
        <f>(E31+G31)*42.9</f>
        <v>351737.1</v>
      </c>
      <c r="Q65" s="311"/>
      <c r="R65" s="81">
        <f>J65+O65+P65</f>
        <v>852931.5970999999</v>
      </c>
      <c r="S65" s="82"/>
    </row>
    <row r="66" spans="2:26" ht="19.5" customHeight="1">
      <c r="B66"/>
      <c r="C66"/>
      <c r="D66"/>
      <c r="I66" s="75"/>
      <c r="J66" s="291"/>
      <c r="K66" s="291"/>
      <c r="L66" s="291"/>
      <c r="M66" s="51"/>
      <c r="N66" s="51"/>
      <c r="P66" s="51">
        <f>P50+P64</f>
        <v>350068.81999739254</v>
      </c>
      <c r="Q66"/>
      <c r="R66" s="104"/>
      <c r="S66" s="23"/>
      <c r="T66" s="150">
        <f>E13/F65</f>
        <v>0.4591221713570256</v>
      </c>
      <c r="U66">
        <f>SUM(U47:U63)</f>
        <v>164587.64486489716</v>
      </c>
      <c r="Z66" s="152">
        <f>Z54+Z55+Z58+Z59+Z60+Z61+Z63</f>
        <v>148200.94100854435</v>
      </c>
    </row>
    <row r="67" spans="2:26">
      <c r="H67" s="51"/>
      <c r="M67" s="13"/>
      <c r="N67" s="13"/>
      <c r="P67" s="53">
        <f>(P65+N65+R20+R19)/(E13*0.7)</f>
        <v>3.0772701200064958</v>
      </c>
      <c r="R67" s="70">
        <f>R65+R22+R23</f>
        <v>858526.83629999985</v>
      </c>
      <c r="U67" s="67">
        <f>E13</f>
        <v>165372.00000000003</v>
      </c>
    </row>
    <row r="68" spans="2:26">
      <c r="C68" s="13" cm="1">
        <f t="array" ref="C68:D68">'1획지'!C65:D65+'2획지'!C65:D65</f>
        <v>4081</v>
      </c>
      <c r="D68" s="13">
        <v>0</v>
      </c>
      <c r="E68">
        <f>'1획지'!E16+'2획지'!E16</f>
        <v>495919.58709999995</v>
      </c>
      <c r="I68" s="51"/>
      <c r="J68" s="71">
        <f>E34/J65</f>
        <v>4.7661713952806576E-3</v>
      </c>
      <c r="P68" s="13" cm="1">
        <f t="array" ref="P68:Q68">'1획지'!P65:Q65</f>
        <v>70270.2</v>
      </c>
      <c r="Q68" s="98">
        <v>0</v>
      </c>
      <c r="R68" s="272">
        <f>E18</f>
        <v>858526.83629999997</v>
      </c>
    </row>
    <row r="69" spans="2:26">
      <c r="E69" s="67">
        <f>E16</f>
        <v>495919.5871</v>
      </c>
      <c r="P69" s="13" cm="1">
        <f t="array" ref="P69:Q69">'2획지'!P65:Q65</f>
        <v>279879.59999999998</v>
      </c>
      <c r="Q69" s="13">
        <v>0</v>
      </c>
      <c r="S69" s="70"/>
    </row>
    <row r="70" spans="2:26">
      <c r="L70" s="72"/>
      <c r="M70" s="72"/>
      <c r="N70" s="72"/>
      <c r="O70" s="72"/>
      <c r="P70" s="73"/>
    </row>
    <row r="71" spans="2:26">
      <c r="C71" s="13" t="s">
        <v>155</v>
      </c>
      <c r="G71" s="55"/>
      <c r="H71" s="51"/>
      <c r="I71" s="51"/>
      <c r="J71" s="51"/>
      <c r="L71" s="68"/>
      <c r="M71" s="67"/>
      <c r="N71" s="68"/>
      <c r="O71" s="68"/>
      <c r="P71" s="69">
        <f>P68+P69</f>
        <v>350149.8</v>
      </c>
    </row>
    <row r="72" spans="2:26">
      <c r="B72" s="13" t="s">
        <v>156</v>
      </c>
      <c r="C72" s="139">
        <f>C65</f>
        <v>4081</v>
      </c>
      <c r="D72" s="13" t="s">
        <v>158</v>
      </c>
      <c r="E72">
        <v>980.6</v>
      </c>
      <c r="F72" t="s">
        <v>150</v>
      </c>
      <c r="G72" s="55"/>
      <c r="H72" s="51"/>
      <c r="I72" s="51"/>
      <c r="J72" s="51"/>
      <c r="L72" s="56"/>
      <c r="Q72" s="70"/>
    </row>
    <row r="73" spans="2:26">
      <c r="B73" s="13" t="s">
        <v>157</v>
      </c>
      <c r="C73" s="13">
        <f>C72*3</f>
        <v>12243</v>
      </c>
      <c r="D73" s="13" t="s">
        <v>159</v>
      </c>
      <c r="E73">
        <f>C73-E72</f>
        <v>11262.4</v>
      </c>
      <c r="G73" s="55"/>
      <c r="H73" s="51"/>
      <c r="I73" s="51"/>
      <c r="J73" s="51"/>
      <c r="L73" s="56"/>
      <c r="N73" s="71"/>
    </row>
    <row r="74" spans="2:26">
      <c r="D74" s="13" t="s">
        <v>160</v>
      </c>
      <c r="E74">
        <v>11012.3</v>
      </c>
      <c r="F74" s="13" t="s">
        <v>161</v>
      </c>
      <c r="G74" s="55">
        <v>11074.6</v>
      </c>
      <c r="H74" s="51"/>
      <c r="I74" s="51"/>
      <c r="J74" s="51"/>
      <c r="L74" s="56"/>
      <c r="N74" s="71"/>
    </row>
    <row r="75" spans="2:26">
      <c r="E75">
        <f>E73-E74</f>
        <v>250.10000000000036</v>
      </c>
      <c r="G75" s="55"/>
      <c r="H75" s="51"/>
      <c r="I75" s="51"/>
      <c r="J75" s="51"/>
      <c r="L75" s="56"/>
      <c r="N75" s="71"/>
    </row>
    <row r="76" spans="2:26">
      <c r="G76" s="55"/>
      <c r="H76" s="51"/>
      <c r="I76" s="51"/>
      <c r="J76" s="51"/>
      <c r="L76" s="56"/>
    </row>
    <row r="77" spans="2:26">
      <c r="G77" s="55"/>
      <c r="H77" s="51"/>
      <c r="I77" s="51"/>
      <c r="J77" s="51"/>
      <c r="L77" s="56"/>
    </row>
    <row r="78" spans="2:26">
      <c r="G78" s="55"/>
      <c r="H78" s="51"/>
      <c r="I78" s="51"/>
      <c r="J78" s="51"/>
      <c r="L78" s="56"/>
    </row>
    <row r="79" spans="2:26" ht="26.25">
      <c r="B79" s="4" t="s">
        <v>216</v>
      </c>
      <c r="H79" s="51"/>
      <c r="I79" s="51"/>
      <c r="J79" s="51"/>
      <c r="L79" s="56"/>
    </row>
    <row r="80" spans="2:26" ht="29.25" customHeight="1" thickBot="1">
      <c r="B80" s="219" t="s">
        <v>213</v>
      </c>
      <c r="G80" s="55"/>
      <c r="H80" s="51"/>
      <c r="I80" s="98" t="s">
        <v>218</v>
      </c>
      <c r="J80" s="51"/>
      <c r="L80" s="56"/>
    </row>
    <row r="81" spans="2:20" ht="21" thickBot="1">
      <c r="B81" s="206" t="s">
        <v>204</v>
      </c>
      <c r="C81" s="207" t="s">
        <v>205</v>
      </c>
      <c r="D81" s="208" t="s">
        <v>200</v>
      </c>
      <c r="E81" s="208" t="s">
        <v>201</v>
      </c>
      <c r="F81" s="213" t="s">
        <v>202</v>
      </c>
      <c r="G81" s="216" t="s">
        <v>170</v>
      </c>
      <c r="H81" s="51"/>
      <c r="I81" s="98"/>
      <c r="J81" s="51"/>
      <c r="L81" s="56"/>
    </row>
    <row r="82" spans="2:20" ht="20.25">
      <c r="B82" s="269" t="s">
        <v>206</v>
      </c>
      <c r="C82" s="237">
        <v>150.66</v>
      </c>
      <c r="D82" s="238">
        <v>47.58</v>
      </c>
      <c r="E82" s="238"/>
      <c r="F82" s="239"/>
      <c r="G82" s="240">
        <f>SUM(C82:F82)</f>
        <v>198.24</v>
      </c>
      <c r="H82" s="51"/>
      <c r="I82" s="229">
        <f>C82+D82</f>
        <v>198.24</v>
      </c>
      <c r="J82" s="230"/>
      <c r="K82" s="230"/>
      <c r="L82" s="231"/>
      <c r="M82" s="230"/>
    </row>
    <row r="83" spans="2:20" ht="21" thickBot="1">
      <c r="B83" s="270" t="s">
        <v>226</v>
      </c>
      <c r="C83" s="241">
        <v>150.66</v>
      </c>
      <c r="D83" s="242">
        <v>47.58</v>
      </c>
      <c r="E83" s="242"/>
      <c r="F83" s="243"/>
      <c r="G83" s="259">
        <f>SUM(C83:F83)</f>
        <v>198.24</v>
      </c>
      <c r="H83" s="51"/>
      <c r="I83" s="229">
        <f>C83+D83</f>
        <v>198.24</v>
      </c>
      <c r="J83" s="230">
        <f>I82+I83</f>
        <v>396.48</v>
      </c>
      <c r="K83" s="230"/>
      <c r="L83" s="233">
        <f>'1획지'!R22</f>
        <v>396.48</v>
      </c>
      <c r="M83" s="230"/>
    </row>
    <row r="84" spans="2:20" ht="21" thickBot="1">
      <c r="B84" s="205" t="s">
        <v>208</v>
      </c>
      <c r="C84" s="244">
        <f>C82+C83</f>
        <v>301.32</v>
      </c>
      <c r="D84" s="245">
        <f>D82+D83</f>
        <v>95.16</v>
      </c>
      <c r="E84" s="245"/>
      <c r="F84" s="246"/>
      <c r="G84" s="247">
        <f>G82+G83</f>
        <v>396.48</v>
      </c>
      <c r="H84" s="51"/>
      <c r="I84" s="229"/>
      <c r="J84" s="230"/>
      <c r="K84" s="230"/>
      <c r="L84" s="231"/>
      <c r="M84" s="230"/>
    </row>
    <row r="85" spans="2:20" ht="21" thickBot="1">
      <c r="B85" s="205" t="s">
        <v>203</v>
      </c>
      <c r="C85" s="244"/>
      <c r="D85" s="245"/>
      <c r="E85" s="245">
        <f>(C82+C83)*0.08</f>
        <v>24.105599999999999</v>
      </c>
      <c r="F85" s="246">
        <f>J88*42.9</f>
        <v>171.6</v>
      </c>
      <c r="G85" s="247">
        <f t="shared" ref="G85" si="38">SUM(C85:F85)</f>
        <v>195.7056</v>
      </c>
      <c r="H85" s="51"/>
      <c r="I85" s="229"/>
      <c r="J85" s="229" t="s">
        <v>219</v>
      </c>
      <c r="K85" s="230"/>
      <c r="L85" s="231"/>
      <c r="M85" s="230"/>
    </row>
    <row r="86" spans="2:20" ht="21" thickBot="1">
      <c r="B86" s="225" t="s">
        <v>209</v>
      </c>
      <c r="C86" s="248"/>
      <c r="D86" s="249"/>
      <c r="E86" s="249">
        <f>E85</f>
        <v>24.105599999999999</v>
      </c>
      <c r="F86" s="250">
        <f>F85</f>
        <v>171.6</v>
      </c>
      <c r="G86" s="251">
        <f>G85</f>
        <v>195.7056</v>
      </c>
      <c r="H86" s="51"/>
      <c r="I86" s="229"/>
      <c r="J86" s="229">
        <f>J83/134</f>
        <v>2.9588059701492537</v>
      </c>
      <c r="K86" s="230"/>
      <c r="L86" s="231"/>
      <c r="M86" s="230"/>
    </row>
    <row r="87" spans="2:20" ht="21" thickBot="1">
      <c r="B87" s="205" t="s">
        <v>170</v>
      </c>
      <c r="C87" s="244">
        <f>C84+C86</f>
        <v>301.32</v>
      </c>
      <c r="D87" s="245">
        <f>D84+D86</f>
        <v>95.16</v>
      </c>
      <c r="E87" s="245">
        <f>E84+E86</f>
        <v>24.105599999999999</v>
      </c>
      <c r="F87" s="246">
        <f>F84+F86</f>
        <v>171.6</v>
      </c>
      <c r="G87" s="247">
        <f>G84+G86</f>
        <v>592.18560000000002</v>
      </c>
      <c r="H87" s="236">
        <f>C87+D87+E87+F87</f>
        <v>592.18560000000002</v>
      </c>
      <c r="I87" s="229"/>
      <c r="J87" s="234">
        <f>J86*1.3</f>
        <v>3.84644776119403</v>
      </c>
      <c r="K87" s="234"/>
      <c r="L87" s="230"/>
      <c r="M87" s="230"/>
    </row>
    <row r="88" spans="2:20" ht="17.25" thickBot="1">
      <c r="I88" s="229"/>
      <c r="J88" s="235">
        <f>ROUNDUP(J87,0)</f>
        <v>4</v>
      </c>
      <c r="K88" s="234"/>
      <c r="L88" s="230">
        <f>J88+J100+J109</f>
        <v>37</v>
      </c>
      <c r="M88" s="230"/>
    </row>
    <row r="89" spans="2:20" ht="21" thickBot="1">
      <c r="B89" s="219" t="s">
        <v>214</v>
      </c>
      <c r="G89" s="55"/>
      <c r="I89" s="229"/>
      <c r="J89" s="230"/>
      <c r="K89" s="230"/>
      <c r="L89" s="230"/>
      <c r="M89" s="230"/>
      <c r="O89" t="s">
        <v>220</v>
      </c>
    </row>
    <row r="90" spans="2:20" ht="21" thickBot="1">
      <c r="B90" s="206" t="s">
        <v>204</v>
      </c>
      <c r="C90" s="207" t="s">
        <v>205</v>
      </c>
      <c r="D90" s="208" t="s">
        <v>200</v>
      </c>
      <c r="E90" s="208" t="s">
        <v>201</v>
      </c>
      <c r="F90" s="213" t="s">
        <v>202</v>
      </c>
      <c r="G90" s="216" t="s">
        <v>170</v>
      </c>
      <c r="I90" s="229"/>
      <c r="J90" s="230"/>
      <c r="K90" s="230"/>
      <c r="L90" s="230"/>
      <c r="M90" s="230"/>
      <c r="O90" s="206" t="s">
        <v>204</v>
      </c>
      <c r="P90" s="207" t="s">
        <v>205</v>
      </c>
      <c r="Q90" s="208" t="s">
        <v>200</v>
      </c>
      <c r="R90" s="208" t="s">
        <v>201</v>
      </c>
      <c r="S90" s="213" t="s">
        <v>202</v>
      </c>
      <c r="T90" s="216" t="s">
        <v>170</v>
      </c>
    </row>
    <row r="91" spans="2:20" ht="20.25">
      <c r="B91" s="204" t="s">
        <v>206</v>
      </c>
      <c r="C91" s="252">
        <v>485.8</v>
      </c>
      <c r="D91" s="253">
        <v>153.4</v>
      </c>
      <c r="E91" s="253"/>
      <c r="F91" s="254"/>
      <c r="G91" s="255">
        <f>SUM(C91:F91)</f>
        <v>639.20000000000005</v>
      </c>
      <c r="I91" s="229">
        <f>C91+D91</f>
        <v>639.20000000000005</v>
      </c>
      <c r="J91" s="230"/>
      <c r="K91" s="230"/>
      <c r="L91" s="230"/>
      <c r="M91" s="230"/>
      <c r="O91" s="204" t="s">
        <v>206</v>
      </c>
      <c r="P91" s="209">
        <f>C82+C91+C103</f>
        <v>1296.3800000000001</v>
      </c>
      <c r="Q91" s="210">
        <f>D82+D91+D103</f>
        <v>428.1</v>
      </c>
      <c r="R91" s="210"/>
      <c r="S91" s="214"/>
      <c r="T91" s="217">
        <f>SUM(P91:S91)</f>
        <v>1724.48</v>
      </c>
    </row>
    <row r="92" spans="2:20" ht="20.25">
      <c r="B92" s="220" t="s">
        <v>207</v>
      </c>
      <c r="C92" s="256">
        <v>485.8</v>
      </c>
      <c r="D92" s="257">
        <v>153.4</v>
      </c>
      <c r="E92" s="257"/>
      <c r="F92" s="258"/>
      <c r="G92" s="259">
        <f>SUM(C92:F92)</f>
        <v>639.20000000000005</v>
      </c>
      <c r="I92" s="229">
        <f t="shared" ref="I92:I93" si="39">C92+D92</f>
        <v>639.20000000000005</v>
      </c>
      <c r="J92" s="230"/>
      <c r="K92" s="230"/>
      <c r="L92" s="230"/>
      <c r="M92" s="230"/>
      <c r="O92" s="220" t="s">
        <v>207</v>
      </c>
      <c r="P92" s="221">
        <f>C83+C92+C104</f>
        <v>1130.06</v>
      </c>
      <c r="Q92" s="222">
        <f>D83+D92+D104</f>
        <v>428.1</v>
      </c>
      <c r="R92" s="222"/>
      <c r="S92" s="223"/>
      <c r="T92" s="224">
        <f>SUM(P92:S92)</f>
        <v>1558.1599999999999</v>
      </c>
    </row>
    <row r="93" spans="2:20" ht="20.25">
      <c r="B93" s="220" t="s">
        <v>210</v>
      </c>
      <c r="C93" s="256">
        <v>349.8</v>
      </c>
      <c r="D93" s="257">
        <v>153.4</v>
      </c>
      <c r="E93" s="257"/>
      <c r="F93" s="258"/>
      <c r="G93" s="259">
        <f t="shared" ref="G93" si="40">SUM(C93:F93)</f>
        <v>503.20000000000005</v>
      </c>
      <c r="I93" s="229">
        <f t="shared" si="39"/>
        <v>503.20000000000005</v>
      </c>
      <c r="J93" s="230"/>
      <c r="K93" s="230"/>
      <c r="L93" s="230"/>
      <c r="M93" s="230"/>
      <c r="O93" s="220" t="s">
        <v>210</v>
      </c>
      <c r="P93" s="221">
        <f t="shared" ref="P93:Q95" si="41">C93</f>
        <v>349.8</v>
      </c>
      <c r="Q93" s="222">
        <f t="shared" si="41"/>
        <v>153.4</v>
      </c>
      <c r="R93" s="222"/>
      <c r="S93" s="223"/>
      <c r="T93" s="224">
        <f t="shared" ref="T93:T95" si="42">SUM(P93:S93)</f>
        <v>503.20000000000005</v>
      </c>
    </row>
    <row r="94" spans="2:20" ht="20.25">
      <c r="B94" s="220"/>
      <c r="C94" s="256"/>
      <c r="D94" s="257"/>
      <c r="E94" s="257"/>
      <c r="F94" s="258"/>
      <c r="G94" s="259"/>
      <c r="I94" s="229"/>
      <c r="J94" s="230"/>
      <c r="K94" s="230"/>
      <c r="L94" s="230"/>
      <c r="M94" s="230"/>
      <c r="O94" s="220" t="s">
        <v>211</v>
      </c>
      <c r="P94" s="221">
        <f t="shared" si="41"/>
        <v>0</v>
      </c>
      <c r="Q94" s="222">
        <f t="shared" si="41"/>
        <v>0</v>
      </c>
      <c r="R94" s="222"/>
      <c r="S94" s="223"/>
      <c r="T94" s="224">
        <f t="shared" si="42"/>
        <v>0</v>
      </c>
    </row>
    <row r="95" spans="2:20" ht="21" thickBot="1">
      <c r="B95" s="220"/>
      <c r="C95" s="256"/>
      <c r="D95" s="257"/>
      <c r="E95" s="257"/>
      <c r="F95" s="258"/>
      <c r="G95" s="259"/>
      <c r="I95" s="229"/>
      <c r="J95" s="230">
        <f>I91+I92+I93+I94+I95</f>
        <v>1781.6000000000001</v>
      </c>
      <c r="K95" s="230"/>
      <c r="L95" s="232">
        <f>'2획지'!R22</f>
        <v>3389.36</v>
      </c>
      <c r="M95" s="230">
        <f>G84+G96+G105</f>
        <v>3785.84</v>
      </c>
      <c r="O95" s="220" t="s">
        <v>212</v>
      </c>
      <c r="P95" s="221">
        <f t="shared" si="41"/>
        <v>0</v>
      </c>
      <c r="Q95" s="222">
        <f t="shared" si="41"/>
        <v>0</v>
      </c>
      <c r="R95" s="222"/>
      <c r="S95" s="223"/>
      <c r="T95" s="224">
        <f t="shared" si="42"/>
        <v>0</v>
      </c>
    </row>
    <row r="96" spans="2:20" ht="21" thickBot="1">
      <c r="B96" s="205" t="s">
        <v>208</v>
      </c>
      <c r="C96" s="260">
        <f>ROUNDDOWN(SUM(C91:C95),4)</f>
        <v>1321.4</v>
      </c>
      <c r="D96" s="261">
        <f>ROUNDUP(SUM(D91:D95),4)</f>
        <v>460.2</v>
      </c>
      <c r="E96" s="261"/>
      <c r="F96" s="262"/>
      <c r="G96" s="263">
        <f>SUM(C96:E96)</f>
        <v>1781.6000000000001</v>
      </c>
      <c r="H96" s="236"/>
      <c r="I96" s="229"/>
      <c r="J96" s="230"/>
      <c r="K96" s="230"/>
      <c r="L96" s="230">
        <f>J95+J104</f>
        <v>3389.36</v>
      </c>
      <c r="M96" s="230">
        <f>L96-L95</f>
        <v>0</v>
      </c>
      <c r="O96" s="205" t="s">
        <v>208</v>
      </c>
      <c r="P96" s="211">
        <f>SUM(P91:P95)</f>
        <v>2776.2400000000002</v>
      </c>
      <c r="Q96" s="212">
        <f>SUM(Q91:Q95)</f>
        <v>1009.6</v>
      </c>
      <c r="R96" s="212"/>
      <c r="S96" s="215"/>
      <c r="T96" s="218">
        <f>SUM(P96:R96)</f>
        <v>3785.84</v>
      </c>
    </row>
    <row r="97" spans="2:20" ht="21" thickBot="1">
      <c r="B97" s="205" t="s">
        <v>203</v>
      </c>
      <c r="C97" s="260"/>
      <c r="D97" s="261"/>
      <c r="E97" s="261">
        <f>C96*0.08</f>
        <v>105.712</v>
      </c>
      <c r="F97" s="262">
        <f>J100*42.9</f>
        <v>729.3</v>
      </c>
      <c r="G97" s="263">
        <f t="shared" ref="G97" si="43">SUM(C97:F97)</f>
        <v>835.01199999999994</v>
      </c>
      <c r="I97" s="229"/>
      <c r="J97" s="229" t="s">
        <v>219</v>
      </c>
      <c r="K97" s="230"/>
      <c r="L97" s="230"/>
      <c r="M97" s="230">
        <f>M96/7</f>
        <v>0</v>
      </c>
      <c r="O97" s="205" t="s">
        <v>203</v>
      </c>
      <c r="P97" s="226"/>
      <c r="Q97" s="227"/>
      <c r="R97" s="212">
        <f>P96*0.06</f>
        <v>166.5744</v>
      </c>
      <c r="S97" s="215">
        <f>F86+F98+F107</f>
        <v>1587.3</v>
      </c>
      <c r="T97" s="228">
        <f>R97+S97</f>
        <v>1753.8743999999999</v>
      </c>
    </row>
    <row r="98" spans="2:20" ht="21" thickBot="1">
      <c r="B98" s="225" t="s">
        <v>209</v>
      </c>
      <c r="C98" s="264"/>
      <c r="D98" s="265"/>
      <c r="E98" s="265">
        <f>E97</f>
        <v>105.712</v>
      </c>
      <c r="F98" s="266">
        <f>F97</f>
        <v>729.3</v>
      </c>
      <c r="G98" s="267">
        <f>G97</f>
        <v>835.01199999999994</v>
      </c>
      <c r="I98" s="229"/>
      <c r="J98" s="229">
        <f>J95/134</f>
        <v>13.295522388059702</v>
      </c>
      <c r="K98" s="230"/>
      <c r="L98" s="230"/>
      <c r="M98" s="230"/>
      <c r="O98" s="225" t="s">
        <v>209</v>
      </c>
      <c r="P98" s="211"/>
      <c r="Q98" s="212">
        <f>Q95+Q97</f>
        <v>0</v>
      </c>
      <c r="R98" s="212">
        <f>R97</f>
        <v>166.5744</v>
      </c>
      <c r="S98" s="215">
        <f>S97</f>
        <v>1587.3</v>
      </c>
      <c r="T98" s="218">
        <f>T97</f>
        <v>1753.8743999999999</v>
      </c>
    </row>
    <row r="99" spans="2:20" ht="21" thickBot="1">
      <c r="B99" s="205" t="s">
        <v>170</v>
      </c>
      <c r="C99" s="260">
        <f>C96+C98</f>
        <v>1321.4</v>
      </c>
      <c r="D99" s="261">
        <f>D96+D98</f>
        <v>460.2</v>
      </c>
      <c r="E99" s="261">
        <f>E98</f>
        <v>105.712</v>
      </c>
      <c r="F99" s="262">
        <f>F98</f>
        <v>729.3</v>
      </c>
      <c r="G99" s="263">
        <f>G96+G98</f>
        <v>2616.6120000000001</v>
      </c>
      <c r="H99" s="236">
        <f>C99+D99+E99+F99</f>
        <v>2616.6120000000001</v>
      </c>
      <c r="I99" s="229"/>
      <c r="J99" s="234">
        <v>17</v>
      </c>
      <c r="K99" s="234"/>
      <c r="L99" s="230"/>
      <c r="M99" s="230"/>
      <c r="O99" s="205" t="s">
        <v>170</v>
      </c>
      <c r="P99" s="211">
        <f>P96</f>
        <v>2776.2400000000002</v>
      </c>
      <c r="Q99" s="212">
        <f>SUM(Q91:Q98)</f>
        <v>2019.2</v>
      </c>
      <c r="R99" s="212">
        <f t="shared" ref="R99" si="44">SUM(R91:R98)</f>
        <v>333.14879999999999</v>
      </c>
      <c r="S99" s="215">
        <f t="shared" ref="S99" si="45">SUM(S91:S98)</f>
        <v>3174.6</v>
      </c>
      <c r="T99" s="218">
        <f>T96+T98</f>
        <v>5539.7143999999998</v>
      </c>
    </row>
    <row r="100" spans="2:20" ht="17.25" thickBot="1">
      <c r="I100" s="229"/>
      <c r="J100" s="235">
        <f>ROUNDUP(J99,0)</f>
        <v>17</v>
      </c>
      <c r="K100" s="234"/>
      <c r="L100" s="230"/>
      <c r="M100" s="230"/>
    </row>
    <row r="101" spans="2:20" ht="21" thickBot="1">
      <c r="B101" s="219" t="s">
        <v>215</v>
      </c>
      <c r="G101" s="55"/>
      <c r="I101" s="229"/>
      <c r="J101" s="230"/>
      <c r="K101" s="230"/>
      <c r="L101" s="230"/>
      <c r="M101" s="230"/>
    </row>
    <row r="102" spans="2:20" ht="21" thickBot="1">
      <c r="B102" s="206" t="s">
        <v>204</v>
      </c>
      <c r="C102" s="207" t="s">
        <v>205</v>
      </c>
      <c r="D102" s="208" t="s">
        <v>200</v>
      </c>
      <c r="E102" s="208" t="s">
        <v>201</v>
      </c>
      <c r="F102" s="213" t="s">
        <v>202</v>
      </c>
      <c r="G102" s="216" t="s">
        <v>170</v>
      </c>
      <c r="I102" s="229"/>
      <c r="J102" s="230"/>
      <c r="K102" s="230"/>
      <c r="L102" s="230"/>
      <c r="M102" s="230"/>
    </row>
    <row r="103" spans="2:20" ht="20.25">
      <c r="B103" s="204" t="s">
        <v>206</v>
      </c>
      <c r="C103" s="252">
        <v>659.92</v>
      </c>
      <c r="D103" s="253">
        <v>227.12</v>
      </c>
      <c r="E103" s="253"/>
      <c r="F103" s="254"/>
      <c r="G103" s="255">
        <f>SUM(C103:F103)</f>
        <v>887.04</v>
      </c>
      <c r="I103" s="229">
        <f>C103+D103</f>
        <v>887.04</v>
      </c>
      <c r="J103" s="230"/>
      <c r="K103" s="230"/>
      <c r="L103" s="230"/>
      <c r="M103" s="230"/>
    </row>
    <row r="104" spans="2:20" ht="21" thickBot="1">
      <c r="B104" s="270" t="s">
        <v>226</v>
      </c>
      <c r="C104" s="241">
        <v>493.6</v>
      </c>
      <c r="D104" s="242">
        <v>227.12</v>
      </c>
      <c r="E104" s="242"/>
      <c r="F104" s="243"/>
      <c r="G104" s="259">
        <f>SUM(C104:F104)</f>
        <v>720.72</v>
      </c>
      <c r="I104" s="229">
        <f>C104+D104</f>
        <v>720.72</v>
      </c>
      <c r="J104" s="230">
        <f>I103+I104</f>
        <v>1607.76</v>
      </c>
      <c r="K104" s="230"/>
      <c r="L104" s="230">
        <f>J104+J95+J83</f>
        <v>3785.84</v>
      </c>
      <c r="M104" s="230"/>
    </row>
    <row r="105" spans="2:20" ht="21" thickBot="1">
      <c r="B105" s="205" t="s">
        <v>208</v>
      </c>
      <c r="C105" s="260">
        <f>C103+C104</f>
        <v>1153.52</v>
      </c>
      <c r="D105" s="261">
        <f>D103+D104</f>
        <v>454.24</v>
      </c>
      <c r="E105" s="261"/>
      <c r="F105" s="262"/>
      <c r="G105" s="263">
        <f>G103+G104</f>
        <v>1607.76</v>
      </c>
      <c r="I105" s="229"/>
      <c r="J105" s="230"/>
      <c r="K105" s="230"/>
      <c r="L105">
        <f>L104/134</f>
        <v>28.252537313432835</v>
      </c>
      <c r="M105" s="230"/>
    </row>
    <row r="106" spans="2:20" ht="21" thickBot="1">
      <c r="B106" s="205" t="s">
        <v>203</v>
      </c>
      <c r="C106" s="260"/>
      <c r="D106" s="261"/>
      <c r="E106" s="261">
        <f>C105*0.08</f>
        <v>92.281599999999997</v>
      </c>
      <c r="F106" s="262">
        <f>J109*42.9</f>
        <v>686.4</v>
      </c>
      <c r="G106" s="263">
        <f t="shared" ref="G106" si="46">SUM(C106:F106)</f>
        <v>778.6816</v>
      </c>
      <c r="I106" s="13"/>
      <c r="J106" s="229" t="s">
        <v>219</v>
      </c>
    </row>
    <row r="107" spans="2:20" ht="21" thickBot="1">
      <c r="B107" s="225" t="s">
        <v>209</v>
      </c>
      <c r="C107" s="264"/>
      <c r="D107" s="265"/>
      <c r="E107" s="265">
        <f>E106</f>
        <v>92.281599999999997</v>
      </c>
      <c r="F107" s="266">
        <f>F106</f>
        <v>686.4</v>
      </c>
      <c r="G107" s="267">
        <f>G106</f>
        <v>778.6816</v>
      </c>
      <c r="I107" s="13"/>
      <c r="J107" s="229">
        <f>J104/134</f>
        <v>11.99820895522388</v>
      </c>
    </row>
    <row r="108" spans="2:20" ht="21" thickBot="1">
      <c r="B108" s="205" t="s">
        <v>170</v>
      </c>
      <c r="C108" s="260">
        <f>C105+C107</f>
        <v>1153.52</v>
      </c>
      <c r="D108" s="261">
        <f>D105+D107</f>
        <v>454.24</v>
      </c>
      <c r="E108" s="261">
        <f>E107</f>
        <v>92.281599999999997</v>
      </c>
      <c r="F108" s="262">
        <f>F107</f>
        <v>686.4</v>
      </c>
      <c r="G108" s="263">
        <f>G105+G107</f>
        <v>2386.4416000000001</v>
      </c>
      <c r="H108" s="236">
        <f>C108+D108+E108+F108</f>
        <v>2386.4416000000001</v>
      </c>
      <c r="I108" s="13"/>
      <c r="J108" s="234">
        <v>16</v>
      </c>
      <c r="K108" s="234"/>
    </row>
    <row r="109" spans="2:20" ht="17.25" thickBot="1">
      <c r="I109" s="13"/>
      <c r="J109" s="235">
        <f>ROUNDUP(J108,0)</f>
        <v>16</v>
      </c>
      <c r="K109" s="234"/>
    </row>
    <row r="110" spans="2:20">
      <c r="B110" s="1" t="s">
        <v>217</v>
      </c>
    </row>
    <row r="112" spans="2:20">
      <c r="C112" s="268"/>
    </row>
    <row r="115" spans="2:6">
      <c r="C115" s="13">
        <v>2776.24</v>
      </c>
    </row>
    <row r="116" spans="2:6">
      <c r="C116" s="268">
        <f>C96+C105+C84</f>
        <v>2776.2400000000002</v>
      </c>
    </row>
    <row r="118" spans="2:6">
      <c r="C118" s="268">
        <f>C115-C116</f>
        <v>0</v>
      </c>
    </row>
    <row r="121" spans="2:6">
      <c r="C121" s="13" t="s">
        <v>227</v>
      </c>
      <c r="D121" s="13" t="s">
        <v>228</v>
      </c>
      <c r="E121" t="s">
        <v>229</v>
      </c>
    </row>
    <row r="122" spans="2:6">
      <c r="B122" s="88" t="s">
        <v>101</v>
      </c>
      <c r="C122" s="139">
        <f>C54</f>
        <v>805</v>
      </c>
      <c r="E122" s="273">
        <f>C122-D122</f>
        <v>805</v>
      </c>
      <c r="F122" s="274">
        <f>L54</f>
        <v>24.613094</v>
      </c>
    </row>
    <row r="123" spans="2:6">
      <c r="B123" s="88" t="s">
        <v>100</v>
      </c>
      <c r="C123" s="139">
        <f>C55</f>
        <v>167</v>
      </c>
      <c r="E123" s="273">
        <f t="shared" ref="E123:E129" si="47">C123-D123</f>
        <v>167</v>
      </c>
      <c r="F123" s="274">
        <f>L55</f>
        <v>30.433193999999997</v>
      </c>
    </row>
    <row r="124" spans="2:6">
      <c r="B124" s="93" t="s">
        <v>113</v>
      </c>
      <c r="C124" s="139">
        <f t="shared" ref="C124:C129" si="48">C58</f>
        <v>1107</v>
      </c>
      <c r="D124" s="13">
        <v>672</v>
      </c>
      <c r="E124" s="273">
        <f t="shared" si="47"/>
        <v>435</v>
      </c>
      <c r="F124" s="274">
        <f>L58</f>
        <v>34.383722999999996</v>
      </c>
    </row>
    <row r="125" spans="2:6">
      <c r="B125" s="126" t="s">
        <v>118</v>
      </c>
      <c r="C125" s="139">
        <f t="shared" si="48"/>
        <v>497</v>
      </c>
      <c r="D125" s="13">
        <v>490</v>
      </c>
      <c r="E125" s="273">
        <f t="shared" si="47"/>
        <v>7</v>
      </c>
      <c r="F125" s="274">
        <f>L59</f>
        <v>40.480912999999994</v>
      </c>
    </row>
    <row r="126" spans="2:6">
      <c r="B126" s="88" t="s">
        <v>133</v>
      </c>
      <c r="C126" s="139">
        <f t="shared" si="48"/>
        <v>580</v>
      </c>
      <c r="D126" s="13">
        <v>564</v>
      </c>
      <c r="E126" s="273">
        <f t="shared" si="47"/>
        <v>16</v>
      </c>
      <c r="F126" s="274">
        <f>L60</f>
        <v>45.860814999999995</v>
      </c>
    </row>
    <row r="127" spans="2:6">
      <c r="B127" s="88" t="s">
        <v>105</v>
      </c>
      <c r="C127" s="139">
        <f t="shared" si="48"/>
        <v>272</v>
      </c>
      <c r="D127" s="13">
        <v>282</v>
      </c>
      <c r="E127" s="273">
        <f t="shared" si="47"/>
        <v>-10</v>
      </c>
      <c r="F127" s="274">
        <f>L61</f>
        <v>52.873369999999994</v>
      </c>
    </row>
    <row r="128" spans="2:6">
      <c r="B128" s="93" t="s">
        <v>114</v>
      </c>
      <c r="C128" s="139">
        <f t="shared" si="48"/>
        <v>140</v>
      </c>
      <c r="D128" s="13">
        <v>152</v>
      </c>
      <c r="E128" s="273">
        <f t="shared" si="47"/>
        <v>-12</v>
      </c>
      <c r="F128" s="274">
        <f t="shared" ref="F128:F129" si="49">L62</f>
        <v>65.289180000000002</v>
      </c>
    </row>
    <row r="129" spans="2:6">
      <c r="B129" s="93" t="s">
        <v>238</v>
      </c>
      <c r="C129" s="139">
        <f t="shared" si="48"/>
        <v>4</v>
      </c>
      <c r="D129" s="13">
        <v>0</v>
      </c>
      <c r="E129" s="273">
        <f t="shared" si="47"/>
        <v>4</v>
      </c>
      <c r="F129" s="274">
        <f t="shared" si="49"/>
        <v>77.684419999999989</v>
      </c>
    </row>
    <row r="130" spans="2:6">
      <c r="B130" s="32" t="s">
        <v>68</v>
      </c>
      <c r="C130" s="139">
        <f>SUM(C122:C129)</f>
        <v>3572</v>
      </c>
      <c r="D130" s="13">
        <f>SUM(D124:D129)</f>
        <v>2160</v>
      </c>
      <c r="E130" s="273">
        <f>SUM(E122:E129)</f>
        <v>1412</v>
      </c>
    </row>
  </sheetData>
  <mergeCells count="200">
    <mergeCell ref="V13:W13"/>
    <mergeCell ref="X13:Y13"/>
    <mergeCell ref="B7:D7"/>
    <mergeCell ref="E7:H7"/>
    <mergeCell ref="I7:J7"/>
    <mergeCell ref="L7:M7"/>
    <mergeCell ref="N7:P7"/>
    <mergeCell ref="B8:D8"/>
    <mergeCell ref="E8:H8"/>
    <mergeCell ref="I8:J8"/>
    <mergeCell ref="L8:M8"/>
    <mergeCell ref="N8:P8"/>
    <mergeCell ref="N9:P9"/>
    <mergeCell ref="B10:D10"/>
    <mergeCell ref="G10:H10"/>
    <mergeCell ref="I10:J10"/>
    <mergeCell ref="L10:M10"/>
    <mergeCell ref="N10:P10"/>
    <mergeCell ref="B5:D5"/>
    <mergeCell ref="E5:H5"/>
    <mergeCell ref="L5:M5"/>
    <mergeCell ref="N5:Q5"/>
    <mergeCell ref="B6:D6"/>
    <mergeCell ref="E6:H6"/>
    <mergeCell ref="I6:J6"/>
    <mergeCell ref="L6:M6"/>
    <mergeCell ref="N6:P6"/>
    <mergeCell ref="B14:D14"/>
    <mergeCell ref="I14:J14"/>
    <mergeCell ref="N14:P14"/>
    <mergeCell ref="B9:D9"/>
    <mergeCell ref="E9:H9"/>
    <mergeCell ref="I9:J9"/>
    <mergeCell ref="L9:M9"/>
    <mergeCell ref="B15:D15"/>
    <mergeCell ref="I15:J15"/>
    <mergeCell ref="N15:P15"/>
    <mergeCell ref="B11:B12"/>
    <mergeCell ref="G11:H12"/>
    <mergeCell ref="B13:D13"/>
    <mergeCell ref="G13:H13"/>
    <mergeCell ref="I13:J13"/>
    <mergeCell ref="N13:P13"/>
    <mergeCell ref="G18:H18"/>
    <mergeCell ref="I18:J18"/>
    <mergeCell ref="N18:P18"/>
    <mergeCell ref="B19:D19"/>
    <mergeCell ref="I19:J19"/>
    <mergeCell ref="N19:P19"/>
    <mergeCell ref="B20:D20"/>
    <mergeCell ref="I20:J20"/>
    <mergeCell ref="B16:B18"/>
    <mergeCell ref="C16:D16"/>
    <mergeCell ref="G16:H16"/>
    <mergeCell ref="I16:J16"/>
    <mergeCell ref="N16:P16"/>
    <mergeCell ref="C17:D17"/>
    <mergeCell ref="G17:H17"/>
    <mergeCell ref="I17:J17"/>
    <mergeCell ref="N17:P17"/>
    <mergeCell ref="C18:D18"/>
    <mergeCell ref="M20:M21"/>
    <mergeCell ref="L20:L21"/>
    <mergeCell ref="B24:B31"/>
    <mergeCell ref="C24:D26"/>
    <mergeCell ref="G24:H26"/>
    <mergeCell ref="L24:M24"/>
    <mergeCell ref="N24:P24"/>
    <mergeCell ref="N20:P20"/>
    <mergeCell ref="B21:D21"/>
    <mergeCell ref="I21:J21"/>
    <mergeCell ref="B22:D22"/>
    <mergeCell ref="I22:J22"/>
    <mergeCell ref="N22:P22"/>
    <mergeCell ref="I25:I26"/>
    <mergeCell ref="L25:M25"/>
    <mergeCell ref="N25:Q25"/>
    <mergeCell ref="L26:M26"/>
    <mergeCell ref="C27:D27"/>
    <mergeCell ref="E27:F27"/>
    <mergeCell ref="G27:H27"/>
    <mergeCell ref="L27:M27"/>
    <mergeCell ref="C23:D23"/>
    <mergeCell ref="E23:F23"/>
    <mergeCell ref="G23:H23"/>
    <mergeCell ref="N23:P23"/>
    <mergeCell ref="C30:D30"/>
    <mergeCell ref="L22:M23"/>
    <mergeCell ref="B32:D32"/>
    <mergeCell ref="E32:H32"/>
    <mergeCell ref="I32:J32"/>
    <mergeCell ref="L32:M32"/>
    <mergeCell ref="B33:D33"/>
    <mergeCell ref="E33:F33"/>
    <mergeCell ref="G33:H33"/>
    <mergeCell ref="I33:J33"/>
    <mergeCell ref="L33:M33"/>
    <mergeCell ref="E30:F30"/>
    <mergeCell ref="G30:H30"/>
    <mergeCell ref="L30:M30"/>
    <mergeCell ref="C31:D31"/>
    <mergeCell ref="E31:F31"/>
    <mergeCell ref="G31:H31"/>
    <mergeCell ref="L31:M31"/>
    <mergeCell ref="C28:D29"/>
    <mergeCell ref="E28:F28"/>
    <mergeCell ref="G28:H28"/>
    <mergeCell ref="L28:M28"/>
    <mergeCell ref="E29:F29"/>
    <mergeCell ref="G29:H29"/>
    <mergeCell ref="L29:M29"/>
    <mergeCell ref="B37:D38"/>
    <mergeCell ref="E37:J38"/>
    <mergeCell ref="L37:M38"/>
    <mergeCell ref="N37:Q38"/>
    <mergeCell ref="R37:R38"/>
    <mergeCell ref="S37:S38"/>
    <mergeCell ref="B35:D36"/>
    <mergeCell ref="E35:H35"/>
    <mergeCell ref="I35:J35"/>
    <mergeCell ref="L35:M35"/>
    <mergeCell ref="N36:Q36"/>
    <mergeCell ref="E36:H36"/>
    <mergeCell ref="I36:J36"/>
    <mergeCell ref="L36:M36"/>
    <mergeCell ref="C46:D46"/>
    <mergeCell ref="C50:D50"/>
    <mergeCell ref="J50:K50"/>
    <mergeCell ref="P57:Q57"/>
    <mergeCell ref="J58:K58"/>
    <mergeCell ref="P50:Q50"/>
    <mergeCell ref="J51:K51"/>
    <mergeCell ref="P51:Q51"/>
    <mergeCell ref="J52:K52"/>
    <mergeCell ref="J49:K49"/>
    <mergeCell ref="P49:Q49"/>
    <mergeCell ref="P47:Q47"/>
    <mergeCell ref="J57:K57"/>
    <mergeCell ref="C47:D47"/>
    <mergeCell ref="C48:D48"/>
    <mergeCell ref="C49:D49"/>
    <mergeCell ref="C54:D54"/>
    <mergeCell ref="C55:D55"/>
    <mergeCell ref="C58:D58"/>
    <mergeCell ref="M42:O42"/>
    <mergeCell ref="P42:Q43"/>
    <mergeCell ref="R42:R43"/>
    <mergeCell ref="S42:S43"/>
    <mergeCell ref="J44:K44"/>
    <mergeCell ref="P44:Q44"/>
    <mergeCell ref="B42:B43"/>
    <mergeCell ref="C42:D43"/>
    <mergeCell ref="E42:E43"/>
    <mergeCell ref="F42:F43"/>
    <mergeCell ref="G42:I42"/>
    <mergeCell ref="J42:K43"/>
    <mergeCell ref="C44:D44"/>
    <mergeCell ref="C65:D65"/>
    <mergeCell ref="J65:K65"/>
    <mergeCell ref="P65:Q65"/>
    <mergeCell ref="P58:Q58"/>
    <mergeCell ref="J60:K60"/>
    <mergeCell ref="P60:Q60"/>
    <mergeCell ref="J61:K61"/>
    <mergeCell ref="P61:Q61"/>
    <mergeCell ref="J63:K63"/>
    <mergeCell ref="P63:Q63"/>
    <mergeCell ref="J62:K62"/>
    <mergeCell ref="P62:Q62"/>
    <mergeCell ref="J59:K59"/>
    <mergeCell ref="P59:Q59"/>
    <mergeCell ref="C59:D59"/>
    <mergeCell ref="C60:D60"/>
    <mergeCell ref="C61:D61"/>
    <mergeCell ref="C63:D63"/>
    <mergeCell ref="C62:D62"/>
    <mergeCell ref="L34:M34"/>
    <mergeCell ref="N34:Q34"/>
    <mergeCell ref="C45:D45"/>
    <mergeCell ref="J45:K45"/>
    <mergeCell ref="P45:Q45"/>
    <mergeCell ref="J46:K46"/>
    <mergeCell ref="P46:Q46"/>
    <mergeCell ref="J66:L66"/>
    <mergeCell ref="J47:K47"/>
    <mergeCell ref="P52:Q52"/>
    <mergeCell ref="J53:K53"/>
    <mergeCell ref="P53:Q53"/>
    <mergeCell ref="J54:K54"/>
    <mergeCell ref="P54:Q54"/>
    <mergeCell ref="J55:K55"/>
    <mergeCell ref="P55:Q55"/>
    <mergeCell ref="J56:K56"/>
    <mergeCell ref="P56:Q56"/>
    <mergeCell ref="J48:K48"/>
    <mergeCell ref="P48:Q48"/>
    <mergeCell ref="C64:D64"/>
    <mergeCell ref="J64:K64"/>
    <mergeCell ref="P64:Q64"/>
    <mergeCell ref="E34:F34"/>
  </mergeCells>
  <phoneticPr fontId="1" type="noConversion"/>
  <pageMargins left="0.70866141732283472" right="0.70866141732283472" top="0.74803149606299213" bottom="0.74803149606299213" header="0.31496062992125984" footer="0.31496062992125984"/>
  <pageSetup paperSize="8" scale="5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9DC4B-CA37-4139-9DD8-1F57CDDF9B3B}">
  <sheetPr>
    <tabColor theme="9" tint="-0.249977111117893"/>
    <pageSetUpPr fitToPage="1"/>
  </sheetPr>
  <dimension ref="A2:T91"/>
  <sheetViews>
    <sheetView showGridLines="0" view="pageBreakPreview" topLeftCell="B21" zoomScale="85" zoomScaleNormal="70" zoomScaleSheetLayoutView="85" workbookViewId="0">
      <selection activeCell="C55" sqref="C55:D55"/>
    </sheetView>
  </sheetViews>
  <sheetFormatPr defaultRowHeight="16.5"/>
  <cols>
    <col min="1" max="1" width="11.375" style="13" bestFit="1" customWidth="1"/>
    <col min="2" max="2" width="12.625" style="13" customWidth="1"/>
    <col min="3" max="3" width="14.625" style="13" customWidth="1"/>
    <col min="4" max="4" width="10.5" style="13" customWidth="1"/>
    <col min="5" max="5" width="18.625" customWidth="1"/>
    <col min="6" max="6" width="13.75" customWidth="1"/>
    <col min="7" max="9" width="12.625" customWidth="1"/>
    <col min="10" max="10" width="14.125" customWidth="1"/>
    <col min="11" max="11" width="6.25" customWidth="1"/>
    <col min="12" max="12" width="18.625" customWidth="1"/>
    <col min="13" max="13" width="15.25" customWidth="1"/>
    <col min="14" max="15" width="12.625" customWidth="1"/>
    <col min="16" max="16" width="18.375" customWidth="1"/>
    <col min="17" max="17" width="17.875" style="13" customWidth="1"/>
    <col min="18" max="18" width="15.75" style="13" customWidth="1"/>
    <col min="19" max="19" width="15.625" style="13" customWidth="1"/>
    <col min="20" max="20" width="11" bestFit="1" customWidth="1"/>
  </cols>
  <sheetData>
    <row r="2" spans="1:20" ht="45.75" customHeight="1">
      <c r="B2" s="138" t="s">
        <v>146</v>
      </c>
    </row>
    <row r="3" spans="1:20" ht="30" customHeight="1">
      <c r="B3" s="3" t="s">
        <v>115</v>
      </c>
      <c r="C3" s="1"/>
      <c r="D3" s="1"/>
      <c r="L3" s="3" t="s">
        <v>1</v>
      </c>
    </row>
    <row r="4" spans="1:20" ht="5.25" customHeight="1" thickBot="1"/>
    <row r="5" spans="1:20" ht="39.950000000000003" customHeight="1" thickBot="1">
      <c r="B5" s="443" t="s">
        <v>69</v>
      </c>
      <c r="C5" s="443"/>
      <c r="D5" s="444"/>
      <c r="E5" s="445" t="s">
        <v>128</v>
      </c>
      <c r="F5" s="443"/>
      <c r="G5" s="443"/>
      <c r="H5" s="443"/>
      <c r="I5" s="33"/>
      <c r="J5" s="33"/>
      <c r="K5" s="35"/>
      <c r="L5" s="444" t="s">
        <v>2</v>
      </c>
      <c r="M5" s="446"/>
      <c r="N5" s="446" t="s">
        <v>3</v>
      </c>
      <c r="O5" s="446"/>
      <c r="P5" s="446"/>
      <c r="Q5" s="446"/>
      <c r="R5" s="48" t="s">
        <v>4</v>
      </c>
      <c r="S5" s="34" t="s">
        <v>5</v>
      </c>
    </row>
    <row r="6" spans="1:20" ht="20.100000000000001" customHeight="1">
      <c r="B6" s="447" t="s">
        <v>70</v>
      </c>
      <c r="C6" s="447"/>
      <c r="D6" s="448"/>
      <c r="E6" s="449" t="s">
        <v>108</v>
      </c>
      <c r="F6" s="450"/>
      <c r="G6" s="450"/>
      <c r="H6" s="451"/>
      <c r="I6" s="452"/>
      <c r="J6" s="453"/>
      <c r="L6" s="447" t="s">
        <v>6</v>
      </c>
      <c r="M6" s="448"/>
      <c r="N6" s="454" t="s">
        <v>71</v>
      </c>
      <c r="O6" s="455"/>
      <c r="P6" s="456"/>
      <c r="Q6" s="5" t="s">
        <v>72</v>
      </c>
      <c r="R6" s="5" t="s">
        <v>112</v>
      </c>
      <c r="S6" s="47"/>
    </row>
    <row r="7" spans="1:20" ht="20.100000000000001" customHeight="1">
      <c r="B7" s="276" t="s">
        <v>73</v>
      </c>
      <c r="C7" s="276"/>
      <c r="D7" s="277"/>
      <c r="E7" s="457" t="s">
        <v>109</v>
      </c>
      <c r="F7" s="433"/>
      <c r="G7" s="433"/>
      <c r="H7" s="434"/>
      <c r="I7" s="383"/>
      <c r="J7" s="384"/>
      <c r="L7" s="276" t="s">
        <v>7</v>
      </c>
      <c r="M7" s="277"/>
      <c r="N7" s="278" t="s">
        <v>8</v>
      </c>
      <c r="O7" s="279"/>
      <c r="P7" s="280"/>
      <c r="Q7" s="46" t="s">
        <v>9</v>
      </c>
      <c r="R7" s="66" t="s">
        <v>74</v>
      </c>
      <c r="S7" s="43"/>
    </row>
    <row r="8" spans="1:20" ht="20.100000000000001" customHeight="1">
      <c r="B8" s="276" t="s">
        <v>75</v>
      </c>
      <c r="C8" s="276"/>
      <c r="D8" s="277"/>
      <c r="E8" s="392" t="s">
        <v>76</v>
      </c>
      <c r="F8" s="393"/>
      <c r="G8" s="393"/>
      <c r="H8" s="458"/>
      <c r="I8" s="383"/>
      <c r="J8" s="384"/>
      <c r="L8" s="276" t="s">
        <v>10</v>
      </c>
      <c r="M8" s="277"/>
      <c r="N8" s="278" t="s">
        <v>124</v>
      </c>
      <c r="O8" s="279"/>
      <c r="P8" s="280"/>
      <c r="Q8" s="6">
        <f>10+(C65-50)*0.05</f>
        <v>48.45</v>
      </c>
      <c r="R8" s="63">
        <v>261.58</v>
      </c>
      <c r="S8" s="47"/>
    </row>
    <row r="9" spans="1:20" ht="20.100000000000001" customHeight="1">
      <c r="B9" s="276" t="s">
        <v>78</v>
      </c>
      <c r="C9" s="276"/>
      <c r="D9" s="277"/>
      <c r="E9" s="432" t="s">
        <v>110</v>
      </c>
      <c r="F9" s="433"/>
      <c r="G9" s="433"/>
      <c r="H9" s="434"/>
      <c r="I9" s="383"/>
      <c r="J9" s="384"/>
      <c r="L9" s="276"/>
      <c r="M9" s="277"/>
      <c r="N9" s="278"/>
      <c r="O9" s="279"/>
      <c r="P9" s="280"/>
      <c r="Q9" s="8"/>
      <c r="R9" s="61"/>
      <c r="S9" s="47"/>
    </row>
    <row r="10" spans="1:20" ht="20.100000000000001" customHeight="1">
      <c r="B10" s="276" t="s">
        <v>11</v>
      </c>
      <c r="C10" s="276"/>
      <c r="D10" s="277"/>
      <c r="E10" s="58"/>
      <c r="F10" s="24"/>
      <c r="G10" s="439"/>
      <c r="H10" s="440"/>
      <c r="I10" s="459"/>
      <c r="J10" s="460"/>
      <c r="L10" s="276" t="s">
        <v>12</v>
      </c>
      <c r="M10" s="277"/>
      <c r="N10" s="278" t="s">
        <v>130</v>
      </c>
      <c r="O10" s="279"/>
      <c r="P10" s="280"/>
      <c r="Q10" s="54">
        <f>(C65*2.5)*1.25</f>
        <v>2559.375</v>
      </c>
      <c r="R10" s="61">
        <f>SUM(R13:R21)</f>
        <v>3717.9900000000002</v>
      </c>
      <c r="S10" s="47"/>
      <c r="T10">
        <f>R10/C65</f>
        <v>4.5396703296703302</v>
      </c>
    </row>
    <row r="11" spans="1:20" ht="20.100000000000001" customHeight="1">
      <c r="B11" s="358" t="s">
        <v>111</v>
      </c>
      <c r="C11" s="30" t="s">
        <v>137</v>
      </c>
      <c r="D11" s="30"/>
      <c r="E11" s="58"/>
      <c r="F11" s="24"/>
      <c r="G11" s="435"/>
      <c r="H11" s="436"/>
      <c r="I11" s="107"/>
      <c r="J11" s="108"/>
      <c r="L11" s="105"/>
      <c r="M11" s="106"/>
      <c r="N11" s="40"/>
      <c r="O11" s="41"/>
      <c r="P11" s="42"/>
      <c r="Q11" s="54"/>
      <c r="R11" s="61"/>
      <c r="S11" s="47"/>
      <c r="T11">
        <f>T10*0.3025</f>
        <v>1.3732502747252748</v>
      </c>
    </row>
    <row r="12" spans="1:20" ht="20.100000000000001" customHeight="1">
      <c r="B12" s="374"/>
      <c r="C12" s="30" t="s">
        <v>142</v>
      </c>
      <c r="D12" s="30"/>
      <c r="E12" s="58"/>
      <c r="F12" s="24"/>
      <c r="G12" s="437"/>
      <c r="H12" s="438"/>
      <c r="I12" s="107"/>
      <c r="J12" s="108"/>
      <c r="L12" s="105"/>
      <c r="M12" s="106"/>
      <c r="N12" s="40"/>
      <c r="O12" s="41"/>
      <c r="P12" s="42"/>
      <c r="Q12" s="54"/>
      <c r="R12" s="61"/>
      <c r="S12" s="47"/>
    </row>
    <row r="13" spans="1:20" ht="20.100000000000001" customHeight="1">
      <c r="B13" s="276" t="s">
        <v>144</v>
      </c>
      <c r="C13" s="276"/>
      <c r="D13" s="277"/>
      <c r="E13" s="109">
        <v>32320.6</v>
      </c>
      <c r="F13" s="24"/>
      <c r="G13" s="439">
        <f>E13*0.3025</f>
        <v>9776.9814999999999</v>
      </c>
      <c r="H13" s="440"/>
      <c r="I13" s="467"/>
      <c r="J13" s="468"/>
      <c r="L13" s="30">
        <v>1</v>
      </c>
      <c r="M13" s="31" t="s">
        <v>13</v>
      </c>
      <c r="N13" s="278" t="s">
        <v>138</v>
      </c>
      <c r="O13" s="279"/>
      <c r="P13" s="280"/>
      <c r="Q13" s="57">
        <v>330</v>
      </c>
      <c r="R13" s="62">
        <v>448.26</v>
      </c>
      <c r="S13" s="47"/>
      <c r="T13" s="131">
        <f>R13+R8+R15+R17+R18+R19+R20+R21+R24</f>
        <v>1538.7200000000003</v>
      </c>
    </row>
    <row r="14" spans="1:20" ht="20.100000000000001" customHeight="1">
      <c r="A14" s="13">
        <f>(299.99%-E20)*E13</f>
        <v>12.816740000025556</v>
      </c>
      <c r="B14" s="276" t="s">
        <v>79</v>
      </c>
      <c r="C14" s="276"/>
      <c r="D14" s="277"/>
      <c r="E14" s="59">
        <v>7180.0672000000004</v>
      </c>
      <c r="F14" s="9"/>
      <c r="G14" s="9"/>
      <c r="H14" s="10"/>
      <c r="I14" s="410"/>
      <c r="J14" s="422"/>
      <c r="L14" s="30">
        <v>2</v>
      </c>
      <c r="M14" s="31" t="s">
        <v>14</v>
      </c>
      <c r="N14" s="417" t="s">
        <v>131</v>
      </c>
      <c r="O14" s="418"/>
      <c r="P14" s="419"/>
      <c r="Q14" s="57">
        <f>200+C65*1</f>
        <v>1019</v>
      </c>
      <c r="R14" s="63">
        <v>1261.8499999999999</v>
      </c>
      <c r="S14" s="47"/>
      <c r="T14">
        <f>T13/C65</f>
        <v>1.8787789987789991</v>
      </c>
    </row>
    <row r="15" spans="1:20" ht="20.100000000000001" customHeight="1">
      <c r="B15" s="276" t="s">
        <v>15</v>
      </c>
      <c r="C15" s="276"/>
      <c r="D15" s="277"/>
      <c r="E15" s="19">
        <f>E14/E13</f>
        <v>0.22215142045630343</v>
      </c>
      <c r="F15" s="11"/>
      <c r="G15" s="11"/>
      <c r="H15" s="12"/>
      <c r="I15" s="423"/>
      <c r="J15" s="424"/>
      <c r="L15" s="30">
        <v>3</v>
      </c>
      <c r="M15" s="31" t="s">
        <v>16</v>
      </c>
      <c r="N15" s="278" t="s">
        <v>138</v>
      </c>
      <c r="O15" s="279"/>
      <c r="P15" s="280"/>
      <c r="Q15" s="57">
        <v>330</v>
      </c>
      <c r="R15" s="64">
        <v>378.12</v>
      </c>
      <c r="S15" s="43"/>
    </row>
    <row r="16" spans="1:20" ht="18.75" customHeight="1">
      <c r="B16" s="358" t="s">
        <v>17</v>
      </c>
      <c r="C16" s="395" t="s">
        <v>18</v>
      </c>
      <c r="D16" s="277"/>
      <c r="E16" s="59">
        <f>J65+R13+R8+R15+R17+R20+R24+R18+R22+R19</f>
        <v>96945.751199999984</v>
      </c>
      <c r="F16" s="9"/>
      <c r="G16" s="425">
        <f>E16*0.3025</f>
        <v>29326.089737999995</v>
      </c>
      <c r="H16" s="426"/>
      <c r="I16" s="410"/>
      <c r="J16" s="422"/>
      <c r="L16" s="30">
        <v>4</v>
      </c>
      <c r="M16" s="31" t="s">
        <v>19</v>
      </c>
      <c r="N16" s="461" t="s">
        <v>139</v>
      </c>
      <c r="O16" s="462"/>
      <c r="P16" s="463"/>
      <c r="Q16" s="57" t="s">
        <v>80</v>
      </c>
      <c r="R16" s="64">
        <v>1200</v>
      </c>
      <c r="S16" s="47"/>
    </row>
    <row r="17" spans="1:19" ht="20.100000000000001" customHeight="1">
      <c r="B17" s="407"/>
      <c r="C17" s="395" t="s">
        <v>20</v>
      </c>
      <c r="D17" s="277"/>
      <c r="E17" s="59">
        <f>R20+N65+P65+R23</f>
        <v>71080.155599999998</v>
      </c>
      <c r="F17" s="9"/>
      <c r="G17" s="425">
        <f>E17*0.3025</f>
        <v>21501.747068999997</v>
      </c>
      <c r="H17" s="426"/>
      <c r="I17" s="410"/>
      <c r="J17" s="422"/>
      <c r="L17" s="30">
        <v>5</v>
      </c>
      <c r="M17" s="31" t="s">
        <v>21</v>
      </c>
      <c r="N17" s="464" t="s">
        <v>140</v>
      </c>
      <c r="O17" s="465"/>
      <c r="P17" s="466"/>
      <c r="Q17" s="57">
        <v>158</v>
      </c>
      <c r="R17" s="64">
        <v>214.88</v>
      </c>
      <c r="S17" s="43"/>
    </row>
    <row r="18" spans="1:19" ht="20.100000000000001" customHeight="1">
      <c r="B18" s="407"/>
      <c r="C18" s="395" t="s">
        <v>22</v>
      </c>
      <c r="D18" s="277"/>
      <c r="E18" s="60">
        <f>E16+E17</f>
        <v>168025.9068</v>
      </c>
      <c r="F18" s="25"/>
      <c r="G18" s="420">
        <f>E18*0.3025</f>
        <v>50827.836807</v>
      </c>
      <c r="H18" s="421"/>
      <c r="I18" s="410"/>
      <c r="J18" s="422"/>
      <c r="L18" s="102">
        <v>6</v>
      </c>
      <c r="M18" s="103" t="s">
        <v>106</v>
      </c>
      <c r="N18" s="461" t="s">
        <v>141</v>
      </c>
      <c r="O18" s="462"/>
      <c r="P18" s="463"/>
      <c r="Q18" s="57">
        <v>66</v>
      </c>
      <c r="R18" s="64">
        <v>214.88</v>
      </c>
      <c r="S18" s="43"/>
    </row>
    <row r="19" spans="1:19" ht="20.100000000000001" customHeight="1">
      <c r="B19" s="276" t="s">
        <v>81</v>
      </c>
      <c r="C19" s="276"/>
      <c r="D19" s="277"/>
      <c r="E19" s="60">
        <f>E16</f>
        <v>96945.751199999984</v>
      </c>
      <c r="F19" s="25"/>
      <c r="G19" s="25"/>
      <c r="H19" s="26"/>
      <c r="I19" s="383"/>
      <c r="J19" s="384"/>
      <c r="L19" s="102">
        <v>7</v>
      </c>
      <c r="M19" s="103" t="s">
        <v>166</v>
      </c>
      <c r="N19" s="278"/>
      <c r="O19" s="279"/>
      <c r="P19" s="280"/>
      <c r="Q19" s="6" t="s">
        <v>127</v>
      </c>
      <c r="R19" s="64"/>
      <c r="S19" s="43"/>
    </row>
    <row r="20" spans="1:19" ht="20.100000000000001" customHeight="1">
      <c r="A20" s="192"/>
      <c r="B20" s="276" t="s">
        <v>83</v>
      </c>
      <c r="C20" s="276"/>
      <c r="D20" s="277"/>
      <c r="E20" s="22">
        <f>E19/E13</f>
        <v>2.9995034498121935</v>
      </c>
      <c r="F20" s="14"/>
      <c r="G20" s="14"/>
      <c r="H20" s="15"/>
      <c r="I20" s="423" t="s">
        <v>84</v>
      </c>
      <c r="J20" s="424"/>
      <c r="L20" s="430">
        <v>8</v>
      </c>
      <c r="M20" s="428" t="s">
        <v>165</v>
      </c>
      <c r="N20" s="278"/>
      <c r="O20" s="279"/>
      <c r="P20" s="280"/>
      <c r="Q20" s="36" t="s">
        <v>127</v>
      </c>
      <c r="R20" s="64"/>
      <c r="S20" s="43"/>
    </row>
    <row r="21" spans="1:19" ht="20.100000000000001" customHeight="1">
      <c r="B21" s="276" t="s">
        <v>85</v>
      </c>
      <c r="C21" s="276"/>
      <c r="D21" s="277"/>
      <c r="E21" s="16"/>
      <c r="F21" s="17"/>
      <c r="G21" s="17"/>
      <c r="H21" s="18"/>
      <c r="I21" s="383"/>
      <c r="J21" s="384"/>
      <c r="L21" s="431"/>
      <c r="M21" s="429"/>
      <c r="N21" s="417"/>
      <c r="O21" s="418"/>
      <c r="P21" s="419"/>
      <c r="Q21" s="7" t="s">
        <v>127</v>
      </c>
      <c r="R21" s="63"/>
      <c r="S21" s="43"/>
    </row>
    <row r="22" spans="1:19" ht="20.100000000000001" customHeight="1">
      <c r="B22" s="276" t="s">
        <v>86</v>
      </c>
      <c r="C22" s="276"/>
      <c r="D22" s="277"/>
      <c r="E22" s="116"/>
      <c r="F22" s="17"/>
      <c r="G22" s="17"/>
      <c r="H22" s="18"/>
      <c r="I22" s="383"/>
      <c r="J22" s="384"/>
      <c r="L22" s="357" t="s">
        <v>23</v>
      </c>
      <c r="M22" s="358"/>
      <c r="N22" s="412"/>
      <c r="O22" s="413"/>
      <c r="P22" s="414"/>
      <c r="Q22" s="132" t="s">
        <v>222</v>
      </c>
      <c r="R22" s="63">
        <f>'개요(전체)_발송'!G84</f>
        <v>396.48</v>
      </c>
      <c r="S22" s="47" t="s">
        <v>224</v>
      </c>
    </row>
    <row r="23" spans="1:19" ht="20.100000000000001" customHeight="1">
      <c r="B23" s="52"/>
      <c r="C23" s="395" t="s">
        <v>25</v>
      </c>
      <c r="D23" s="277"/>
      <c r="E23" s="416" t="s">
        <v>26</v>
      </c>
      <c r="F23" s="416"/>
      <c r="G23" s="416" t="s">
        <v>23</v>
      </c>
      <c r="H23" s="416"/>
      <c r="I23" s="44" t="s">
        <v>27</v>
      </c>
      <c r="J23" s="27" t="s">
        <v>28</v>
      </c>
      <c r="L23" s="373"/>
      <c r="M23" s="374"/>
      <c r="N23" s="417"/>
      <c r="O23" s="418"/>
      <c r="P23" s="419"/>
      <c r="Q23" s="7" t="s">
        <v>223</v>
      </c>
      <c r="R23" s="63">
        <f>'개요(전체)_발송'!G86</f>
        <v>195.7056</v>
      </c>
      <c r="S23" s="43" t="s">
        <v>225</v>
      </c>
    </row>
    <row r="24" spans="1:19" ht="20.100000000000001" customHeight="1">
      <c r="B24" s="357" t="s">
        <v>24</v>
      </c>
      <c r="C24" s="398" t="s">
        <v>32</v>
      </c>
      <c r="D24" s="358"/>
      <c r="E24" s="20" t="s">
        <v>88</v>
      </c>
      <c r="F24" s="37">
        <f>(C47+C54+C44)*0.8</f>
        <v>227.20000000000002</v>
      </c>
      <c r="G24" s="365" t="s">
        <v>90</v>
      </c>
      <c r="H24" s="367"/>
      <c r="I24" s="44"/>
      <c r="J24" s="43"/>
      <c r="L24" s="276" t="s">
        <v>67</v>
      </c>
      <c r="M24" s="277"/>
      <c r="N24" s="278" t="s">
        <v>135</v>
      </c>
      <c r="O24" s="279"/>
      <c r="P24" s="280"/>
      <c r="Q24" s="132" t="s">
        <v>127</v>
      </c>
      <c r="R24" s="63">
        <v>21</v>
      </c>
      <c r="S24" s="43"/>
    </row>
    <row r="25" spans="1:19" ht="20.100000000000001" customHeight="1">
      <c r="B25" s="405"/>
      <c r="C25" s="406"/>
      <c r="D25" s="407"/>
      <c r="E25" s="20" t="s">
        <v>89</v>
      </c>
      <c r="F25" s="37">
        <f>SUMPRODUCT(C55:C58,F55:F58)/75+C48*F48/75+C45*F45/75+C49*F49/75</f>
        <v>262.92399999999998</v>
      </c>
      <c r="G25" s="408"/>
      <c r="H25" s="409"/>
      <c r="I25" s="415"/>
      <c r="J25" s="43"/>
      <c r="L25" s="276" t="s">
        <v>29</v>
      </c>
      <c r="M25" s="277"/>
      <c r="N25" s="278" t="s">
        <v>30</v>
      </c>
      <c r="O25" s="279"/>
      <c r="P25" s="279"/>
      <c r="Q25" s="280"/>
      <c r="R25" s="46" t="s">
        <v>31</v>
      </c>
      <c r="S25" s="43"/>
    </row>
    <row r="26" spans="1:19" ht="20.100000000000001" customHeight="1">
      <c r="B26" s="405"/>
      <c r="C26" s="399"/>
      <c r="D26" s="374"/>
      <c r="E26" s="21" t="s">
        <v>91</v>
      </c>
      <c r="F26" s="37">
        <f>SUMPRODUCT(C59:C63,F59:F63)/65</f>
        <v>519.32492307692303</v>
      </c>
      <c r="G26" s="410"/>
      <c r="H26" s="411"/>
      <c r="I26" s="415"/>
      <c r="J26" s="43"/>
      <c r="L26" s="276" t="s">
        <v>33</v>
      </c>
      <c r="M26" s="277"/>
      <c r="N26" s="40" t="s">
        <v>34</v>
      </c>
      <c r="O26" s="41"/>
      <c r="P26" s="41"/>
      <c r="Q26" s="42"/>
      <c r="R26" s="46" t="s">
        <v>31</v>
      </c>
      <c r="S26" s="43"/>
    </row>
    <row r="27" spans="1:19" ht="20.100000000000001" customHeight="1">
      <c r="B27" s="405"/>
      <c r="C27" s="395" t="s">
        <v>38</v>
      </c>
      <c r="D27" s="277"/>
      <c r="E27" s="469">
        <f>F24+F25+F26</f>
        <v>1009.4489230769231</v>
      </c>
      <c r="F27" s="469"/>
      <c r="G27" s="469">
        <f>R22/134</f>
        <v>2.9588059701492537</v>
      </c>
      <c r="H27" s="469"/>
      <c r="I27" s="28">
        <f>SUM(E27:H27)</f>
        <v>1012.4077290470723</v>
      </c>
      <c r="J27" s="43"/>
      <c r="L27" s="276" t="s">
        <v>35</v>
      </c>
      <c r="M27" s="277"/>
      <c r="N27" s="40" t="s">
        <v>36</v>
      </c>
      <c r="O27" s="41"/>
      <c r="P27" s="41"/>
      <c r="Q27" s="42"/>
      <c r="R27" s="46" t="s">
        <v>37</v>
      </c>
      <c r="S27" s="43"/>
    </row>
    <row r="28" spans="1:19" ht="20.100000000000001" customHeight="1">
      <c r="B28" s="405"/>
      <c r="C28" s="398" t="s">
        <v>4</v>
      </c>
      <c r="D28" s="358"/>
      <c r="E28" s="400">
        <f>SUM(E30:F31)</f>
        <v>1638</v>
      </c>
      <c r="F28" s="400"/>
      <c r="G28" s="400">
        <f>G30+G31</f>
        <v>4</v>
      </c>
      <c r="H28" s="400"/>
      <c r="I28" s="28">
        <f>SUM(E28:H28)</f>
        <v>1642</v>
      </c>
      <c r="J28" s="2">
        <f>J31+J30</f>
        <v>1</v>
      </c>
      <c r="L28" s="276" t="s">
        <v>39</v>
      </c>
      <c r="M28" s="277"/>
      <c r="N28" s="40" t="s">
        <v>40</v>
      </c>
      <c r="O28" s="41"/>
      <c r="P28" s="41"/>
      <c r="Q28" s="42"/>
      <c r="R28" s="46" t="s">
        <v>31</v>
      </c>
      <c r="S28" s="43"/>
    </row>
    <row r="29" spans="1:19" ht="20.100000000000001" customHeight="1">
      <c r="B29" s="405"/>
      <c r="C29" s="399"/>
      <c r="D29" s="374"/>
      <c r="E29" s="401">
        <f>E28/C65</f>
        <v>2</v>
      </c>
      <c r="F29" s="402"/>
      <c r="G29" s="403">
        <f>G28/G27</f>
        <v>1.3518966908797416</v>
      </c>
      <c r="H29" s="404"/>
      <c r="I29" s="29"/>
      <c r="J29" s="2"/>
      <c r="L29" s="276" t="s">
        <v>41</v>
      </c>
      <c r="M29" s="277"/>
      <c r="N29" s="40" t="s">
        <v>42</v>
      </c>
      <c r="O29" s="41"/>
      <c r="P29" s="41"/>
      <c r="Q29" s="42"/>
      <c r="R29" s="46" t="s">
        <v>31</v>
      </c>
      <c r="S29" s="43"/>
    </row>
    <row r="30" spans="1:19" ht="20.100000000000001" customHeight="1">
      <c r="B30" s="405"/>
      <c r="C30" s="395" t="s">
        <v>43</v>
      </c>
      <c r="D30" s="277"/>
      <c r="E30" s="394"/>
      <c r="F30" s="394"/>
      <c r="G30" s="394"/>
      <c r="H30" s="394"/>
      <c r="I30" s="45"/>
      <c r="J30" s="2"/>
      <c r="L30" s="276" t="s">
        <v>44</v>
      </c>
      <c r="M30" s="277"/>
      <c r="N30" s="40" t="s">
        <v>92</v>
      </c>
      <c r="O30" s="41"/>
      <c r="P30" s="41"/>
      <c r="Q30" s="42"/>
      <c r="R30" s="46" t="s">
        <v>31</v>
      </c>
      <c r="S30" s="43"/>
    </row>
    <row r="31" spans="1:19" ht="20.100000000000001" customHeight="1">
      <c r="B31" s="373"/>
      <c r="C31" s="395" t="s">
        <v>45</v>
      </c>
      <c r="D31" s="277"/>
      <c r="E31" s="396">
        <f>C65*2</f>
        <v>1638</v>
      </c>
      <c r="F31" s="397"/>
      <c r="G31" s="394">
        <v>4</v>
      </c>
      <c r="H31" s="394"/>
      <c r="I31" s="45">
        <f>SUM(E31:H31)</f>
        <v>1642</v>
      </c>
      <c r="J31" s="2">
        <f>I31/I28</f>
        <v>1</v>
      </c>
      <c r="L31" s="276" t="s">
        <v>46</v>
      </c>
      <c r="M31" s="277"/>
      <c r="N31" s="40" t="s">
        <v>47</v>
      </c>
      <c r="O31" s="41"/>
      <c r="P31" s="41"/>
      <c r="Q31" s="42"/>
      <c r="R31" s="46" t="s">
        <v>31</v>
      </c>
      <c r="S31" s="43"/>
    </row>
    <row r="32" spans="1:19" ht="20.100000000000001" customHeight="1">
      <c r="B32" s="276" t="s">
        <v>93</v>
      </c>
      <c r="C32" s="276"/>
      <c r="D32" s="277"/>
      <c r="E32" s="383" t="s">
        <v>48</v>
      </c>
      <c r="F32" s="384"/>
      <c r="G32" s="384"/>
      <c r="H32" s="385"/>
      <c r="I32" s="386"/>
      <c r="J32" s="387"/>
      <c r="L32" s="276" t="s">
        <v>49</v>
      </c>
      <c r="M32" s="277"/>
      <c r="N32" s="40" t="s">
        <v>50</v>
      </c>
      <c r="O32" s="41"/>
      <c r="P32" s="41"/>
      <c r="Q32" s="42"/>
      <c r="R32" s="46" t="s">
        <v>31</v>
      </c>
      <c r="S32" s="43"/>
    </row>
    <row r="33" spans="2:19" ht="20.100000000000001" customHeight="1">
      <c r="B33" s="276" t="s">
        <v>94</v>
      </c>
      <c r="C33" s="276"/>
      <c r="D33" s="277"/>
      <c r="E33" s="388">
        <f>E13*0.3</f>
        <v>9696.1799999999985</v>
      </c>
      <c r="F33" s="389"/>
      <c r="G33" s="390">
        <f>E33/E13</f>
        <v>0.3</v>
      </c>
      <c r="H33" s="391"/>
      <c r="I33" s="392"/>
      <c r="J33" s="393"/>
      <c r="L33" s="276" t="s">
        <v>51</v>
      </c>
      <c r="M33" s="277"/>
      <c r="N33" s="40" t="s">
        <v>52</v>
      </c>
      <c r="O33" s="41"/>
      <c r="P33" s="41"/>
      <c r="Q33" s="42"/>
      <c r="R33" s="46" t="s">
        <v>31</v>
      </c>
      <c r="S33" s="43"/>
    </row>
    <row r="34" spans="2:19" ht="20.100000000000001" customHeight="1">
      <c r="B34" s="52"/>
      <c r="C34" s="52" t="s">
        <v>184</v>
      </c>
      <c r="D34" s="145"/>
      <c r="E34" s="304">
        <f>J46</f>
        <v>507.43359999999996</v>
      </c>
      <c r="F34" s="305"/>
      <c r="G34" s="146"/>
      <c r="H34" s="147"/>
      <c r="I34" s="148"/>
      <c r="J34" s="149"/>
      <c r="L34" s="276" t="s">
        <v>53</v>
      </c>
      <c r="M34" s="277"/>
      <c r="N34" s="278" t="s">
        <v>54</v>
      </c>
      <c r="O34" s="279"/>
      <c r="P34" s="279"/>
      <c r="Q34" s="280"/>
      <c r="R34" s="7" t="s">
        <v>31</v>
      </c>
      <c r="S34" s="43"/>
    </row>
    <row r="35" spans="2:19" ht="20.100000000000001" customHeight="1">
      <c r="B35" s="357" t="s">
        <v>95</v>
      </c>
      <c r="C35" s="357"/>
      <c r="D35" s="358"/>
      <c r="E35" s="375">
        <f>J50/E13</f>
        <v>0.25099233306312385</v>
      </c>
      <c r="F35" s="376"/>
      <c r="G35" s="376"/>
      <c r="H35" s="377"/>
      <c r="I35" s="470">
        <v>0.25</v>
      </c>
      <c r="J35" s="471"/>
      <c r="L35" s="276"/>
      <c r="M35" s="277"/>
      <c r="R35" s="7"/>
      <c r="S35" s="43"/>
    </row>
    <row r="36" spans="2:19" ht="20.100000000000001" customHeight="1">
      <c r="B36" s="373"/>
      <c r="C36" s="373"/>
      <c r="D36" s="374"/>
      <c r="E36" s="378">
        <f>J50</f>
        <v>8112.2227999999996</v>
      </c>
      <c r="F36" s="379"/>
      <c r="G36" s="379"/>
      <c r="H36" s="380"/>
      <c r="I36" s="381">
        <f>E13*I35</f>
        <v>8080.15</v>
      </c>
      <c r="J36" s="382"/>
      <c r="L36" s="276"/>
      <c r="M36" s="277"/>
      <c r="N36" s="278"/>
      <c r="O36" s="279"/>
      <c r="P36" s="279"/>
      <c r="Q36" s="280"/>
      <c r="R36" s="7"/>
      <c r="S36" s="43"/>
    </row>
    <row r="37" spans="2:19" ht="20.100000000000001" customHeight="1">
      <c r="B37" s="357" t="s">
        <v>96</v>
      </c>
      <c r="C37" s="357"/>
      <c r="D37" s="358"/>
      <c r="E37" s="365"/>
      <c r="F37" s="366"/>
      <c r="G37" s="366"/>
      <c r="H37" s="366"/>
      <c r="I37" s="366"/>
      <c r="J37" s="366"/>
      <c r="L37" s="357" t="s">
        <v>5</v>
      </c>
      <c r="M37" s="358"/>
      <c r="N37" s="365"/>
      <c r="O37" s="366"/>
      <c r="P37" s="366"/>
      <c r="Q37" s="367"/>
      <c r="R37" s="371"/>
      <c r="S37" s="365"/>
    </row>
    <row r="38" spans="2:19" ht="20.100000000000001" customHeight="1" thickBot="1">
      <c r="B38" s="359"/>
      <c r="C38" s="359"/>
      <c r="D38" s="360"/>
      <c r="E38" s="368"/>
      <c r="F38" s="369"/>
      <c r="G38" s="369"/>
      <c r="H38" s="369"/>
      <c r="I38" s="369"/>
      <c r="J38" s="369"/>
      <c r="L38" s="359"/>
      <c r="M38" s="360"/>
      <c r="N38" s="368"/>
      <c r="O38" s="369"/>
      <c r="P38" s="369"/>
      <c r="Q38" s="370"/>
      <c r="R38" s="372"/>
      <c r="S38" s="368"/>
    </row>
    <row r="39" spans="2:19" ht="9.9499999999999993" customHeight="1"/>
    <row r="40" spans="2:19" ht="30" customHeight="1">
      <c r="B40" s="4" t="s">
        <v>55</v>
      </c>
    </row>
    <row r="41" spans="2:19" ht="3" customHeight="1" thickBot="1"/>
    <row r="42" spans="2:19" ht="20.100000000000001" customHeight="1">
      <c r="B42" s="324" t="s">
        <v>56</v>
      </c>
      <c r="C42" s="325" t="s">
        <v>57</v>
      </c>
      <c r="D42" s="326"/>
      <c r="E42" s="337" t="s">
        <v>28</v>
      </c>
      <c r="F42" s="337" t="s">
        <v>58</v>
      </c>
      <c r="G42" s="337" t="s">
        <v>97</v>
      </c>
      <c r="H42" s="337"/>
      <c r="I42" s="337"/>
      <c r="J42" s="325" t="s">
        <v>59</v>
      </c>
      <c r="K42" s="339"/>
      <c r="L42" s="127"/>
      <c r="M42" s="322" t="s">
        <v>0</v>
      </c>
      <c r="N42" s="323"/>
      <c r="O42" s="324"/>
      <c r="P42" s="325" t="s">
        <v>60</v>
      </c>
      <c r="Q42" s="326"/>
      <c r="R42" s="329" t="s">
        <v>61</v>
      </c>
      <c r="S42" s="322" t="s">
        <v>5</v>
      </c>
    </row>
    <row r="43" spans="2:19" ht="20.100000000000001" customHeight="1" thickBot="1">
      <c r="B43" s="336"/>
      <c r="C43" s="327"/>
      <c r="D43" s="328"/>
      <c r="E43" s="338"/>
      <c r="F43" s="338"/>
      <c r="G43" s="39" t="s">
        <v>62</v>
      </c>
      <c r="H43" s="39" t="s">
        <v>63</v>
      </c>
      <c r="I43" s="39" t="s">
        <v>64</v>
      </c>
      <c r="J43" s="327"/>
      <c r="K43" s="340"/>
      <c r="L43" s="128"/>
      <c r="M43" s="39" t="s">
        <v>65</v>
      </c>
      <c r="N43" s="39" t="s">
        <v>66</v>
      </c>
      <c r="O43" s="39" t="s">
        <v>64</v>
      </c>
      <c r="P43" s="327"/>
      <c r="Q43" s="328"/>
      <c r="R43" s="330"/>
      <c r="S43" s="331"/>
    </row>
    <row r="44" spans="2:19" ht="20.25" customHeight="1">
      <c r="B44" s="176" t="s">
        <v>182</v>
      </c>
      <c r="C44" s="341">
        <v>5</v>
      </c>
      <c r="D44" s="342"/>
      <c r="E44" s="161"/>
      <c r="F44" s="179">
        <v>59.94</v>
      </c>
      <c r="G44" s="163">
        <v>7.04</v>
      </c>
      <c r="H44" s="163">
        <f>F44*0.24</f>
        <v>14.385599999999998</v>
      </c>
      <c r="I44" s="163">
        <f t="shared" ref="I44:I45" si="0">G44+H44</f>
        <v>21.425599999999999</v>
      </c>
      <c r="J44" s="332">
        <f t="shared" ref="J44:J45" si="1">F44+I44</f>
        <v>81.365600000000001</v>
      </c>
      <c r="K44" s="333"/>
      <c r="L44" s="184">
        <f t="shared" ref="L44:L50" si="2">J44*0.3025</f>
        <v>24.613094</v>
      </c>
      <c r="M44" s="163">
        <f t="shared" ref="M44:M45" si="3">(F44/F$65)*M$65</f>
        <v>1.3082694495958636</v>
      </c>
      <c r="N44" s="163">
        <f>(F44/F$65)*N$65</f>
        <v>0.52225519224697081</v>
      </c>
      <c r="O44" s="163">
        <f t="shared" ref="O44" si="4">SUM(M44:N44)</f>
        <v>1.8305246418428345</v>
      </c>
      <c r="P44" s="334">
        <f t="shared" ref="P44:P45" si="5">(F44/F$65)*P$65</f>
        <v>59.74599399305346</v>
      </c>
      <c r="Q44" s="335"/>
      <c r="R44" s="186">
        <f t="shared" ref="R44:R45" si="6">J44+O44+P44</f>
        <v>142.9421186348963</v>
      </c>
      <c r="S44" s="166"/>
    </row>
    <row r="45" spans="2:19" ht="20.100000000000001" customHeight="1">
      <c r="B45" s="177" t="s">
        <v>183</v>
      </c>
      <c r="C45" s="281">
        <v>1</v>
      </c>
      <c r="D45" s="282"/>
      <c r="E45" s="143"/>
      <c r="F45" s="180">
        <v>74.94</v>
      </c>
      <c r="G45" s="90">
        <v>7.68</v>
      </c>
      <c r="H45" s="90">
        <f>F45*0.24</f>
        <v>17.985599999999998</v>
      </c>
      <c r="I45" s="90">
        <f t="shared" si="0"/>
        <v>25.665599999999998</v>
      </c>
      <c r="J45" s="283">
        <f t="shared" si="1"/>
        <v>100.6056</v>
      </c>
      <c r="K45" s="284"/>
      <c r="L45" s="185">
        <f t="shared" si="2"/>
        <v>30.433193999999997</v>
      </c>
      <c r="M45" s="90">
        <f t="shared" si="3"/>
        <v>1.6356642067519855</v>
      </c>
      <c r="N45" s="90">
        <f t="shared" ref="N45" si="7">(F45/F$65)*N$65</f>
        <v>0.65294968480126792</v>
      </c>
      <c r="O45" s="90">
        <f>SUM(M45:N45)</f>
        <v>2.2886138915532532</v>
      </c>
      <c r="P45" s="285">
        <f t="shared" si="5"/>
        <v>74.697443941265036</v>
      </c>
      <c r="Q45" s="286"/>
      <c r="R45" s="187">
        <f t="shared" si="6"/>
        <v>177.59165783281827</v>
      </c>
      <c r="S45" s="92"/>
    </row>
    <row r="46" spans="2:19" ht="20.100000000000001" customHeight="1" thickBot="1">
      <c r="B46" s="178" t="s">
        <v>181</v>
      </c>
      <c r="C46" s="343">
        <f>C43+C44+C45</f>
        <v>6</v>
      </c>
      <c r="D46" s="344"/>
      <c r="E46" s="168"/>
      <c r="F46" s="181">
        <f>SUMPRODUCT(C44:C45,F44:F45)</f>
        <v>374.64</v>
      </c>
      <c r="G46" s="181">
        <f>SUMPRODUCT($C$44:$C$45,G44:G45)</f>
        <v>42.88</v>
      </c>
      <c r="H46" s="181">
        <f>SUMPRODUCT($C$44:$C$45,H44:H45)</f>
        <v>89.913600000000002</v>
      </c>
      <c r="I46" s="181">
        <f>SUM(G46:H46)</f>
        <v>132.7936</v>
      </c>
      <c r="J46" s="287">
        <f>C44*J44+C45*J45</f>
        <v>507.43359999999996</v>
      </c>
      <c r="K46" s="288"/>
      <c r="L46" s="182">
        <f t="shared" si="2"/>
        <v>153.49866399999999</v>
      </c>
      <c r="M46" s="181">
        <f>SUMPRODUCT(C44:C45,M44:M45)</f>
        <v>8.1770114547313035</v>
      </c>
      <c r="N46" s="181">
        <f>SUMPRODUCT(C44:C45,N44:N45)</f>
        <v>3.2642256460361221</v>
      </c>
      <c r="O46" s="181">
        <f>M46+N46</f>
        <v>11.441237100767426</v>
      </c>
      <c r="P46" s="289">
        <f>SUMPRODUCT(C44:C45,P44:P45)</f>
        <v>373.42741390653231</v>
      </c>
      <c r="Q46" s="290"/>
      <c r="R46" s="181">
        <f>J46+P46+O46</f>
        <v>892.30225100729967</v>
      </c>
      <c r="S46" s="183"/>
    </row>
    <row r="47" spans="2:19" ht="20.100000000000001" customHeight="1">
      <c r="B47" s="160" t="s">
        <v>98</v>
      </c>
      <c r="C47" s="341">
        <v>76</v>
      </c>
      <c r="D47" s="342"/>
      <c r="E47" s="161">
        <f>C47/C50</f>
        <v>0.80851063829787229</v>
      </c>
      <c r="F47" s="162">
        <v>59.94</v>
      </c>
      <c r="G47" s="163">
        <v>7.04</v>
      </c>
      <c r="H47" s="163">
        <f>F47*0.24</f>
        <v>14.385599999999998</v>
      </c>
      <c r="I47" s="163">
        <f t="shared" ref="I47:I48" si="8">G47+H47</f>
        <v>21.425599999999999</v>
      </c>
      <c r="J47" s="292">
        <f t="shared" ref="J47:J49" si="9">F47+I47</f>
        <v>81.365600000000001</v>
      </c>
      <c r="K47" s="293"/>
      <c r="L47" s="164">
        <f t="shared" si="2"/>
        <v>24.613094</v>
      </c>
      <c r="M47" s="163">
        <f>(F47/F$65)*M$65</f>
        <v>1.3082694495958636</v>
      </c>
      <c r="N47" s="163">
        <f>(F47/F$65)*N$65</f>
        <v>0.52225519224697081</v>
      </c>
      <c r="O47" s="163">
        <f t="shared" ref="O47" si="10">SUM(M47:N47)</f>
        <v>1.8305246418428345</v>
      </c>
      <c r="P47" s="334">
        <f>(F47/F$65)*P$65</f>
        <v>59.74599399305346</v>
      </c>
      <c r="Q47" s="335"/>
      <c r="R47" s="165">
        <f t="shared" ref="R47:R49" si="11">J47+O47+P47</f>
        <v>142.9421186348963</v>
      </c>
      <c r="S47" s="92"/>
    </row>
    <row r="48" spans="2:19" ht="20.100000000000001" customHeight="1">
      <c r="B48" s="99" t="s">
        <v>120</v>
      </c>
      <c r="C48" s="281">
        <v>9</v>
      </c>
      <c r="D48" s="282"/>
      <c r="E48" s="143">
        <f>C48/C50</f>
        <v>9.5744680851063829E-2</v>
      </c>
      <c r="F48" s="100">
        <v>74.94</v>
      </c>
      <c r="G48" s="90">
        <v>7.68</v>
      </c>
      <c r="H48" s="90">
        <f>F48*0.24</f>
        <v>17.985599999999998</v>
      </c>
      <c r="I48" s="90">
        <f t="shared" si="8"/>
        <v>25.665599999999998</v>
      </c>
      <c r="J48" s="296">
        <f t="shared" si="9"/>
        <v>100.6056</v>
      </c>
      <c r="K48" s="297"/>
      <c r="L48" s="130">
        <f t="shared" si="2"/>
        <v>30.433193999999997</v>
      </c>
      <c r="M48" s="90">
        <f>(F48/F$65)*M$65</f>
        <v>1.6356642067519855</v>
      </c>
      <c r="N48" s="90">
        <f t="shared" ref="N48:N49" si="12">(F48/F$65)*N$65</f>
        <v>0.65294968480126792</v>
      </c>
      <c r="O48" s="90">
        <f>SUM(M48:N48)</f>
        <v>2.2886138915532532</v>
      </c>
      <c r="P48" s="285">
        <f>(F48/F$65)*P$65</f>
        <v>74.697443941265036</v>
      </c>
      <c r="Q48" s="286"/>
      <c r="R48" s="101">
        <f t="shared" si="11"/>
        <v>177.59165783281827</v>
      </c>
      <c r="S48" s="129"/>
    </row>
    <row r="49" spans="1:19" ht="20.100000000000001" customHeight="1">
      <c r="B49" s="172" t="s">
        <v>149</v>
      </c>
      <c r="C49" s="320">
        <v>9</v>
      </c>
      <c r="D49" s="321"/>
      <c r="E49" s="144">
        <f>C49/C50</f>
        <v>9.5744680851063829E-2</v>
      </c>
      <c r="F49" s="173">
        <v>84.98</v>
      </c>
      <c r="G49" s="95">
        <v>8.2899999999999991</v>
      </c>
      <c r="H49" s="95">
        <f t="shared" ref="H49" si="13">F49*0.24</f>
        <v>20.395199999999999</v>
      </c>
      <c r="I49" s="95">
        <f>G49+H49</f>
        <v>28.685199999999998</v>
      </c>
      <c r="J49" s="355">
        <f t="shared" si="9"/>
        <v>113.6652</v>
      </c>
      <c r="K49" s="356"/>
      <c r="L49" s="174">
        <f t="shared" si="2"/>
        <v>34.383722999999996</v>
      </c>
      <c r="M49" s="95">
        <f>(F49/F$65)*M$65</f>
        <v>1.85480043087515</v>
      </c>
      <c r="N49" s="95">
        <f t="shared" si="12"/>
        <v>0.74042786515094405</v>
      </c>
      <c r="O49" s="95">
        <f t="shared" ref="O49" si="14">SUM(M49:N49)</f>
        <v>2.595228296026094</v>
      </c>
      <c r="P49" s="314">
        <f>(F49/F$65)*P$65</f>
        <v>84.704947773268003</v>
      </c>
      <c r="Q49" s="315"/>
      <c r="R49" s="175">
        <f t="shared" si="11"/>
        <v>200.96537606929411</v>
      </c>
      <c r="S49" s="129"/>
    </row>
    <row r="50" spans="1:19" s="50" customFormat="1" ht="20.100000000000001" customHeight="1" thickBot="1">
      <c r="A50" s="49"/>
      <c r="B50" s="167" t="s">
        <v>99</v>
      </c>
      <c r="C50" s="345">
        <f>C47+C48+C49</f>
        <v>94</v>
      </c>
      <c r="D50" s="346"/>
      <c r="E50" s="168">
        <f>E47+E48+E49</f>
        <v>0.99999999999999989</v>
      </c>
      <c r="F50" s="169">
        <f>SUMPRODUCT(C47:C49,F47:F49)</f>
        <v>5994.7199999999993</v>
      </c>
      <c r="G50" s="169">
        <f>SUMPRODUCT($C$47:$C$49,G47:G49)</f>
        <v>678.77</v>
      </c>
      <c r="H50" s="169">
        <f>SUMPRODUCT($C$47:$C$49,H47:H49)</f>
        <v>1438.7328</v>
      </c>
      <c r="I50" s="169">
        <f>SUM(G50:H50)</f>
        <v>2117.5028000000002</v>
      </c>
      <c r="J50" s="347">
        <f>J47*C47+C48*J48+C49*J49</f>
        <v>8112.2227999999996</v>
      </c>
      <c r="K50" s="348"/>
      <c r="L50" s="170">
        <f t="shared" si="2"/>
        <v>2453.9473969999999</v>
      </c>
      <c r="M50" s="169">
        <f>SUMPRODUCT(C47:C49,M47:M49)</f>
        <v>130.84265990792986</v>
      </c>
      <c r="N50" s="169">
        <f>SUMPRODUCT(C47:C49,N47:N49)</f>
        <v>52.231792560339692</v>
      </c>
      <c r="O50" s="169">
        <f>M50+N50</f>
        <v>183.07445246826956</v>
      </c>
      <c r="P50" s="349">
        <f>SUMPRODUCT(C47:C49,P47:P49)</f>
        <v>5975.3170689028602</v>
      </c>
      <c r="Q50" s="350"/>
      <c r="R50" s="169">
        <f>J50+P50+O50</f>
        <v>14270.614321371129</v>
      </c>
      <c r="S50" s="76"/>
    </row>
    <row r="51" spans="1:19" ht="20.100000000000001" hidden="1" customHeight="1">
      <c r="B51" s="83" t="s">
        <v>119</v>
      </c>
      <c r="C51" s="117"/>
      <c r="D51" s="125">
        <f>C51/C64</f>
        <v>0</v>
      </c>
      <c r="E51" s="140"/>
      <c r="F51" s="84">
        <v>49.53</v>
      </c>
      <c r="G51" s="85">
        <v>5.44</v>
      </c>
      <c r="H51" s="85">
        <f>F51*0.24</f>
        <v>11.8872</v>
      </c>
      <c r="I51" s="85">
        <f>G51+H51</f>
        <v>17.327200000000001</v>
      </c>
      <c r="J51" s="474">
        <f>F51+I51</f>
        <v>66.857200000000006</v>
      </c>
      <c r="K51" s="475"/>
      <c r="L51" s="112">
        <f>J51*0.3025</f>
        <v>20.224303000000003</v>
      </c>
      <c r="M51" s="85">
        <f>(F51/F$65)*M$65</f>
        <v>1.0810574881295147</v>
      </c>
      <c r="N51" s="85">
        <f t="shared" ref="N51:N59" si="15">(F51/F$65)*N$65</f>
        <v>0.43155321441428873</v>
      </c>
      <c r="O51" s="85">
        <f>SUM(M51:N51)</f>
        <v>1.5126107025438036</v>
      </c>
      <c r="P51" s="476">
        <f>(F51/F$65)*P$65</f>
        <v>49.369687728994627</v>
      </c>
      <c r="Q51" s="477"/>
      <c r="R51" s="86">
        <f>J51+O51+P51</f>
        <v>117.73949843153844</v>
      </c>
      <c r="S51" s="87"/>
    </row>
    <row r="52" spans="1:19" ht="20.100000000000001" hidden="1" customHeight="1">
      <c r="B52" s="88" t="s">
        <v>103</v>
      </c>
      <c r="C52" s="118"/>
      <c r="D52" s="118"/>
      <c r="E52" s="140"/>
      <c r="F52" s="89">
        <v>45.89</v>
      </c>
      <c r="G52" s="90">
        <v>4.9000000000000004</v>
      </c>
      <c r="H52" s="90">
        <f>$H$68/$F$65*F52</f>
        <v>0</v>
      </c>
      <c r="I52" s="90">
        <f>G52+H52</f>
        <v>4.9000000000000004</v>
      </c>
      <c r="J52" s="294">
        <f>F52+I52</f>
        <v>50.79</v>
      </c>
      <c r="K52" s="295"/>
      <c r="L52" s="113">
        <f>J52*0.3025</f>
        <v>15.363975</v>
      </c>
      <c r="M52" s="90">
        <f>(F52/F$65)*M$65</f>
        <v>1.0016096937262959</v>
      </c>
      <c r="N52" s="90">
        <f t="shared" si="15"/>
        <v>0.39983801755444598</v>
      </c>
      <c r="O52" s="90">
        <f>SUM(M52:N52)</f>
        <v>1.401447711280742</v>
      </c>
      <c r="P52" s="285">
        <f>(F52/F$65)*P$65</f>
        <v>45.741469208228622</v>
      </c>
      <c r="Q52" s="286"/>
      <c r="R52" s="91">
        <f>J52+O52+P52</f>
        <v>97.932916919509367</v>
      </c>
      <c r="S52" s="92"/>
    </row>
    <row r="53" spans="1:19" ht="20.100000000000001" hidden="1" customHeight="1">
      <c r="B53" s="88" t="s">
        <v>104</v>
      </c>
      <c r="C53" s="118"/>
      <c r="D53" s="118"/>
      <c r="E53" s="140"/>
      <c r="F53" s="89">
        <v>45.92</v>
      </c>
      <c r="G53" s="90">
        <v>5.44</v>
      </c>
      <c r="H53" s="90">
        <f>$H$68/$F$65*F53</f>
        <v>0</v>
      </c>
      <c r="I53" s="90">
        <f>G53+H53</f>
        <v>5.44</v>
      </c>
      <c r="J53" s="294">
        <f>F53+I53</f>
        <v>51.36</v>
      </c>
      <c r="K53" s="295"/>
      <c r="L53" s="113">
        <f>J53*0.3025</f>
        <v>15.536399999999999</v>
      </c>
      <c r="M53" s="90">
        <f>(F53/F$65)*M$65</f>
        <v>1.002264483240608</v>
      </c>
      <c r="N53" s="90">
        <f t="shared" si="15"/>
        <v>0.40009940653955461</v>
      </c>
      <c r="O53" s="90">
        <f>SUM(M53:N53)</f>
        <v>1.4023638897801627</v>
      </c>
      <c r="P53" s="285">
        <f>(F53/F$65)*P$65</f>
        <v>45.771372108125043</v>
      </c>
      <c r="Q53" s="286"/>
      <c r="R53" s="91">
        <f>J53+O53+P53</f>
        <v>98.533735997905211</v>
      </c>
      <c r="S53" s="92"/>
    </row>
    <row r="54" spans="1:19" ht="20.100000000000001" customHeight="1">
      <c r="A54" s="38">
        <f>J55-J54</f>
        <v>19.239999999999995</v>
      </c>
      <c r="B54" s="88" t="s">
        <v>101</v>
      </c>
      <c r="C54" s="281">
        <v>203</v>
      </c>
      <c r="D54" s="282"/>
      <c r="E54" s="142"/>
      <c r="F54" s="89">
        <v>59.94</v>
      </c>
      <c r="G54" s="90">
        <v>7.04</v>
      </c>
      <c r="H54" s="90">
        <f>F54*0.24</f>
        <v>14.385599999999998</v>
      </c>
      <c r="I54" s="90">
        <f t="shared" ref="I54:I62" si="16">G54+H54</f>
        <v>21.425599999999999</v>
      </c>
      <c r="J54" s="294">
        <f t="shared" ref="J54:J62" si="17">F54+I54</f>
        <v>81.365600000000001</v>
      </c>
      <c r="K54" s="295"/>
      <c r="L54" s="113">
        <f t="shared" ref="L54:L62" si="18">J54*0.3025</f>
        <v>24.613094</v>
      </c>
      <c r="M54" s="90">
        <f>(F54/F$65)*M$65</f>
        <v>1.3082694495958636</v>
      </c>
      <c r="N54" s="90">
        <f t="shared" si="15"/>
        <v>0.52225519224697081</v>
      </c>
      <c r="O54" s="90">
        <f t="shared" ref="O54" si="19">SUM(M54:N54)</f>
        <v>1.8305246418428345</v>
      </c>
      <c r="P54" s="285">
        <f>(F54/F$65)*P$65</f>
        <v>59.74599399305346</v>
      </c>
      <c r="Q54" s="286"/>
      <c r="R54" s="91">
        <f t="shared" ref="R54:R62" si="20">J54+O54+P54</f>
        <v>142.9421186348963</v>
      </c>
      <c r="S54" s="92"/>
    </row>
    <row r="55" spans="1:19" ht="19.5" customHeight="1">
      <c r="A55" s="13">
        <f>A14/A54</f>
        <v>0.66615072765205607</v>
      </c>
      <c r="B55" s="88" t="s">
        <v>100</v>
      </c>
      <c r="C55" s="281">
        <v>15</v>
      </c>
      <c r="D55" s="282"/>
      <c r="E55" s="143"/>
      <c r="F55" s="89">
        <v>74.94</v>
      </c>
      <c r="G55" s="90">
        <v>7.68</v>
      </c>
      <c r="H55" s="90">
        <f>F55*0.24</f>
        <v>17.985599999999998</v>
      </c>
      <c r="I55" s="90">
        <f t="shared" si="16"/>
        <v>25.665599999999998</v>
      </c>
      <c r="J55" s="294">
        <f t="shared" si="17"/>
        <v>100.6056</v>
      </c>
      <c r="K55" s="295"/>
      <c r="L55" s="113">
        <f t="shared" si="18"/>
        <v>30.433193999999997</v>
      </c>
      <c r="M55" s="90">
        <f>(F55/F$65)*M$65</f>
        <v>1.6356642067519855</v>
      </c>
      <c r="N55" s="90">
        <f t="shared" si="15"/>
        <v>0.65294968480126792</v>
      </c>
      <c r="O55" s="90">
        <f>SUM(M55:N55)</f>
        <v>2.2886138915532532</v>
      </c>
      <c r="P55" s="285">
        <f>(F55/F$65)*P$65</f>
        <v>74.697443941265036</v>
      </c>
      <c r="Q55" s="286"/>
      <c r="R55" s="91">
        <f t="shared" si="20"/>
        <v>177.59165783281827</v>
      </c>
      <c r="S55" s="92"/>
    </row>
    <row r="56" spans="1:19" ht="20.100000000000001" hidden="1" customHeight="1">
      <c r="B56" s="88"/>
      <c r="C56" s="119"/>
      <c r="D56" s="121"/>
      <c r="E56" s="143"/>
      <c r="F56" s="89"/>
      <c r="G56" s="90"/>
      <c r="H56" s="90">
        <f t="shared" ref="H56:H57" si="21">F56*0.245</f>
        <v>0</v>
      </c>
      <c r="I56" s="90"/>
      <c r="J56" s="294"/>
      <c r="K56" s="295"/>
      <c r="L56" s="113"/>
      <c r="M56" s="90"/>
      <c r="N56" s="90">
        <f t="shared" si="15"/>
        <v>0</v>
      </c>
      <c r="O56" s="90"/>
      <c r="P56" s="285"/>
      <c r="Q56" s="286"/>
      <c r="R56" s="91"/>
      <c r="S56" s="92"/>
    </row>
    <row r="57" spans="1:19" ht="20.100000000000001" hidden="1" customHeight="1">
      <c r="B57" s="88"/>
      <c r="C57" s="119"/>
      <c r="D57" s="121"/>
      <c r="E57" s="143"/>
      <c r="F57" s="89"/>
      <c r="G57" s="90"/>
      <c r="H57" s="90">
        <f t="shared" si="21"/>
        <v>0</v>
      </c>
      <c r="I57" s="90"/>
      <c r="J57" s="294"/>
      <c r="K57" s="295"/>
      <c r="L57" s="113"/>
      <c r="M57" s="90"/>
      <c r="N57" s="90">
        <f t="shared" si="15"/>
        <v>0</v>
      </c>
      <c r="O57" s="90"/>
      <c r="P57" s="285"/>
      <c r="Q57" s="286"/>
      <c r="R57" s="91"/>
      <c r="S57" s="92"/>
    </row>
    <row r="58" spans="1:19" ht="20.100000000000001" customHeight="1">
      <c r="A58" s="38"/>
      <c r="B58" s="93" t="s">
        <v>113</v>
      </c>
      <c r="C58" s="320">
        <v>201</v>
      </c>
      <c r="D58" s="321"/>
      <c r="E58" s="143"/>
      <c r="F58" s="89">
        <v>84.98</v>
      </c>
      <c r="G58" s="90">
        <v>8.2899999999999991</v>
      </c>
      <c r="H58" s="90">
        <f t="shared" ref="H58:H63" si="22">F58*0.24</f>
        <v>20.395199999999999</v>
      </c>
      <c r="I58" s="90">
        <f>G58+H58</f>
        <v>28.685199999999998</v>
      </c>
      <c r="J58" s="294">
        <f>F58+I58</f>
        <v>113.6652</v>
      </c>
      <c r="K58" s="295"/>
      <c r="L58" s="113">
        <f>J58*0.3025</f>
        <v>34.383722999999996</v>
      </c>
      <c r="M58" s="90">
        <f>(F58/F$65)*M$65</f>
        <v>1.85480043087515</v>
      </c>
      <c r="N58" s="90">
        <f t="shared" si="15"/>
        <v>0.74042786515094405</v>
      </c>
      <c r="O58" s="90">
        <f t="shared" ref="O58:O63" si="23">SUM(M58:N58)</f>
        <v>2.595228296026094</v>
      </c>
      <c r="P58" s="285">
        <f>(F58/F$65)*P$65</f>
        <v>84.704947773268003</v>
      </c>
      <c r="Q58" s="286"/>
      <c r="R58" s="91">
        <f>J58+O58+P58</f>
        <v>200.96537606929411</v>
      </c>
      <c r="S58" s="92"/>
    </row>
    <row r="59" spans="1:19" ht="20.100000000000001" customHeight="1">
      <c r="A59" s="38"/>
      <c r="B59" s="126" t="s">
        <v>118</v>
      </c>
      <c r="C59" s="318">
        <v>84</v>
      </c>
      <c r="D59" s="319"/>
      <c r="E59" s="143"/>
      <c r="F59" s="89">
        <v>99.63</v>
      </c>
      <c r="G59" s="90">
        <v>10.28</v>
      </c>
      <c r="H59" s="90">
        <f t="shared" si="22"/>
        <v>23.911199999999997</v>
      </c>
      <c r="I59" s="90">
        <f>G59+H59</f>
        <v>34.191199999999995</v>
      </c>
      <c r="J59" s="316">
        <f>F59+I59</f>
        <v>133.82119999999998</v>
      </c>
      <c r="K59" s="317"/>
      <c r="L59" s="113">
        <f>J59*0.3025</f>
        <v>40.480912999999994</v>
      </c>
      <c r="M59" s="90">
        <f>(F59/F65)*M65</f>
        <v>2.1745559770309622</v>
      </c>
      <c r="N59" s="90">
        <f t="shared" si="15"/>
        <v>0.86807281954564075</v>
      </c>
      <c r="O59" s="90">
        <f t="shared" si="23"/>
        <v>3.042628796576603</v>
      </c>
      <c r="P59" s="472">
        <f>(F59/F65)*P65</f>
        <v>99.307530556021291</v>
      </c>
      <c r="Q59" s="473"/>
      <c r="R59" s="91">
        <f>J59+O59+P59</f>
        <v>236.17135935259785</v>
      </c>
      <c r="S59" s="92"/>
    </row>
    <row r="60" spans="1:19" ht="20.100000000000001" customHeight="1">
      <c r="A60" s="38">
        <f>SUM(C60:C63)/$C$65</f>
        <v>0.26373626373626374</v>
      </c>
      <c r="B60" s="88" t="s">
        <v>133</v>
      </c>
      <c r="C60" s="281">
        <v>150</v>
      </c>
      <c r="D60" s="282"/>
      <c r="E60" s="143"/>
      <c r="F60" s="89">
        <v>112.4</v>
      </c>
      <c r="G60" s="90">
        <v>12.23</v>
      </c>
      <c r="H60" s="90">
        <f t="shared" si="22"/>
        <v>26.975999999999999</v>
      </c>
      <c r="I60" s="90">
        <f t="shared" si="16"/>
        <v>39.206000000000003</v>
      </c>
      <c r="J60" s="294">
        <f t="shared" si="17"/>
        <v>151.60599999999999</v>
      </c>
      <c r="K60" s="295"/>
      <c r="L60" s="113">
        <f t="shared" si="18"/>
        <v>45.860814999999995</v>
      </c>
      <c r="M60" s="90">
        <f>(F60/F$65)*M$65</f>
        <v>2.4532780469565409</v>
      </c>
      <c r="N60" s="90">
        <f>(F60/F$65)*N$65</f>
        <v>0.979337397540199</v>
      </c>
      <c r="O60" s="90">
        <f t="shared" si="23"/>
        <v>3.4326154444967401</v>
      </c>
      <c r="P60" s="285">
        <f>(F60/F$65)*P$65</f>
        <v>112.03619827859876</v>
      </c>
      <c r="Q60" s="286"/>
      <c r="R60" s="91">
        <f t="shared" si="20"/>
        <v>267.07481372309553</v>
      </c>
      <c r="S60" s="92"/>
    </row>
    <row r="61" spans="1:19" ht="19.5" customHeight="1">
      <c r="B61" s="88" t="s">
        <v>105</v>
      </c>
      <c r="C61" s="281">
        <v>66</v>
      </c>
      <c r="D61" s="282"/>
      <c r="E61" s="143"/>
      <c r="F61" s="89">
        <v>129.19999999999999</v>
      </c>
      <c r="G61" s="90">
        <v>14.58</v>
      </c>
      <c r="H61" s="90">
        <f t="shared" si="22"/>
        <v>31.007999999999996</v>
      </c>
      <c r="I61" s="90">
        <f t="shared" si="16"/>
        <v>45.587999999999994</v>
      </c>
      <c r="J61" s="294">
        <f t="shared" si="17"/>
        <v>174.78799999999998</v>
      </c>
      <c r="K61" s="295"/>
      <c r="L61" s="113">
        <f t="shared" si="18"/>
        <v>52.873369999999994</v>
      </c>
      <c r="M61" s="90">
        <f>(F61/F$65)*M$65</f>
        <v>2.8199601749713974</v>
      </c>
      <c r="N61" s="90">
        <f>(F61/F$65)*N$65</f>
        <v>1.1257152292010115</v>
      </c>
      <c r="O61" s="90">
        <f t="shared" si="23"/>
        <v>3.9456754041724089</v>
      </c>
      <c r="P61" s="285">
        <f>(F61/F$65)*P$65</f>
        <v>128.7818222205957</v>
      </c>
      <c r="Q61" s="286"/>
      <c r="R61" s="91">
        <f t="shared" si="20"/>
        <v>307.5154976247681</v>
      </c>
      <c r="S61" s="92"/>
    </row>
    <row r="62" spans="1:19" ht="19.5" hidden="1" customHeight="1">
      <c r="B62" s="88" t="s">
        <v>116</v>
      </c>
      <c r="C62" s="119"/>
      <c r="D62" s="121">
        <f t="shared" ref="D62:D63" si="24">C62/$C$64</f>
        <v>0</v>
      </c>
      <c r="E62" s="140"/>
      <c r="F62" s="122">
        <v>140.25</v>
      </c>
      <c r="G62" s="123">
        <v>16.28</v>
      </c>
      <c r="H62" s="90">
        <f t="shared" si="22"/>
        <v>33.659999999999997</v>
      </c>
      <c r="I62" s="90">
        <f t="shared" si="16"/>
        <v>49.94</v>
      </c>
      <c r="J62" s="294">
        <f t="shared" si="17"/>
        <v>190.19</v>
      </c>
      <c r="K62" s="295"/>
      <c r="L62" s="113">
        <f t="shared" si="18"/>
        <v>57.532474999999998</v>
      </c>
      <c r="M62" s="90">
        <f>(F62/F$65)*M$65</f>
        <v>3.0611409794097404</v>
      </c>
      <c r="N62" s="123">
        <f>(F62/F$65)*N$65</f>
        <v>1.2219935053826771</v>
      </c>
      <c r="O62" s="90">
        <f t="shared" si="23"/>
        <v>4.2831344847924173</v>
      </c>
      <c r="P62" s="285">
        <f>(F62/F$65)*P$65</f>
        <v>139.79605701577825</v>
      </c>
      <c r="Q62" s="286"/>
      <c r="R62" s="91">
        <f t="shared" si="20"/>
        <v>334.26919150057063</v>
      </c>
      <c r="S62" s="124"/>
    </row>
    <row r="63" spans="1:19" ht="20.100000000000001" hidden="1" customHeight="1">
      <c r="B63" s="93" t="s">
        <v>114</v>
      </c>
      <c r="C63" s="120">
        <v>0</v>
      </c>
      <c r="D63" s="121">
        <f t="shared" si="24"/>
        <v>0</v>
      </c>
      <c r="E63" s="141"/>
      <c r="F63" s="94">
        <v>159.80000000000001</v>
      </c>
      <c r="G63" s="95">
        <v>17.68</v>
      </c>
      <c r="H63" s="90">
        <f t="shared" si="22"/>
        <v>38.352000000000004</v>
      </c>
      <c r="I63" s="95">
        <f>G63+H63</f>
        <v>56.032000000000004</v>
      </c>
      <c r="J63" s="312">
        <f>F63+I63</f>
        <v>215.83200000000002</v>
      </c>
      <c r="K63" s="313"/>
      <c r="L63" s="114">
        <f>J63*0.3025</f>
        <v>65.289180000000002</v>
      </c>
      <c r="M63" s="95">
        <f>(F63/F$65)*M$65</f>
        <v>3.4878454795698866</v>
      </c>
      <c r="N63" s="95">
        <f>(F63/F$65)*N$65</f>
        <v>1.3923319940117775</v>
      </c>
      <c r="O63" s="95">
        <f t="shared" si="23"/>
        <v>4.8801774735816643</v>
      </c>
      <c r="P63" s="314">
        <f>(F63/F$65)*P$65</f>
        <v>159.28278011494734</v>
      </c>
      <c r="Q63" s="315"/>
      <c r="R63" s="96">
        <f>J63+O63+P63</f>
        <v>379.99495758852902</v>
      </c>
      <c r="S63" s="97"/>
    </row>
    <row r="64" spans="1:19" s="50" customFormat="1" ht="20.100000000000001" customHeight="1">
      <c r="A64" s="49"/>
      <c r="B64" s="32" t="s">
        <v>68</v>
      </c>
      <c r="C64" s="298">
        <f>SUM(C51:C63)</f>
        <v>719</v>
      </c>
      <c r="D64" s="299"/>
      <c r="E64" s="110"/>
      <c r="F64" s="77">
        <f>SUMPRODUCT($C$51:$C$63,F51:F63)</f>
        <v>64129.02</v>
      </c>
      <c r="G64" s="77">
        <f>SUMPRODUCT($C$51:$C$63,G51:G63)</f>
        <v>6870.9099999999989</v>
      </c>
      <c r="H64" s="77">
        <f>SUMPRODUCT($C$51:$C$63,H51:H63)</f>
        <v>15390.964799999998</v>
      </c>
      <c r="I64" s="77">
        <f>SUMPRODUCT($C$51:$C$63,I51:I63)</f>
        <v>22261.874800000001</v>
      </c>
      <c r="J64" s="300">
        <f>SUMPRODUCT(C51:C63,J51:J63)</f>
        <v>86390.894799999995</v>
      </c>
      <c r="K64" s="301"/>
      <c r="L64" s="115">
        <f>J64*0.3025</f>
        <v>26133.245676999999</v>
      </c>
      <c r="M64" s="78">
        <f>SUMPRODUCT($C$51:$C$63,M51:M63)</f>
        <v>1399.7003286373395</v>
      </c>
      <c r="N64" s="78">
        <f>SUMPRODUCT($C$51:$C$63,N51:N63)</f>
        <v>558.75398179362435</v>
      </c>
      <c r="O64" s="78">
        <f>SUMPRODUCT($C$51:$C$63,O51:O63)</f>
        <v>1958.4543104309639</v>
      </c>
      <c r="P64" s="302">
        <f>SUMPRODUCT($C$51:$C$63,P51:P63)</f>
        <v>63921.455517190618</v>
      </c>
      <c r="Q64" s="303"/>
      <c r="R64" s="74">
        <f>J64+O64+P64</f>
        <v>152270.80462762158</v>
      </c>
      <c r="S64" s="79"/>
    </row>
    <row r="65" spans="2:20" ht="39" customHeight="1" thickBot="1">
      <c r="B65" s="80" t="s">
        <v>27</v>
      </c>
      <c r="C65" s="306">
        <f>C50+C64+C46</f>
        <v>819</v>
      </c>
      <c r="D65" s="307"/>
      <c r="E65" s="135"/>
      <c r="F65" s="81">
        <f>F64+F50+F46</f>
        <v>70498.37999999999</v>
      </c>
      <c r="G65" s="81">
        <f>G50+G64+G46</f>
        <v>7592.5599999999986</v>
      </c>
      <c r="H65" s="81">
        <f t="shared" ref="H65:I65" si="25">H50+H64+H46</f>
        <v>16919.611199999999</v>
      </c>
      <c r="I65" s="81">
        <f t="shared" si="25"/>
        <v>24512.171200000001</v>
      </c>
      <c r="J65" s="308">
        <f>F65+I65</f>
        <v>95010.551199999987</v>
      </c>
      <c r="K65" s="309"/>
      <c r="L65" s="111">
        <f>J65*0.3025</f>
        <v>28740.691737999994</v>
      </c>
      <c r="M65" s="81">
        <f>R8+R13+R15+R17+R18+R20+R19+R24+R21</f>
        <v>1538.7200000000003</v>
      </c>
      <c r="N65" s="81">
        <f>C65*0.75</f>
        <v>614.25</v>
      </c>
      <c r="O65" s="81">
        <f>SUM(M65:N65)</f>
        <v>2152.9700000000003</v>
      </c>
      <c r="P65" s="310">
        <f>(E31)*42.9</f>
        <v>70270.2</v>
      </c>
      <c r="Q65" s="311"/>
      <c r="R65" s="81">
        <f>J65+O65+P65</f>
        <v>167433.72119999997</v>
      </c>
      <c r="S65" s="82"/>
      <c r="T65">
        <f>F65/J65</f>
        <v>0.74200579945693446</v>
      </c>
    </row>
    <row r="66" spans="2:20" ht="19.5" customHeight="1">
      <c r="B66"/>
      <c r="C66"/>
      <c r="D66"/>
      <c r="I66" s="75"/>
      <c r="J66" s="291">
        <f>J64+J50</f>
        <v>94503.117599999998</v>
      </c>
      <c r="K66" s="291"/>
      <c r="L66" s="291"/>
      <c r="M66" s="51"/>
      <c r="N66" s="51"/>
      <c r="P66" s="51"/>
      <c r="Q66"/>
      <c r="R66" s="104"/>
      <c r="S66" s="23"/>
    </row>
    <row r="67" spans="2:20">
      <c r="H67" s="51"/>
      <c r="J67" s="71">
        <f>E34/J65</f>
        <v>5.3408131369729389E-3</v>
      </c>
      <c r="M67" s="13"/>
      <c r="N67" s="13"/>
      <c r="P67" s="53">
        <f>(P65+N65+R20+R19)/(E13*0.7)</f>
        <v>3.1330946826482182</v>
      </c>
    </row>
    <row r="68" spans="2:20">
      <c r="C68" s="136"/>
      <c r="D68" s="133"/>
      <c r="F68" s="137">
        <f>I36-E36</f>
        <v>-32.072799999999916</v>
      </c>
      <c r="I68" s="51"/>
      <c r="J68">
        <f>J65/20</f>
        <v>4750.5275599999995</v>
      </c>
      <c r="P68" s="13"/>
      <c r="Q68" s="98"/>
    </row>
    <row r="69" spans="2:20">
      <c r="F69">
        <f>F68/J47</f>
        <v>-0.39418132478590356</v>
      </c>
      <c r="P69" s="13"/>
      <c r="S69" s="70"/>
    </row>
    <row r="70" spans="2:20">
      <c r="F70">
        <v>2336.08</v>
      </c>
      <c r="L70" s="72"/>
      <c r="M70" s="72"/>
      <c r="N70" s="72"/>
      <c r="O70" s="72"/>
      <c r="P70" s="73"/>
    </row>
    <row r="71" spans="2:20">
      <c r="F71">
        <f>F70/'개요(전체)_발송'!E13*E13</f>
        <v>456.56766107926364</v>
      </c>
      <c r="G71" s="55"/>
      <c r="H71" s="51"/>
      <c r="I71" s="51" cm="1">
        <f t="array" ref="I71:J71">J50+'2획지'!J50:K50</f>
        <v>41483.8652</v>
      </c>
      <c r="J71" s="51">
        <v>8112.2227999999996</v>
      </c>
      <c r="L71" s="68"/>
      <c r="M71" s="67"/>
      <c r="N71" s="68"/>
      <c r="O71" s="68"/>
      <c r="P71" s="69"/>
    </row>
    <row r="72" spans="2:20">
      <c r="F72">
        <f>F70-F71</f>
        <v>1879.5123389207363</v>
      </c>
      <c r="G72" s="55">
        <f>F70-E34</f>
        <v>1828.6464000000001</v>
      </c>
      <c r="H72" s="51"/>
      <c r="I72" s="51"/>
      <c r="J72" s="51"/>
      <c r="L72" s="56"/>
      <c r="Q72" s="70"/>
    </row>
    <row r="73" spans="2:20">
      <c r="G73" s="55"/>
      <c r="H73" s="51"/>
      <c r="I73" s="51"/>
      <c r="J73" s="51"/>
      <c r="L73" s="56"/>
      <c r="N73" s="71"/>
    </row>
    <row r="74" spans="2:20">
      <c r="G74" s="55"/>
      <c r="H74" s="51"/>
      <c r="I74" s="51"/>
      <c r="J74" s="51"/>
      <c r="L74" s="56"/>
      <c r="N74" s="71"/>
    </row>
    <row r="75" spans="2:20">
      <c r="B75" s="88" t="s">
        <v>101</v>
      </c>
      <c r="C75" s="139">
        <f>C44+C47+C54</f>
        <v>284</v>
      </c>
      <c r="G75" s="55"/>
      <c r="H75" s="51"/>
      <c r="I75" s="51"/>
      <c r="J75" s="51"/>
      <c r="L75" s="56"/>
      <c r="N75" s="71"/>
    </row>
    <row r="76" spans="2:20">
      <c r="B76" s="88" t="s">
        <v>100</v>
      </c>
      <c r="C76" s="139">
        <f>C45+C48+C55</f>
        <v>25</v>
      </c>
      <c r="G76" s="55"/>
      <c r="H76" s="51"/>
      <c r="I76" s="51"/>
      <c r="J76" s="51"/>
      <c r="L76" s="56"/>
    </row>
    <row r="77" spans="2:20">
      <c r="B77" s="93" t="s">
        <v>113</v>
      </c>
      <c r="C77" s="139">
        <f>C49+C58</f>
        <v>210</v>
      </c>
      <c r="G77" s="55"/>
      <c r="H77" s="51"/>
      <c r="I77" s="51"/>
      <c r="J77" s="51"/>
      <c r="L77" s="56"/>
    </row>
    <row r="78" spans="2:20">
      <c r="B78" s="126" t="s">
        <v>118</v>
      </c>
      <c r="C78" s="139">
        <f>C59</f>
        <v>84</v>
      </c>
      <c r="D78" s="139">
        <f>SUM(C78:C82)</f>
        <v>300</v>
      </c>
      <c r="G78" s="55"/>
      <c r="H78" s="51"/>
      <c r="I78" s="51"/>
      <c r="J78" s="51"/>
      <c r="L78" s="56"/>
    </row>
    <row r="79" spans="2:20">
      <c r="B79" s="88" t="s">
        <v>133</v>
      </c>
      <c r="C79" s="139">
        <f>C60</f>
        <v>150</v>
      </c>
      <c r="G79" s="55"/>
      <c r="H79" s="51"/>
      <c r="I79" s="51"/>
      <c r="J79" s="51"/>
      <c r="L79" s="56"/>
    </row>
    <row r="80" spans="2:20">
      <c r="B80" s="88" t="s">
        <v>105</v>
      </c>
      <c r="C80" s="139">
        <f>C61</f>
        <v>66</v>
      </c>
      <c r="G80" s="55"/>
      <c r="H80" s="51"/>
      <c r="I80" s="51"/>
      <c r="J80" s="51"/>
      <c r="L80" s="56"/>
    </row>
    <row r="81" spans="2:12">
      <c r="B81" s="88" t="s">
        <v>116</v>
      </c>
      <c r="C81" s="13">
        <v>0</v>
      </c>
      <c r="G81" s="55"/>
      <c r="H81" s="51"/>
      <c r="I81" s="51"/>
      <c r="J81" s="51"/>
      <c r="L81" s="56"/>
    </row>
    <row r="82" spans="2:12">
      <c r="B82" s="93" t="s">
        <v>114</v>
      </c>
      <c r="C82" s="13">
        <v>0</v>
      </c>
      <c r="G82" s="55"/>
      <c r="H82" s="51"/>
      <c r="I82" s="51"/>
      <c r="J82" s="51"/>
      <c r="L82" s="56"/>
    </row>
    <row r="83" spans="2:12">
      <c r="B83" s="32" t="s">
        <v>68</v>
      </c>
      <c r="C83" s="139">
        <f>SUM(C75:C82)</f>
        <v>819</v>
      </c>
      <c r="G83" s="55"/>
      <c r="H83" s="51"/>
      <c r="I83" s="51"/>
      <c r="J83" s="51"/>
      <c r="L83" s="56"/>
    </row>
    <row r="84" spans="2:12">
      <c r="G84" s="55"/>
      <c r="H84" s="51"/>
      <c r="I84" s="51"/>
      <c r="J84" s="51"/>
      <c r="L84" s="56"/>
    </row>
    <row r="85" spans="2:12">
      <c r="G85" s="55"/>
      <c r="H85" s="51"/>
      <c r="I85" s="51"/>
      <c r="J85" s="51"/>
      <c r="L85" s="56"/>
    </row>
    <row r="86" spans="2:12">
      <c r="G86" s="55"/>
      <c r="H86" s="51"/>
      <c r="I86" s="51"/>
      <c r="J86" s="51"/>
      <c r="L86" s="56"/>
    </row>
    <row r="87" spans="2:12">
      <c r="G87" s="55"/>
      <c r="H87" s="51"/>
      <c r="I87" s="51"/>
      <c r="J87" s="51"/>
      <c r="L87" s="56"/>
    </row>
    <row r="88" spans="2:12">
      <c r="G88" s="55"/>
      <c r="H88" s="51"/>
      <c r="I88" s="51"/>
      <c r="J88" s="51"/>
      <c r="L88" s="56"/>
    </row>
    <row r="89" spans="2:12">
      <c r="G89" s="55"/>
      <c r="H89" s="51"/>
      <c r="I89" s="51"/>
      <c r="J89" s="51"/>
      <c r="L89" s="56"/>
    </row>
    <row r="90" spans="2:12">
      <c r="G90" s="55"/>
      <c r="H90" s="51"/>
      <c r="I90" s="51"/>
      <c r="J90" s="51"/>
      <c r="L90" s="56"/>
    </row>
    <row r="91" spans="2:12">
      <c r="G91" s="55"/>
      <c r="H91" s="51"/>
      <c r="I91" s="51"/>
      <c r="J91" s="51"/>
      <c r="L91" s="56"/>
    </row>
  </sheetData>
  <mergeCells count="197">
    <mergeCell ref="C58:D58"/>
    <mergeCell ref="C59:D59"/>
    <mergeCell ref="C60:D60"/>
    <mergeCell ref="C61:D61"/>
    <mergeCell ref="L20:L21"/>
    <mergeCell ref="M20:M21"/>
    <mergeCell ref="C65:D65"/>
    <mergeCell ref="J65:K65"/>
    <mergeCell ref="P65:Q65"/>
    <mergeCell ref="J48:K48"/>
    <mergeCell ref="P48:Q48"/>
    <mergeCell ref="C50:D50"/>
    <mergeCell ref="J50:K50"/>
    <mergeCell ref="P50:Q50"/>
    <mergeCell ref="J51:K51"/>
    <mergeCell ref="P51:Q51"/>
    <mergeCell ref="J56:K56"/>
    <mergeCell ref="P56:Q56"/>
    <mergeCell ref="J57:K57"/>
    <mergeCell ref="P57:Q57"/>
    <mergeCell ref="P53:Q53"/>
    <mergeCell ref="J54:K54"/>
    <mergeCell ref="P54:Q54"/>
    <mergeCell ref="J58:K58"/>
    <mergeCell ref="J66:L66"/>
    <mergeCell ref="P62:Q62"/>
    <mergeCell ref="J63:K63"/>
    <mergeCell ref="P63:Q63"/>
    <mergeCell ref="C64:D64"/>
    <mergeCell ref="J64:K64"/>
    <mergeCell ref="P64:Q64"/>
    <mergeCell ref="J61:K61"/>
    <mergeCell ref="P61:Q61"/>
    <mergeCell ref="J62:K62"/>
    <mergeCell ref="P58:Q58"/>
    <mergeCell ref="J59:K59"/>
    <mergeCell ref="P59:Q59"/>
    <mergeCell ref="J60:K60"/>
    <mergeCell ref="P60:Q60"/>
    <mergeCell ref="C48:D48"/>
    <mergeCell ref="J45:K45"/>
    <mergeCell ref="P45:Q45"/>
    <mergeCell ref="C46:D46"/>
    <mergeCell ref="J46:K46"/>
    <mergeCell ref="P46:Q46"/>
    <mergeCell ref="J47:K47"/>
    <mergeCell ref="P47:Q47"/>
    <mergeCell ref="J55:K55"/>
    <mergeCell ref="P55:Q55"/>
    <mergeCell ref="J52:K52"/>
    <mergeCell ref="P52:Q52"/>
    <mergeCell ref="J53:K53"/>
    <mergeCell ref="J49:K49"/>
    <mergeCell ref="P49:Q49"/>
    <mergeCell ref="C47:D47"/>
    <mergeCell ref="C49:D49"/>
    <mergeCell ref="C54:D54"/>
    <mergeCell ref="C55:D55"/>
    <mergeCell ref="M42:O42"/>
    <mergeCell ref="P42:Q43"/>
    <mergeCell ref="R42:R43"/>
    <mergeCell ref="S42:S43"/>
    <mergeCell ref="J44:K44"/>
    <mergeCell ref="P44:Q44"/>
    <mergeCell ref="B42:B43"/>
    <mergeCell ref="C42:D43"/>
    <mergeCell ref="E42:E43"/>
    <mergeCell ref="F42:F43"/>
    <mergeCell ref="G42:I42"/>
    <mergeCell ref="J42:K43"/>
    <mergeCell ref="C44:D44"/>
    <mergeCell ref="B37:D38"/>
    <mergeCell ref="E37:J38"/>
    <mergeCell ref="L37:M38"/>
    <mergeCell ref="N37:Q38"/>
    <mergeCell ref="R37:R38"/>
    <mergeCell ref="S37:S38"/>
    <mergeCell ref="B35:D36"/>
    <mergeCell ref="E35:H35"/>
    <mergeCell ref="I35:J35"/>
    <mergeCell ref="L35:M35"/>
    <mergeCell ref="E36:H36"/>
    <mergeCell ref="I36:J36"/>
    <mergeCell ref="L36:M36"/>
    <mergeCell ref="N36:Q36"/>
    <mergeCell ref="L22:M23"/>
    <mergeCell ref="B33:D33"/>
    <mergeCell ref="E33:F33"/>
    <mergeCell ref="G33:H33"/>
    <mergeCell ref="I33:J33"/>
    <mergeCell ref="L33:M33"/>
    <mergeCell ref="C30:D30"/>
    <mergeCell ref="E30:F30"/>
    <mergeCell ref="G30:H30"/>
    <mergeCell ref="L30:M30"/>
    <mergeCell ref="C31:D31"/>
    <mergeCell ref="E31:F31"/>
    <mergeCell ref="G31:H31"/>
    <mergeCell ref="L31:M31"/>
    <mergeCell ref="B32:D32"/>
    <mergeCell ref="E32:H32"/>
    <mergeCell ref="I32:J32"/>
    <mergeCell ref="L32:M32"/>
    <mergeCell ref="C28:D29"/>
    <mergeCell ref="E28:F28"/>
    <mergeCell ref="G28:H28"/>
    <mergeCell ref="L28:M28"/>
    <mergeCell ref="E29:F29"/>
    <mergeCell ref="G29:H29"/>
    <mergeCell ref="L29:M29"/>
    <mergeCell ref="B24:B31"/>
    <mergeCell ref="C24:D26"/>
    <mergeCell ref="G24:H26"/>
    <mergeCell ref="L24:M24"/>
    <mergeCell ref="N24:P24"/>
    <mergeCell ref="N20:P20"/>
    <mergeCell ref="B21:D21"/>
    <mergeCell ref="I21:J21"/>
    <mergeCell ref="N21:P21"/>
    <mergeCell ref="B22:D22"/>
    <mergeCell ref="I22:J22"/>
    <mergeCell ref="N22:P22"/>
    <mergeCell ref="I25:I26"/>
    <mergeCell ref="L25:M25"/>
    <mergeCell ref="N25:Q25"/>
    <mergeCell ref="L26:M26"/>
    <mergeCell ref="C27:D27"/>
    <mergeCell ref="E27:F27"/>
    <mergeCell ref="G27:H27"/>
    <mergeCell ref="L27:M27"/>
    <mergeCell ref="C23:D23"/>
    <mergeCell ref="E23:F23"/>
    <mergeCell ref="G23:H23"/>
    <mergeCell ref="N23:P23"/>
    <mergeCell ref="B9:D9"/>
    <mergeCell ref="E9:H9"/>
    <mergeCell ref="I9:J9"/>
    <mergeCell ref="B15:D15"/>
    <mergeCell ref="I15:J15"/>
    <mergeCell ref="N15:P15"/>
    <mergeCell ref="B11:B12"/>
    <mergeCell ref="G11:H12"/>
    <mergeCell ref="B13:D13"/>
    <mergeCell ref="G13:H13"/>
    <mergeCell ref="I13:J13"/>
    <mergeCell ref="N13:P13"/>
    <mergeCell ref="G18:H18"/>
    <mergeCell ref="I18:J18"/>
    <mergeCell ref="N18:P18"/>
    <mergeCell ref="B19:D19"/>
    <mergeCell ref="I19:J19"/>
    <mergeCell ref="N19:P19"/>
    <mergeCell ref="B20:D20"/>
    <mergeCell ref="I20:J20"/>
    <mergeCell ref="B16:B18"/>
    <mergeCell ref="C16:D16"/>
    <mergeCell ref="G16:H16"/>
    <mergeCell ref="I16:J16"/>
    <mergeCell ref="N16:P16"/>
    <mergeCell ref="C17:D17"/>
    <mergeCell ref="G17:H17"/>
    <mergeCell ref="I17:J17"/>
    <mergeCell ref="N17:P17"/>
    <mergeCell ref="C18:D18"/>
    <mergeCell ref="B5:D5"/>
    <mergeCell ref="E5:H5"/>
    <mergeCell ref="L5:M5"/>
    <mergeCell ref="N5:Q5"/>
    <mergeCell ref="B6:D6"/>
    <mergeCell ref="E6:H6"/>
    <mergeCell ref="I6:J6"/>
    <mergeCell ref="L6:M6"/>
    <mergeCell ref="N6:P6"/>
    <mergeCell ref="L34:M34"/>
    <mergeCell ref="N34:Q34"/>
    <mergeCell ref="C45:D45"/>
    <mergeCell ref="B7:D7"/>
    <mergeCell ref="E7:H7"/>
    <mergeCell ref="I7:J7"/>
    <mergeCell ref="L7:M7"/>
    <mergeCell ref="N7:P7"/>
    <mergeCell ref="B8:D8"/>
    <mergeCell ref="E8:H8"/>
    <mergeCell ref="I8:J8"/>
    <mergeCell ref="L8:M8"/>
    <mergeCell ref="N8:P8"/>
    <mergeCell ref="L9:M9"/>
    <mergeCell ref="N9:P9"/>
    <mergeCell ref="B10:D10"/>
    <mergeCell ref="G10:H10"/>
    <mergeCell ref="I10:J10"/>
    <mergeCell ref="L10:M10"/>
    <mergeCell ref="N10:P10"/>
    <mergeCell ref="B14:D14"/>
    <mergeCell ref="I14:J14"/>
    <mergeCell ref="N14:P14"/>
    <mergeCell ref="E34:F34"/>
  </mergeCells>
  <phoneticPr fontId="1" type="noConversion"/>
  <pageMargins left="0.70866141732283472" right="0.70866141732283472" top="0.74803149606299213" bottom="0.74803149606299213" header="0.31496062992125984" footer="0.31496062992125984"/>
  <pageSetup paperSize="8" scale="6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89F4A-1995-4C41-9D34-045D8C37BDB1}">
  <sheetPr>
    <tabColor theme="9" tint="-0.249977111117893"/>
    <pageSetUpPr fitToPage="1"/>
  </sheetPr>
  <dimension ref="A2:U91"/>
  <sheetViews>
    <sheetView showGridLines="0" view="pageBreakPreview" topLeftCell="A14" zoomScaleNormal="70" zoomScaleSheetLayoutView="100" workbookViewId="0">
      <selection activeCell="F61" sqref="F61"/>
    </sheetView>
  </sheetViews>
  <sheetFormatPr defaultRowHeight="16.5"/>
  <cols>
    <col min="1" max="1" width="10.25" style="13" bestFit="1" customWidth="1"/>
    <col min="2" max="2" width="12.625" style="13" customWidth="1"/>
    <col min="3" max="3" width="14.625" style="13" customWidth="1"/>
    <col min="4" max="4" width="10.5" style="13" customWidth="1"/>
    <col min="5" max="5" width="21.375" customWidth="1"/>
    <col min="6" max="6" width="16.375" customWidth="1"/>
    <col min="7" max="9" width="12.625" customWidth="1"/>
    <col min="10" max="10" width="14.125" customWidth="1"/>
    <col min="11" max="11" width="6.25" customWidth="1"/>
    <col min="12" max="12" width="18.625" customWidth="1"/>
    <col min="13" max="13" width="15.25" customWidth="1"/>
    <col min="14" max="15" width="12.625" customWidth="1"/>
    <col min="16" max="16" width="18.375" customWidth="1"/>
    <col min="17" max="17" width="17.875" style="13" customWidth="1"/>
    <col min="18" max="18" width="15.75" style="13" customWidth="1"/>
    <col min="19" max="19" width="15.625" style="13" customWidth="1"/>
    <col min="20" max="20" width="11" bestFit="1" customWidth="1"/>
  </cols>
  <sheetData>
    <row r="2" spans="2:20" ht="45" customHeight="1">
      <c r="B2" s="138" t="s">
        <v>145</v>
      </c>
    </row>
    <row r="3" spans="2:20" ht="30" customHeight="1">
      <c r="B3" s="3" t="s">
        <v>115</v>
      </c>
      <c r="C3" s="1"/>
      <c r="D3" s="1"/>
      <c r="L3" s="3" t="s">
        <v>1</v>
      </c>
    </row>
    <row r="4" spans="2:20" ht="5.25" customHeight="1" thickBot="1"/>
    <row r="5" spans="2:20" ht="39.950000000000003" customHeight="1" thickBot="1">
      <c r="B5" s="443" t="s">
        <v>69</v>
      </c>
      <c r="C5" s="443"/>
      <c r="D5" s="444"/>
      <c r="E5" s="445" t="s">
        <v>129</v>
      </c>
      <c r="F5" s="443"/>
      <c r="G5" s="443"/>
      <c r="H5" s="443"/>
      <c r="I5" s="33"/>
      <c r="J5" s="33"/>
      <c r="K5" s="35"/>
      <c r="L5" s="444" t="s">
        <v>2</v>
      </c>
      <c r="M5" s="446"/>
      <c r="N5" s="446" t="s">
        <v>3</v>
      </c>
      <c r="O5" s="446"/>
      <c r="P5" s="446"/>
      <c r="Q5" s="446"/>
      <c r="R5" s="48" t="s">
        <v>4</v>
      </c>
      <c r="S5" s="34" t="s">
        <v>5</v>
      </c>
    </row>
    <row r="6" spans="2:20" ht="20.100000000000001" customHeight="1">
      <c r="B6" s="447" t="s">
        <v>70</v>
      </c>
      <c r="C6" s="447"/>
      <c r="D6" s="448"/>
      <c r="E6" s="449" t="s">
        <v>108</v>
      </c>
      <c r="F6" s="450"/>
      <c r="G6" s="450"/>
      <c r="H6" s="451"/>
      <c r="I6" s="452"/>
      <c r="J6" s="453"/>
      <c r="L6" s="447" t="s">
        <v>6</v>
      </c>
      <c r="M6" s="448"/>
      <c r="N6" s="454" t="s">
        <v>71</v>
      </c>
      <c r="O6" s="455"/>
      <c r="P6" s="456"/>
      <c r="Q6" s="5" t="s">
        <v>72</v>
      </c>
      <c r="R6" s="5" t="s">
        <v>112</v>
      </c>
      <c r="S6" s="47"/>
    </row>
    <row r="7" spans="2:20" ht="20.100000000000001" customHeight="1">
      <c r="B7" s="276" t="s">
        <v>73</v>
      </c>
      <c r="C7" s="276"/>
      <c r="D7" s="277"/>
      <c r="E7" s="457" t="s">
        <v>109</v>
      </c>
      <c r="F7" s="433"/>
      <c r="G7" s="433"/>
      <c r="H7" s="434"/>
      <c r="I7" s="383"/>
      <c r="J7" s="384"/>
      <c r="L7" s="276" t="s">
        <v>7</v>
      </c>
      <c r="M7" s="277"/>
      <c r="N7" s="278" t="s">
        <v>8</v>
      </c>
      <c r="O7" s="279"/>
      <c r="P7" s="280"/>
      <c r="Q7" s="46" t="s">
        <v>9</v>
      </c>
      <c r="R7" s="66" t="s">
        <v>74</v>
      </c>
      <c r="S7" s="43"/>
    </row>
    <row r="8" spans="2:20" ht="20.100000000000001" customHeight="1">
      <c r="B8" s="276" t="s">
        <v>75</v>
      </c>
      <c r="C8" s="276"/>
      <c r="D8" s="277"/>
      <c r="E8" s="392" t="s">
        <v>76</v>
      </c>
      <c r="F8" s="393"/>
      <c r="G8" s="393"/>
      <c r="H8" s="458"/>
      <c r="I8" s="383"/>
      <c r="J8" s="384"/>
      <c r="L8" s="276" t="s">
        <v>10</v>
      </c>
      <c r="M8" s="277"/>
      <c r="N8" s="278" t="s">
        <v>126</v>
      </c>
      <c r="O8" s="279"/>
      <c r="P8" s="280"/>
      <c r="Q8" s="6">
        <f>10+(C65-50)*0.05</f>
        <v>170.60000000000002</v>
      </c>
      <c r="R8" s="63">
        <v>313.13</v>
      </c>
      <c r="S8" s="47" t="s">
        <v>77</v>
      </c>
    </row>
    <row r="9" spans="2:20" ht="20.100000000000001" customHeight="1">
      <c r="B9" s="276" t="s">
        <v>78</v>
      </c>
      <c r="C9" s="276"/>
      <c r="D9" s="277"/>
      <c r="E9" s="432" t="s">
        <v>110</v>
      </c>
      <c r="F9" s="433"/>
      <c r="G9" s="433"/>
      <c r="H9" s="434"/>
      <c r="I9" s="383"/>
      <c r="J9" s="384"/>
      <c r="L9" s="276" t="s">
        <v>221</v>
      </c>
      <c r="M9" s="277"/>
      <c r="N9" s="417" t="s">
        <v>87</v>
      </c>
      <c r="O9" s="418"/>
      <c r="P9" s="419"/>
      <c r="Q9" s="7" t="s">
        <v>127</v>
      </c>
      <c r="R9" s="65"/>
      <c r="S9" s="43" t="s">
        <v>121</v>
      </c>
    </row>
    <row r="10" spans="2:20" ht="20.100000000000001" customHeight="1">
      <c r="B10" s="276" t="s">
        <v>11</v>
      </c>
      <c r="C10" s="276"/>
      <c r="D10" s="277"/>
      <c r="E10" s="58"/>
      <c r="F10" s="24"/>
      <c r="G10" s="439"/>
      <c r="H10" s="440"/>
      <c r="I10" s="459"/>
      <c r="J10" s="460"/>
      <c r="L10" s="276" t="s">
        <v>12</v>
      </c>
      <c r="M10" s="277"/>
      <c r="N10" s="278" t="s">
        <v>102</v>
      </c>
      <c r="O10" s="279"/>
      <c r="P10" s="280"/>
      <c r="Q10" s="54">
        <f>(500+(C65*2))*1.25</f>
        <v>8780</v>
      </c>
      <c r="R10" s="61">
        <f>SUM(R13:R21)</f>
        <v>15053.2767</v>
      </c>
      <c r="S10" s="47"/>
      <c r="T10">
        <f>R10/C65</f>
        <v>4.6147384120171671</v>
      </c>
    </row>
    <row r="11" spans="2:20" ht="20.100000000000001" customHeight="1">
      <c r="B11" s="358" t="s">
        <v>111</v>
      </c>
      <c r="C11" s="30" t="s">
        <v>137</v>
      </c>
      <c r="D11" s="30"/>
      <c r="E11" s="58"/>
      <c r="F11" s="24"/>
      <c r="G11" s="435"/>
      <c r="H11" s="436"/>
      <c r="I11" s="107"/>
      <c r="J11" s="108"/>
      <c r="L11" s="105"/>
      <c r="M11" s="106"/>
      <c r="N11" s="40"/>
      <c r="O11" s="41"/>
      <c r="P11" s="42"/>
      <c r="Q11" s="54"/>
      <c r="R11" s="61"/>
      <c r="S11" s="47"/>
      <c r="T11">
        <f>T10*0.3025</f>
        <v>1.3959583696351929</v>
      </c>
    </row>
    <row r="12" spans="2:20" ht="20.100000000000001" customHeight="1">
      <c r="B12" s="374"/>
      <c r="C12" s="30" t="s">
        <v>142</v>
      </c>
      <c r="D12" s="30"/>
      <c r="E12" s="58"/>
      <c r="F12" s="24"/>
      <c r="G12" s="437"/>
      <c r="H12" s="438"/>
      <c r="I12" s="107"/>
      <c r="J12" s="108"/>
      <c r="L12" s="105"/>
      <c r="M12" s="106"/>
      <c r="N12" s="40"/>
      <c r="O12" s="41"/>
      <c r="P12" s="42"/>
      <c r="Q12" s="54"/>
      <c r="R12" s="61"/>
      <c r="S12" s="47"/>
    </row>
    <row r="13" spans="2:20" ht="20.100000000000001" customHeight="1">
      <c r="B13" s="276" t="s">
        <v>143</v>
      </c>
      <c r="C13" s="276"/>
      <c r="D13" s="277"/>
      <c r="E13" s="109">
        <v>133051.4</v>
      </c>
      <c r="F13" s="24"/>
      <c r="G13" s="439">
        <f>E13*0.3025</f>
        <v>40248.048499999997</v>
      </c>
      <c r="H13" s="440"/>
      <c r="I13" s="467"/>
      <c r="J13" s="468"/>
      <c r="L13" s="30">
        <v>1</v>
      </c>
      <c r="M13" s="31" t="s">
        <v>13</v>
      </c>
      <c r="N13" s="278" t="s">
        <v>132</v>
      </c>
      <c r="O13" s="279"/>
      <c r="P13" s="280"/>
      <c r="Q13" s="57">
        <f>725+(C65-2000)*0.2</f>
        <v>977.4</v>
      </c>
      <c r="R13" s="62">
        <v>1058.4072000000001</v>
      </c>
      <c r="S13" s="47"/>
      <c r="T13" s="131">
        <f>R13+R8+R15+R17+R18+R19+R20+R21+R24</f>
        <v>11444.3667</v>
      </c>
    </row>
    <row r="14" spans="2:20" ht="20.100000000000001" customHeight="1">
      <c r="B14" s="276" t="s">
        <v>79</v>
      </c>
      <c r="C14" s="276"/>
      <c r="D14" s="277"/>
      <c r="E14" s="59">
        <v>29250.800500000001</v>
      </c>
      <c r="F14" s="9"/>
      <c r="G14" s="9"/>
      <c r="H14" s="10"/>
      <c r="I14" s="410"/>
      <c r="J14" s="422"/>
      <c r="L14" s="30">
        <v>2</v>
      </c>
      <c r="M14" s="31" t="s">
        <v>14</v>
      </c>
      <c r="N14" s="417" t="s">
        <v>122</v>
      </c>
      <c r="O14" s="418"/>
      <c r="P14" s="419"/>
      <c r="Q14" s="57">
        <f>500+C65*0.7</f>
        <v>2783.3999999999996</v>
      </c>
      <c r="R14" s="63">
        <v>2806.04</v>
      </c>
      <c r="S14" s="47"/>
      <c r="T14">
        <f>T13/C65</f>
        <v>3.5083895462906196</v>
      </c>
    </row>
    <row r="15" spans="2:20" ht="20.100000000000001" customHeight="1">
      <c r="B15" s="276" t="s">
        <v>15</v>
      </c>
      <c r="C15" s="276"/>
      <c r="D15" s="277"/>
      <c r="E15" s="19">
        <f>E14/E13</f>
        <v>0.21984586783754251</v>
      </c>
      <c r="F15" s="11"/>
      <c r="G15" s="11"/>
      <c r="H15" s="12"/>
      <c r="I15" s="423"/>
      <c r="J15" s="424"/>
      <c r="L15" s="30">
        <v>3</v>
      </c>
      <c r="M15" s="31" t="s">
        <v>16</v>
      </c>
      <c r="N15" s="278" t="s">
        <v>132</v>
      </c>
      <c r="O15" s="279"/>
      <c r="P15" s="280"/>
      <c r="Q15" s="57">
        <f>725+(C65-2000)*0.2</f>
        <v>977.4</v>
      </c>
      <c r="R15" s="64">
        <v>1188</v>
      </c>
      <c r="S15" s="43"/>
    </row>
    <row r="16" spans="2:20" ht="18.75" customHeight="1">
      <c r="B16" s="358" t="s">
        <v>17</v>
      </c>
      <c r="C16" s="395" t="s">
        <v>18</v>
      </c>
      <c r="D16" s="277"/>
      <c r="E16" s="59">
        <f>J65+R13+R8+R15+R17+R19+R24+R18+R22+R20</f>
        <v>398973.83589999995</v>
      </c>
      <c r="F16" s="9"/>
      <c r="G16" s="425">
        <f>E16*0.3025</f>
        <v>120689.58535974998</v>
      </c>
      <c r="H16" s="426"/>
      <c r="I16" s="410"/>
      <c r="J16" s="422"/>
      <c r="L16" s="30">
        <v>4</v>
      </c>
      <c r="M16" s="31" t="s">
        <v>19</v>
      </c>
      <c r="N16" s="417" t="s">
        <v>134</v>
      </c>
      <c r="O16" s="418"/>
      <c r="P16" s="419"/>
      <c r="Q16" s="57" t="s">
        <v>80</v>
      </c>
      <c r="R16" s="64">
        <v>1200</v>
      </c>
      <c r="S16" s="47" t="s">
        <v>195</v>
      </c>
    </row>
    <row r="17" spans="1:21" ht="20.100000000000001" customHeight="1">
      <c r="B17" s="407"/>
      <c r="C17" s="395" t="s">
        <v>20</v>
      </c>
      <c r="D17" s="277"/>
      <c r="E17" s="59">
        <f>R21+N65+P65+R23</f>
        <v>289939.79359999998</v>
      </c>
      <c r="F17" s="9"/>
      <c r="G17" s="425">
        <f>E17*0.3025</f>
        <v>87706.787563999984</v>
      </c>
      <c r="H17" s="426"/>
      <c r="I17" s="410"/>
      <c r="J17" s="422"/>
      <c r="L17" s="30">
        <v>5</v>
      </c>
      <c r="M17" s="31" t="s">
        <v>21</v>
      </c>
      <c r="N17" s="278" t="s">
        <v>132</v>
      </c>
      <c r="O17" s="279"/>
      <c r="P17" s="280"/>
      <c r="Q17" s="57">
        <f>298+(C65-2000)*0.1</f>
        <v>424.2</v>
      </c>
      <c r="R17" s="64">
        <v>630.67999999999995</v>
      </c>
      <c r="S17" s="43"/>
      <c r="U17" s="131"/>
    </row>
    <row r="18" spans="1:21" ht="20.100000000000001" customHeight="1">
      <c r="B18" s="407"/>
      <c r="C18" s="395" t="s">
        <v>22</v>
      </c>
      <c r="D18" s="277"/>
      <c r="E18" s="60">
        <f>E16+E17</f>
        <v>688913.62949999992</v>
      </c>
      <c r="F18" s="25"/>
      <c r="G18" s="420">
        <f>E18*0.3025</f>
        <v>208396.37292374996</v>
      </c>
      <c r="H18" s="421"/>
      <c r="I18" s="410"/>
      <c r="J18" s="422"/>
      <c r="L18" s="102">
        <v>6</v>
      </c>
      <c r="M18" s="103" t="s">
        <v>106</v>
      </c>
      <c r="N18" s="417" t="s">
        <v>123</v>
      </c>
      <c r="O18" s="418"/>
      <c r="P18" s="419"/>
      <c r="Q18" s="57">
        <v>66</v>
      </c>
      <c r="R18" s="64">
        <f>534.2964+657.6831-R19</f>
        <v>741.97949999999992</v>
      </c>
      <c r="S18" s="43"/>
      <c r="U18" s="131"/>
    </row>
    <row r="19" spans="1:21" ht="20.100000000000001" customHeight="1">
      <c r="B19" s="276" t="s">
        <v>81</v>
      </c>
      <c r="C19" s="276"/>
      <c r="D19" s="277"/>
      <c r="E19" s="60">
        <f>E16</f>
        <v>398973.83589999995</v>
      </c>
      <c r="F19" s="25"/>
      <c r="G19" s="25"/>
      <c r="H19" s="26"/>
      <c r="I19" s="383"/>
      <c r="J19" s="384"/>
      <c r="L19" s="102">
        <v>7</v>
      </c>
      <c r="M19" s="103" t="s">
        <v>166</v>
      </c>
      <c r="N19" s="278" t="s">
        <v>127</v>
      </c>
      <c r="O19" s="279"/>
      <c r="P19" s="280"/>
      <c r="Q19" s="57" t="s">
        <v>127</v>
      </c>
      <c r="R19" s="64">
        <v>450</v>
      </c>
      <c r="S19" s="43"/>
      <c r="U19" t="s">
        <v>198</v>
      </c>
    </row>
    <row r="20" spans="1:21" ht="20.100000000000001" customHeight="1">
      <c r="A20" s="13">
        <f>(299.99%-E20)*E13</f>
        <v>167.0589600000383</v>
      </c>
      <c r="B20" s="276" t="s">
        <v>83</v>
      </c>
      <c r="C20" s="276"/>
      <c r="D20" s="277"/>
      <c r="E20" s="22">
        <f>E19/E13</f>
        <v>2.9986444028398047</v>
      </c>
      <c r="F20" s="14"/>
      <c r="G20" s="14"/>
      <c r="H20" s="15"/>
      <c r="I20" s="423" t="s">
        <v>84</v>
      </c>
      <c r="J20" s="424"/>
      <c r="L20" s="430">
        <v>8</v>
      </c>
      <c r="M20" s="428" t="s">
        <v>165</v>
      </c>
      <c r="N20" s="278" t="s">
        <v>199</v>
      </c>
      <c r="O20" s="279"/>
      <c r="P20" s="280"/>
      <c r="Q20" s="57" t="s">
        <v>127</v>
      </c>
      <c r="R20" s="64">
        <v>978.17</v>
      </c>
      <c r="S20" s="43"/>
      <c r="U20" s="75">
        <f>R20</f>
        <v>978.17</v>
      </c>
    </row>
    <row r="21" spans="1:21" ht="20.100000000000001" customHeight="1">
      <c r="B21" s="276" t="s">
        <v>85</v>
      </c>
      <c r="C21" s="276"/>
      <c r="D21" s="277"/>
      <c r="E21" s="16"/>
      <c r="F21" s="17"/>
      <c r="G21" s="17"/>
      <c r="H21" s="18"/>
      <c r="I21" s="383"/>
      <c r="J21" s="384"/>
      <c r="L21" s="431"/>
      <c r="M21" s="429"/>
      <c r="N21" s="40" t="s">
        <v>188</v>
      </c>
      <c r="O21" s="41"/>
      <c r="P21" s="42"/>
      <c r="Q21" s="36" t="s">
        <v>127</v>
      </c>
      <c r="R21" s="64">
        <v>6000</v>
      </c>
      <c r="S21" s="43" t="s">
        <v>82</v>
      </c>
    </row>
    <row r="22" spans="1:21" ht="20.100000000000001" customHeight="1">
      <c r="B22" s="276" t="s">
        <v>86</v>
      </c>
      <c r="C22" s="276"/>
      <c r="D22" s="277"/>
      <c r="E22" s="116"/>
      <c r="F22" s="17"/>
      <c r="G22" s="17"/>
      <c r="H22" s="18"/>
      <c r="I22" s="383"/>
      <c r="J22" s="384"/>
      <c r="L22" s="357" t="s">
        <v>23</v>
      </c>
      <c r="M22" s="358"/>
      <c r="N22" s="412"/>
      <c r="O22" s="413"/>
      <c r="P22" s="414"/>
      <c r="Q22" s="132" t="s">
        <v>222</v>
      </c>
      <c r="R22" s="63">
        <f>'개요(전체)_발송'!G96+'개요(전체)_발송'!G105</f>
        <v>3389.36</v>
      </c>
      <c r="S22" s="47" t="s">
        <v>224</v>
      </c>
    </row>
    <row r="23" spans="1:21" ht="20.100000000000001" customHeight="1">
      <c r="B23" s="52"/>
      <c r="C23" s="395" t="s">
        <v>25</v>
      </c>
      <c r="D23" s="277"/>
      <c r="E23" s="416" t="s">
        <v>26</v>
      </c>
      <c r="F23" s="416"/>
      <c r="G23" s="416" t="s">
        <v>23</v>
      </c>
      <c r="H23" s="416"/>
      <c r="I23" s="44" t="s">
        <v>27</v>
      </c>
      <c r="J23" s="27" t="s">
        <v>28</v>
      </c>
      <c r="L23" s="373"/>
      <c r="M23" s="374"/>
      <c r="N23" s="417"/>
      <c r="O23" s="418"/>
      <c r="P23" s="419"/>
      <c r="Q23" s="7" t="s">
        <v>223</v>
      </c>
      <c r="R23" s="63">
        <f>'개요(전체)_발송'!G98+'개요(전체)_발송'!G107</f>
        <v>1613.6936000000001</v>
      </c>
      <c r="S23" s="43" t="s">
        <v>225</v>
      </c>
    </row>
    <row r="24" spans="1:21" ht="20.100000000000001" customHeight="1">
      <c r="B24" s="357" t="s">
        <v>24</v>
      </c>
      <c r="C24" s="398" t="s">
        <v>32</v>
      </c>
      <c r="D24" s="358"/>
      <c r="E24" s="20" t="s">
        <v>88</v>
      </c>
      <c r="F24" s="37">
        <f>(C47+C54+C44)*0.8</f>
        <v>744</v>
      </c>
      <c r="G24" s="365" t="s">
        <v>90</v>
      </c>
      <c r="H24" s="367"/>
      <c r="I24" s="44"/>
      <c r="J24" s="43"/>
      <c r="L24" s="276" t="s">
        <v>67</v>
      </c>
      <c r="M24" s="277"/>
      <c r="N24" s="278" t="s">
        <v>125</v>
      </c>
      <c r="O24" s="279"/>
      <c r="P24" s="280"/>
      <c r="Q24" s="132" t="s">
        <v>127</v>
      </c>
      <c r="R24" s="63">
        <v>84</v>
      </c>
      <c r="S24" s="43"/>
    </row>
    <row r="25" spans="1:21" ht="20.100000000000001" customHeight="1">
      <c r="B25" s="405"/>
      <c r="C25" s="406"/>
      <c r="D25" s="407"/>
      <c r="E25" s="20" t="s">
        <v>89</v>
      </c>
      <c r="F25" s="37">
        <f>SUMPRODUCT(C55:C58,F55:F58)/75+C48*F48/75+C45*F45/75+C49*F49/75</f>
        <v>1262.8525333333337</v>
      </c>
      <c r="G25" s="408"/>
      <c r="H25" s="409"/>
      <c r="I25" s="415"/>
      <c r="J25" s="43"/>
      <c r="L25" s="276" t="s">
        <v>29</v>
      </c>
      <c r="M25" s="277"/>
      <c r="N25" s="278" t="s">
        <v>30</v>
      </c>
      <c r="O25" s="279"/>
      <c r="P25" s="279"/>
      <c r="Q25" s="280"/>
      <c r="R25" s="46" t="s">
        <v>31</v>
      </c>
      <c r="S25" s="43"/>
    </row>
    <row r="26" spans="1:21" ht="20.100000000000001" customHeight="1">
      <c r="B26" s="405"/>
      <c r="C26" s="399"/>
      <c r="D26" s="374"/>
      <c r="E26" s="21" t="s">
        <v>91</v>
      </c>
      <c r="F26" s="37">
        <f>SUMPRODUCT(C59:C63,F59:F63)/65</f>
        <v>2142.0798461538461</v>
      </c>
      <c r="G26" s="410"/>
      <c r="H26" s="411"/>
      <c r="I26" s="415"/>
      <c r="J26" s="43"/>
      <c r="L26" s="276" t="s">
        <v>33</v>
      </c>
      <c r="M26" s="277"/>
      <c r="N26" s="40" t="s">
        <v>34</v>
      </c>
      <c r="O26" s="41"/>
      <c r="P26" s="41"/>
      <c r="Q26" s="42"/>
      <c r="R26" s="46" t="s">
        <v>31</v>
      </c>
      <c r="S26" s="43"/>
    </row>
    <row r="27" spans="1:21" ht="20.100000000000001" customHeight="1">
      <c r="B27" s="405"/>
      <c r="C27" s="395" t="s">
        <v>38</v>
      </c>
      <c r="D27" s="277"/>
      <c r="E27" s="469">
        <f>F24+F25+F26</f>
        <v>4148.9323794871798</v>
      </c>
      <c r="F27" s="469"/>
      <c r="G27" s="469">
        <f>R22/134</f>
        <v>25.293731343283582</v>
      </c>
      <c r="H27" s="469"/>
      <c r="I27" s="28">
        <f>SUM(E27:H27)</f>
        <v>4174.2261108304638</v>
      </c>
      <c r="J27" s="43"/>
      <c r="L27" s="276" t="s">
        <v>35</v>
      </c>
      <c r="M27" s="277"/>
      <c r="N27" s="40" t="s">
        <v>36</v>
      </c>
      <c r="O27" s="41"/>
      <c r="P27" s="41"/>
      <c r="Q27" s="42"/>
      <c r="R27" s="46" t="s">
        <v>37</v>
      </c>
      <c r="S27" s="43"/>
    </row>
    <row r="28" spans="1:21" ht="20.100000000000001" customHeight="1">
      <c r="B28" s="405"/>
      <c r="C28" s="398" t="s">
        <v>4</v>
      </c>
      <c r="D28" s="358"/>
      <c r="E28" s="400">
        <f>SUM(E30:F31)</f>
        <v>6524</v>
      </c>
      <c r="F28" s="400"/>
      <c r="G28" s="400">
        <f>G30+G31</f>
        <v>33</v>
      </c>
      <c r="H28" s="400"/>
      <c r="I28" s="28">
        <f>SUM(E28:H28)</f>
        <v>6557</v>
      </c>
      <c r="J28" s="2">
        <f>J31+J30</f>
        <v>1</v>
      </c>
      <c r="L28" s="276" t="s">
        <v>39</v>
      </c>
      <c r="M28" s="277"/>
      <c r="N28" s="40" t="s">
        <v>40</v>
      </c>
      <c r="O28" s="41"/>
      <c r="P28" s="41"/>
      <c r="Q28" s="42"/>
      <c r="R28" s="46" t="s">
        <v>31</v>
      </c>
      <c r="S28" s="43"/>
    </row>
    <row r="29" spans="1:21" ht="20.100000000000001" customHeight="1">
      <c r="B29" s="405"/>
      <c r="C29" s="399"/>
      <c r="D29" s="374"/>
      <c r="E29" s="401">
        <f>E28/C65</f>
        <v>2</v>
      </c>
      <c r="F29" s="402"/>
      <c r="G29" s="403">
        <f>G28/G27</f>
        <v>1.3046710883470625</v>
      </c>
      <c r="H29" s="404"/>
      <c r="I29" s="29"/>
      <c r="J29" s="2"/>
      <c r="L29" s="276" t="s">
        <v>41</v>
      </c>
      <c r="M29" s="277"/>
      <c r="N29" s="40" t="s">
        <v>42</v>
      </c>
      <c r="O29" s="41"/>
      <c r="P29" s="41"/>
      <c r="Q29" s="42"/>
      <c r="R29" s="46" t="s">
        <v>31</v>
      </c>
      <c r="S29" s="43"/>
    </row>
    <row r="30" spans="1:21" ht="20.100000000000001" customHeight="1">
      <c r="B30" s="405"/>
      <c r="C30" s="395" t="s">
        <v>43</v>
      </c>
      <c r="D30" s="277"/>
      <c r="E30" s="394"/>
      <c r="F30" s="394"/>
      <c r="G30" s="394"/>
      <c r="H30" s="394"/>
      <c r="I30" s="45"/>
      <c r="J30" s="2"/>
      <c r="L30" s="276" t="s">
        <v>44</v>
      </c>
      <c r="M30" s="277"/>
      <c r="N30" s="40" t="s">
        <v>92</v>
      </c>
      <c r="O30" s="41"/>
      <c r="P30" s="41"/>
      <c r="Q30" s="42"/>
      <c r="R30" s="46" t="s">
        <v>31</v>
      </c>
      <c r="S30" s="43"/>
    </row>
    <row r="31" spans="1:21" ht="20.100000000000001" customHeight="1">
      <c r="B31" s="373"/>
      <c r="C31" s="395" t="s">
        <v>45</v>
      </c>
      <c r="D31" s="277"/>
      <c r="E31" s="396">
        <f>C65*2</f>
        <v>6524</v>
      </c>
      <c r="F31" s="397"/>
      <c r="G31" s="394">
        <f>'개요(전체)_발송'!J100+'개요(전체)_발송'!J109</f>
        <v>33</v>
      </c>
      <c r="H31" s="394"/>
      <c r="I31" s="45">
        <f>SUM(E31:H31)</f>
        <v>6557</v>
      </c>
      <c r="J31" s="2">
        <f>I31/I28</f>
        <v>1</v>
      </c>
      <c r="L31" s="276" t="s">
        <v>46</v>
      </c>
      <c r="M31" s="277"/>
      <c r="N31" s="40" t="s">
        <v>47</v>
      </c>
      <c r="O31" s="41"/>
      <c r="P31" s="41"/>
      <c r="Q31" s="42"/>
      <c r="R31" s="46" t="s">
        <v>31</v>
      </c>
      <c r="S31" s="43"/>
    </row>
    <row r="32" spans="1:21" ht="20.100000000000001" customHeight="1">
      <c r="B32" s="276" t="s">
        <v>93</v>
      </c>
      <c r="C32" s="276"/>
      <c r="D32" s="277"/>
      <c r="E32" s="383" t="s">
        <v>48</v>
      </c>
      <c r="F32" s="384"/>
      <c r="G32" s="384"/>
      <c r="H32" s="385"/>
      <c r="I32" s="386"/>
      <c r="J32" s="387"/>
      <c r="L32" s="276" t="s">
        <v>49</v>
      </c>
      <c r="M32" s="277"/>
      <c r="N32" s="40" t="s">
        <v>50</v>
      </c>
      <c r="O32" s="41"/>
      <c r="P32" s="41"/>
      <c r="Q32" s="42"/>
      <c r="R32" s="46" t="s">
        <v>31</v>
      </c>
      <c r="S32" s="43"/>
    </row>
    <row r="33" spans="2:19" ht="20.100000000000001" customHeight="1">
      <c r="B33" s="276" t="s">
        <v>94</v>
      </c>
      <c r="C33" s="276"/>
      <c r="D33" s="277"/>
      <c r="E33" s="388">
        <f>E13*0.3</f>
        <v>39915.42</v>
      </c>
      <c r="F33" s="389"/>
      <c r="G33" s="390">
        <f>E33/E13</f>
        <v>0.3</v>
      </c>
      <c r="H33" s="391"/>
      <c r="I33" s="392"/>
      <c r="J33" s="393"/>
      <c r="L33" s="276" t="s">
        <v>51</v>
      </c>
      <c r="M33" s="277"/>
      <c r="N33" s="40" t="s">
        <v>52</v>
      </c>
      <c r="O33" s="41"/>
      <c r="P33" s="41"/>
      <c r="Q33" s="42"/>
      <c r="R33" s="46" t="s">
        <v>31</v>
      </c>
      <c r="S33" s="43"/>
    </row>
    <row r="34" spans="2:19" ht="20.100000000000001" customHeight="1">
      <c r="B34" s="52"/>
      <c r="C34" s="52" t="s">
        <v>184</v>
      </c>
      <c r="D34" s="145"/>
      <c r="E34" s="304">
        <f>J46</f>
        <v>1804.8776</v>
      </c>
      <c r="F34" s="305"/>
      <c r="G34" s="146"/>
      <c r="H34" s="147"/>
      <c r="I34" s="148"/>
      <c r="J34" s="149"/>
      <c r="L34" s="276" t="s">
        <v>53</v>
      </c>
      <c r="M34" s="277"/>
      <c r="N34" s="278" t="s">
        <v>54</v>
      </c>
      <c r="O34" s="279"/>
      <c r="P34" s="279"/>
      <c r="Q34" s="280"/>
      <c r="R34" s="7" t="s">
        <v>31</v>
      </c>
      <c r="S34" s="43"/>
    </row>
    <row r="35" spans="2:19" ht="20.100000000000001" customHeight="1">
      <c r="B35" s="357" t="s">
        <v>95</v>
      </c>
      <c r="C35" s="357"/>
      <c r="D35" s="358"/>
      <c r="E35" s="375">
        <f>J50/E13</f>
        <v>0.25081767196737498</v>
      </c>
      <c r="F35" s="376"/>
      <c r="G35" s="376"/>
      <c r="H35" s="377"/>
      <c r="I35" s="470">
        <v>0.25</v>
      </c>
      <c r="J35" s="471"/>
      <c r="L35" s="276"/>
      <c r="M35" s="277"/>
      <c r="R35" s="7"/>
      <c r="S35" s="43"/>
    </row>
    <row r="36" spans="2:19" ht="20.100000000000001" customHeight="1">
      <c r="B36" s="373"/>
      <c r="C36" s="373"/>
      <c r="D36" s="374"/>
      <c r="E36" s="378">
        <f>J50</f>
        <v>33371.642399999997</v>
      </c>
      <c r="F36" s="379"/>
      <c r="G36" s="379"/>
      <c r="H36" s="380"/>
      <c r="I36" s="381">
        <f>I35*E13</f>
        <v>33262.85</v>
      </c>
      <c r="J36" s="382"/>
      <c r="L36" s="276"/>
      <c r="M36" s="277"/>
      <c r="N36" s="278"/>
      <c r="O36" s="279"/>
      <c r="P36" s="279"/>
      <c r="Q36" s="280"/>
      <c r="R36" s="7"/>
      <c r="S36" s="43"/>
    </row>
    <row r="37" spans="2:19" ht="20.100000000000001" customHeight="1">
      <c r="B37" s="357" t="s">
        <v>96</v>
      </c>
      <c r="C37" s="357"/>
      <c r="D37" s="358"/>
      <c r="E37" s="365"/>
      <c r="F37" s="366"/>
      <c r="G37" s="366"/>
      <c r="H37" s="366"/>
      <c r="I37" s="366"/>
      <c r="J37" s="366"/>
      <c r="L37" s="357" t="s">
        <v>5</v>
      </c>
      <c r="M37" s="358"/>
      <c r="N37" s="365"/>
      <c r="O37" s="366"/>
      <c r="P37" s="366"/>
      <c r="Q37" s="367"/>
      <c r="R37" s="371"/>
      <c r="S37" s="365"/>
    </row>
    <row r="38" spans="2:19" ht="20.100000000000001" customHeight="1" thickBot="1">
      <c r="B38" s="359"/>
      <c r="C38" s="359"/>
      <c r="D38" s="360"/>
      <c r="E38" s="368"/>
      <c r="F38" s="369"/>
      <c r="G38" s="369"/>
      <c r="H38" s="369"/>
      <c r="I38" s="369"/>
      <c r="J38" s="369"/>
      <c r="L38" s="359"/>
      <c r="M38" s="360"/>
      <c r="N38" s="368"/>
      <c r="O38" s="369"/>
      <c r="P38" s="369"/>
      <c r="Q38" s="370"/>
      <c r="R38" s="372"/>
      <c r="S38" s="368"/>
    </row>
    <row r="39" spans="2:19" ht="9.9499999999999993" customHeight="1"/>
    <row r="40" spans="2:19" ht="30" customHeight="1">
      <c r="B40" s="4" t="s">
        <v>55</v>
      </c>
    </row>
    <row r="41" spans="2:19" ht="3" customHeight="1" thickBot="1"/>
    <row r="42" spans="2:19" ht="20.100000000000001" customHeight="1">
      <c r="B42" s="324" t="s">
        <v>56</v>
      </c>
      <c r="C42" s="325" t="s">
        <v>57</v>
      </c>
      <c r="D42" s="326"/>
      <c r="E42" s="337" t="s">
        <v>28</v>
      </c>
      <c r="F42" s="337" t="s">
        <v>58</v>
      </c>
      <c r="G42" s="337" t="s">
        <v>97</v>
      </c>
      <c r="H42" s="337"/>
      <c r="I42" s="337"/>
      <c r="J42" s="325" t="s">
        <v>59</v>
      </c>
      <c r="K42" s="339"/>
      <c r="L42" s="127"/>
      <c r="M42" s="322" t="s">
        <v>0</v>
      </c>
      <c r="N42" s="323"/>
      <c r="O42" s="324"/>
      <c r="P42" s="325" t="s">
        <v>60</v>
      </c>
      <c r="Q42" s="326"/>
      <c r="R42" s="329" t="s">
        <v>61</v>
      </c>
      <c r="S42" s="322" t="s">
        <v>5</v>
      </c>
    </row>
    <row r="43" spans="2:19" ht="20.100000000000001" customHeight="1" thickBot="1">
      <c r="B43" s="336"/>
      <c r="C43" s="327"/>
      <c r="D43" s="328"/>
      <c r="E43" s="338"/>
      <c r="F43" s="338"/>
      <c r="G43" s="39" t="s">
        <v>62</v>
      </c>
      <c r="H43" s="39" t="s">
        <v>63</v>
      </c>
      <c r="I43" s="39" t="s">
        <v>64</v>
      </c>
      <c r="J43" s="327"/>
      <c r="K43" s="340"/>
      <c r="L43" s="128"/>
      <c r="M43" s="39" t="s">
        <v>65</v>
      </c>
      <c r="N43" s="39" t="s">
        <v>66</v>
      </c>
      <c r="O43" s="39" t="s">
        <v>64</v>
      </c>
      <c r="P43" s="327"/>
      <c r="Q43" s="328"/>
      <c r="R43" s="330"/>
      <c r="S43" s="331"/>
    </row>
    <row r="44" spans="2:19" ht="20.25" customHeight="1">
      <c r="B44" s="176" t="s">
        <v>182</v>
      </c>
      <c r="C44" s="341">
        <v>16</v>
      </c>
      <c r="D44" s="342"/>
      <c r="E44" s="161">
        <f>C44/C46</f>
        <v>0.76190476190476186</v>
      </c>
      <c r="F44" s="179">
        <v>59.94</v>
      </c>
      <c r="G44" s="163">
        <v>7.04</v>
      </c>
      <c r="H44" s="163">
        <f>F44*0.24</f>
        <v>14.385599999999998</v>
      </c>
      <c r="I44" s="163">
        <f t="shared" ref="I44:I45" si="0">G44+H44</f>
        <v>21.425599999999999</v>
      </c>
      <c r="J44" s="332">
        <f t="shared" ref="J44:J45" si="1">F44+I44</f>
        <v>81.365600000000001</v>
      </c>
      <c r="K44" s="333"/>
      <c r="L44" s="184">
        <f t="shared" ref="L44:L46" si="2">J44*0.3025</f>
        <v>24.613094</v>
      </c>
      <c r="M44" s="163">
        <f t="shared" ref="M44:M45" si="3">(F44/F$65)*M$65</f>
        <v>2.3679362586566972</v>
      </c>
      <c r="N44" s="163">
        <f>(F44/F$65)*N$65</f>
        <v>0.5062015407810736</v>
      </c>
      <c r="O44" s="163">
        <f t="shared" ref="O44" si="4">SUM(M44:N44)</f>
        <v>2.8741377994377708</v>
      </c>
      <c r="P44" s="334">
        <f t="shared" ref="P44:P45" si="5">(F44/F$65)*P$65</f>
        <v>57.909456265354812</v>
      </c>
      <c r="Q44" s="335"/>
      <c r="R44" s="186">
        <f t="shared" ref="R44:R45" si="6">J44+O44+P44</f>
        <v>142.1491940647926</v>
      </c>
      <c r="S44" s="166"/>
    </row>
    <row r="45" spans="2:19" ht="20.100000000000001" customHeight="1">
      <c r="B45" s="177" t="s">
        <v>183</v>
      </c>
      <c r="C45" s="281">
        <v>5</v>
      </c>
      <c r="D45" s="282"/>
      <c r="E45" s="143">
        <f>C45/C46</f>
        <v>0.23809523809523808</v>
      </c>
      <c r="F45" s="180">
        <v>74.94</v>
      </c>
      <c r="G45" s="90">
        <v>7.68</v>
      </c>
      <c r="H45" s="90">
        <f>F45*0.24</f>
        <v>17.985599999999998</v>
      </c>
      <c r="I45" s="90">
        <f t="shared" si="0"/>
        <v>25.665599999999998</v>
      </c>
      <c r="J45" s="283">
        <f t="shared" si="1"/>
        <v>100.6056</v>
      </c>
      <c r="K45" s="284"/>
      <c r="L45" s="185">
        <f t="shared" si="2"/>
        <v>30.433193999999997</v>
      </c>
      <c r="M45" s="90">
        <f t="shared" si="3"/>
        <v>2.9605128999621768</v>
      </c>
      <c r="N45" s="90">
        <f t="shared" ref="N45" si="7">(F45/F$65)*N$65</f>
        <v>0.63287860303859944</v>
      </c>
      <c r="O45" s="90">
        <f>SUM(M45:N45)</f>
        <v>3.5933915030007761</v>
      </c>
      <c r="P45" s="285">
        <f t="shared" si="5"/>
        <v>72.401312187615773</v>
      </c>
      <c r="Q45" s="286"/>
      <c r="R45" s="187">
        <f t="shared" si="6"/>
        <v>176.60030369061656</v>
      </c>
      <c r="S45" s="92"/>
    </row>
    <row r="46" spans="2:19" ht="20.100000000000001" customHeight="1" thickBot="1">
      <c r="B46" s="178" t="s">
        <v>181</v>
      </c>
      <c r="C46" s="343">
        <f>C43+C44+C45</f>
        <v>21</v>
      </c>
      <c r="D46" s="344"/>
      <c r="E46" s="168">
        <f>E44+E45</f>
        <v>1</v>
      </c>
      <c r="F46" s="181">
        <f>SUMPRODUCT(C44:C45,F44:F45)</f>
        <v>1333.74</v>
      </c>
      <c r="G46" s="181">
        <f>SUMPRODUCT($C$44:$C$45,G44:G45)</f>
        <v>151.04</v>
      </c>
      <c r="H46" s="181">
        <f>SUMPRODUCT($C$44:$C$45,H44:H45)</f>
        <v>320.09759999999994</v>
      </c>
      <c r="I46" s="181">
        <f>SUM(G46:H46)</f>
        <v>471.13759999999991</v>
      </c>
      <c r="J46" s="287">
        <f>C44*J44+C45*J45</f>
        <v>1804.8776</v>
      </c>
      <c r="K46" s="288"/>
      <c r="L46" s="182">
        <f t="shared" si="2"/>
        <v>545.97547399999996</v>
      </c>
      <c r="M46" s="181">
        <f>SUMPRODUCT(C44:C45,M44:M45)</f>
        <v>52.68954463831804</v>
      </c>
      <c r="N46" s="181">
        <f>SUMPRODUCT(C44:C45,N44:N45)</f>
        <v>11.263617667690175</v>
      </c>
      <c r="O46" s="181">
        <f>M46+N46</f>
        <v>63.953162306008217</v>
      </c>
      <c r="P46" s="289">
        <f>SUMPRODUCT(C44:C45,P44:P45)</f>
        <v>1288.5578611837559</v>
      </c>
      <c r="Q46" s="290"/>
      <c r="R46" s="181">
        <f>J46+P46+O46</f>
        <v>3157.3886234897645</v>
      </c>
      <c r="S46" s="183"/>
    </row>
    <row r="47" spans="2:19" ht="20.100000000000001" customHeight="1">
      <c r="B47" s="160" t="s">
        <v>98</v>
      </c>
      <c r="C47" s="341">
        <v>312</v>
      </c>
      <c r="D47" s="342"/>
      <c r="E47" s="161">
        <f>C47/C50</f>
        <v>0.80412371134020622</v>
      </c>
      <c r="F47" s="162">
        <v>59.94</v>
      </c>
      <c r="G47" s="163">
        <v>7.04</v>
      </c>
      <c r="H47" s="163">
        <f>F47*0.24</f>
        <v>14.385599999999998</v>
      </c>
      <c r="I47" s="163">
        <f t="shared" ref="I47:I61" si="8">G47+H47</f>
        <v>21.425599999999999</v>
      </c>
      <c r="J47" s="292">
        <f t="shared" ref="J47:J61" si="9">F47+I47</f>
        <v>81.365600000000001</v>
      </c>
      <c r="K47" s="293"/>
      <c r="L47" s="164">
        <f t="shared" ref="L47:L61" si="10">J47*0.3025</f>
        <v>24.613094</v>
      </c>
      <c r="M47" s="163">
        <f>(F47/F$65)*M$65</f>
        <v>2.3679362586566972</v>
      </c>
      <c r="N47" s="163">
        <f>(F47/F$65)*N$65</f>
        <v>0.5062015407810736</v>
      </c>
      <c r="O47" s="163">
        <f t="shared" ref="O47:O54" si="11">SUM(M47:N47)</f>
        <v>2.8741377994377708</v>
      </c>
      <c r="P47" s="334">
        <f>(F47/F$65)*P$65</f>
        <v>57.909456265354812</v>
      </c>
      <c r="Q47" s="335"/>
      <c r="R47" s="165">
        <f t="shared" ref="R47:R61" si="12">J47+O47+P47</f>
        <v>142.1491940647926</v>
      </c>
      <c r="S47" s="166"/>
    </row>
    <row r="48" spans="2:19" ht="20.100000000000001" customHeight="1">
      <c r="B48" s="99" t="s">
        <v>120</v>
      </c>
      <c r="C48" s="281">
        <v>50</v>
      </c>
      <c r="D48" s="282"/>
      <c r="E48" s="143">
        <f>C48/C50</f>
        <v>0.12886597938144329</v>
      </c>
      <c r="F48" s="100">
        <v>74.94</v>
      </c>
      <c r="G48" s="90">
        <v>7.68</v>
      </c>
      <c r="H48" s="90">
        <f>F48*0.24</f>
        <v>17.985599999999998</v>
      </c>
      <c r="I48" s="90">
        <f t="shared" si="8"/>
        <v>25.665599999999998</v>
      </c>
      <c r="J48" s="296">
        <f t="shared" si="9"/>
        <v>100.6056</v>
      </c>
      <c r="K48" s="297"/>
      <c r="L48" s="130">
        <f t="shared" si="10"/>
        <v>30.433193999999997</v>
      </c>
      <c r="M48" s="90">
        <f>(F48/F$65)*M$65</f>
        <v>2.9605128999621768</v>
      </c>
      <c r="N48" s="90">
        <f t="shared" ref="N48:N49" si="13">(F48/F$65)*N$65</f>
        <v>0.63287860303859944</v>
      </c>
      <c r="O48" s="90">
        <f>SUM(M48:N48)</f>
        <v>3.5933915030007761</v>
      </c>
      <c r="P48" s="285">
        <f>(F48/F$65)*P$65</f>
        <v>72.401312187615773</v>
      </c>
      <c r="Q48" s="286"/>
      <c r="R48" s="101">
        <f t="shared" si="12"/>
        <v>176.60030369061656</v>
      </c>
      <c r="S48" s="92"/>
    </row>
    <row r="49" spans="1:19" ht="20.100000000000001" customHeight="1">
      <c r="B49" s="172" t="s">
        <v>149</v>
      </c>
      <c r="C49" s="320">
        <v>26</v>
      </c>
      <c r="D49" s="321"/>
      <c r="E49" s="144">
        <f>C49/C50</f>
        <v>6.7010309278350513E-2</v>
      </c>
      <c r="F49" s="173">
        <v>84.98</v>
      </c>
      <c r="G49" s="95">
        <v>8.2899999999999991</v>
      </c>
      <c r="H49" s="95">
        <f t="shared" ref="H49" si="14">F49*0.24</f>
        <v>20.395199999999999</v>
      </c>
      <c r="I49" s="95">
        <f>G49+H49</f>
        <v>28.685199999999998</v>
      </c>
      <c r="J49" s="355">
        <f t="shared" ref="J49" si="15">F49+I49</f>
        <v>113.6652</v>
      </c>
      <c r="K49" s="356"/>
      <c r="L49" s="174">
        <f t="shared" ref="L49" si="16">J49*0.3025</f>
        <v>34.383722999999996</v>
      </c>
      <c r="M49" s="95">
        <f>(F49/F$65)*M$65</f>
        <v>3.3571441985426453</v>
      </c>
      <c r="N49" s="95">
        <f t="shared" si="13"/>
        <v>0.71766778337630366</v>
      </c>
      <c r="O49" s="95">
        <f t="shared" ref="O49" si="17">SUM(M49:N49)</f>
        <v>4.0748119819189492</v>
      </c>
      <c r="P49" s="314">
        <f>(F49/F$65)*P$65</f>
        <v>82.101194418249122</v>
      </c>
      <c r="Q49" s="315"/>
      <c r="R49" s="175">
        <f t="shared" si="12"/>
        <v>199.84120640016806</v>
      </c>
      <c r="S49" s="97"/>
    </row>
    <row r="50" spans="1:19" s="50" customFormat="1" ht="20.100000000000001" customHeight="1" thickBot="1">
      <c r="A50" s="49"/>
      <c r="B50" s="167" t="s">
        <v>99</v>
      </c>
      <c r="C50" s="345">
        <f>C47+C48+C49</f>
        <v>388</v>
      </c>
      <c r="D50" s="346"/>
      <c r="E50" s="168">
        <f>E47+E48+E49</f>
        <v>1</v>
      </c>
      <c r="F50" s="169">
        <f>SUMPRODUCT(C47:C49,F47:F49)</f>
        <v>24657.759999999998</v>
      </c>
      <c r="G50" s="169">
        <f>SUMPRODUCT($C$47:$C$49,G47:G49)</f>
        <v>2796.02</v>
      </c>
      <c r="H50" s="169">
        <f>SUMPRODUCT($C$47:$C$49,H47:H49)</f>
        <v>5917.8623999999991</v>
      </c>
      <c r="I50" s="169">
        <f>SUM(G50:H50)</f>
        <v>8713.8823999999986</v>
      </c>
      <c r="J50" s="347">
        <f>J47*C47+C48*J48+C49*J49</f>
        <v>33371.642399999997</v>
      </c>
      <c r="K50" s="348"/>
      <c r="L50" s="170">
        <f t="shared" si="10"/>
        <v>10094.921825999998</v>
      </c>
      <c r="M50" s="169">
        <f>SUMPRODUCT(C47:C49,M47:M49)</f>
        <v>974.10750686110725</v>
      </c>
      <c r="N50" s="169">
        <f>SUMPRODUCT(C47:C49,N47:N49)</f>
        <v>208.23817324340882</v>
      </c>
      <c r="O50" s="169">
        <f>M50+N50</f>
        <v>1182.3456801045161</v>
      </c>
      <c r="P50" s="349">
        <f>SUMPRODUCT(C47:C49,P47:P49)</f>
        <v>23822.447019045965</v>
      </c>
      <c r="Q50" s="350"/>
      <c r="R50" s="169">
        <f>J50+P50+O50</f>
        <v>58376.435099150483</v>
      </c>
      <c r="S50" s="171"/>
    </row>
    <row r="51" spans="1:19" ht="20.100000000000001" hidden="1" customHeight="1">
      <c r="B51" s="126" t="s">
        <v>119</v>
      </c>
      <c r="C51" s="153"/>
      <c r="D51" s="154"/>
      <c r="E51" s="140"/>
      <c r="F51" s="155">
        <v>49.53</v>
      </c>
      <c r="G51" s="156">
        <v>5.44</v>
      </c>
      <c r="H51" s="156">
        <f>F51*0.24</f>
        <v>11.8872</v>
      </c>
      <c r="I51" s="156">
        <f>G51+H51</f>
        <v>17.327200000000001</v>
      </c>
      <c r="J51" s="351">
        <f>F51+I51</f>
        <v>66.857200000000006</v>
      </c>
      <c r="K51" s="352"/>
      <c r="L51" s="157">
        <f>J51*0.3025</f>
        <v>20.224303000000003</v>
      </c>
      <c r="M51" s="156">
        <f>(F51/F$65)*M$65</f>
        <v>1.9566880695906945</v>
      </c>
      <c r="N51" s="156">
        <f t="shared" ref="N51:N59" si="18">(F51/F$65)*N$65</f>
        <v>0.41828765957435066</v>
      </c>
      <c r="O51" s="156">
        <f>SUM(M51:N51)</f>
        <v>2.3749757291650453</v>
      </c>
      <c r="P51" s="353">
        <f>(F51/F$65)*P$65</f>
        <v>47.852108255305708</v>
      </c>
      <c r="Q51" s="354"/>
      <c r="R51" s="158">
        <f>J51+O51+P51</f>
        <v>117.08428398447076</v>
      </c>
      <c r="S51" s="159"/>
    </row>
    <row r="52" spans="1:19" ht="20.100000000000001" hidden="1" customHeight="1">
      <c r="B52" s="88" t="s">
        <v>103</v>
      </c>
      <c r="C52" s="118"/>
      <c r="D52" s="118"/>
      <c r="E52" s="140"/>
      <c r="F52" s="89">
        <v>45.89</v>
      </c>
      <c r="G52" s="90">
        <v>4.9000000000000004</v>
      </c>
      <c r="H52" s="90">
        <f>$H$68/$F$65*F52</f>
        <v>0</v>
      </c>
      <c r="I52" s="90">
        <f>G52+H52</f>
        <v>4.9000000000000004</v>
      </c>
      <c r="J52" s="294">
        <f>F52+I52</f>
        <v>50.79</v>
      </c>
      <c r="K52" s="295"/>
      <c r="L52" s="113">
        <f>J52*0.3025</f>
        <v>15.363975</v>
      </c>
      <c r="M52" s="90">
        <f>(F52/F$65)*M$65</f>
        <v>1.8128894713005645</v>
      </c>
      <c r="N52" s="90">
        <f t="shared" si="18"/>
        <v>0.38754735913319099</v>
      </c>
      <c r="O52" s="90">
        <f>SUM(M52:N52)</f>
        <v>2.2004368304337554</v>
      </c>
      <c r="P52" s="285">
        <f>(F52/F$65)*P$65</f>
        <v>44.335417884837042</v>
      </c>
      <c r="Q52" s="286"/>
      <c r="R52" s="91">
        <f>J52+O52+P52</f>
        <v>97.325854715270793</v>
      </c>
      <c r="S52" s="92"/>
    </row>
    <row r="53" spans="1:19" ht="20.100000000000001" hidden="1" customHeight="1">
      <c r="B53" s="88" t="s">
        <v>104</v>
      </c>
      <c r="C53" s="118"/>
      <c r="D53" s="118"/>
      <c r="E53" s="140"/>
      <c r="F53" s="89">
        <v>45.92</v>
      </c>
      <c r="G53" s="90">
        <v>5.44</v>
      </c>
      <c r="H53" s="90">
        <f>$H$68/$F$65*F53</f>
        <v>0</v>
      </c>
      <c r="I53" s="90">
        <f>G53+H53</f>
        <v>5.44</v>
      </c>
      <c r="J53" s="294">
        <f>F53+I53</f>
        <v>51.36</v>
      </c>
      <c r="K53" s="295"/>
      <c r="L53" s="113">
        <f>J53*0.3025</f>
        <v>15.536399999999999</v>
      </c>
      <c r="M53" s="90">
        <f>(F53/F$65)*M$65</f>
        <v>1.8140746245831758</v>
      </c>
      <c r="N53" s="90">
        <f t="shared" si="18"/>
        <v>0.3878007132577061</v>
      </c>
      <c r="O53" s="90">
        <f>SUM(M53:N53)</f>
        <v>2.2018753378408817</v>
      </c>
      <c r="P53" s="285">
        <f>(F53/F$65)*P$65</f>
        <v>44.364401596681574</v>
      </c>
      <c r="Q53" s="286"/>
      <c r="R53" s="91">
        <f>J53+O53+P53</f>
        <v>97.926276934522463</v>
      </c>
      <c r="S53" s="92"/>
    </row>
    <row r="54" spans="1:19" ht="20.100000000000001" customHeight="1">
      <c r="A54" s="38"/>
      <c r="B54" s="88" t="s">
        <v>101</v>
      </c>
      <c r="C54" s="281">
        <v>602</v>
      </c>
      <c r="D54" s="282"/>
      <c r="E54" s="142"/>
      <c r="F54" s="89">
        <v>59.94</v>
      </c>
      <c r="G54" s="90">
        <v>7.04</v>
      </c>
      <c r="H54" s="90">
        <f>F54*0.24</f>
        <v>14.385599999999998</v>
      </c>
      <c r="I54" s="90">
        <f t="shared" si="8"/>
        <v>21.425599999999999</v>
      </c>
      <c r="J54" s="294">
        <f t="shared" si="9"/>
        <v>81.365600000000001</v>
      </c>
      <c r="K54" s="295"/>
      <c r="L54" s="113">
        <f t="shared" si="10"/>
        <v>24.613094</v>
      </c>
      <c r="M54" s="90">
        <f>(F54/F$65)*M$65</f>
        <v>2.3679362586566972</v>
      </c>
      <c r="N54" s="90">
        <f t="shared" si="18"/>
        <v>0.5062015407810736</v>
      </c>
      <c r="O54" s="90">
        <f t="shared" si="11"/>
        <v>2.8741377994377708</v>
      </c>
      <c r="P54" s="285">
        <f>(F54/F$65)*P$65</f>
        <v>57.909456265354812</v>
      </c>
      <c r="Q54" s="286"/>
      <c r="R54" s="91">
        <f t="shared" si="12"/>
        <v>142.1491940647926</v>
      </c>
      <c r="S54" s="92"/>
    </row>
    <row r="55" spans="1:19" ht="19.5" customHeight="1">
      <c r="B55" s="88" t="s">
        <v>100</v>
      </c>
      <c r="C55" s="281">
        <v>152</v>
      </c>
      <c r="D55" s="282"/>
      <c r="E55" s="143"/>
      <c r="F55" s="89">
        <v>74.94</v>
      </c>
      <c r="G55" s="90">
        <v>7.68</v>
      </c>
      <c r="H55" s="90">
        <f>F55*0.24</f>
        <v>17.985599999999998</v>
      </c>
      <c r="I55" s="90">
        <f t="shared" si="8"/>
        <v>25.665599999999998</v>
      </c>
      <c r="J55" s="294">
        <f t="shared" si="9"/>
        <v>100.6056</v>
      </c>
      <c r="K55" s="295"/>
      <c r="L55" s="113">
        <f t="shared" si="10"/>
        <v>30.433193999999997</v>
      </c>
      <c r="M55" s="90">
        <f>(F55/F$65)*M$65</f>
        <v>2.9605128999621768</v>
      </c>
      <c r="N55" s="90">
        <f t="shared" si="18"/>
        <v>0.63287860303859944</v>
      </c>
      <c r="O55" s="90">
        <f>SUM(M55:N55)</f>
        <v>3.5933915030007761</v>
      </c>
      <c r="P55" s="285">
        <f>(F55/F$65)*P$65</f>
        <v>72.401312187615773</v>
      </c>
      <c r="Q55" s="286"/>
      <c r="R55" s="91">
        <f t="shared" si="12"/>
        <v>176.60030369061656</v>
      </c>
      <c r="S55" s="92"/>
    </row>
    <row r="56" spans="1:19" ht="20.100000000000001" hidden="1" customHeight="1">
      <c r="B56" s="88"/>
      <c r="C56" s="119"/>
      <c r="D56" s="121"/>
      <c r="E56" s="143"/>
      <c r="F56" s="89"/>
      <c r="G56" s="90"/>
      <c r="H56" s="90">
        <f t="shared" ref="H56:H57" si="19">F56*0.245</f>
        <v>0</v>
      </c>
      <c r="I56" s="90"/>
      <c r="J56" s="294"/>
      <c r="K56" s="295"/>
      <c r="L56" s="113"/>
      <c r="M56" s="90"/>
      <c r="N56" s="90">
        <f t="shared" si="18"/>
        <v>0</v>
      </c>
      <c r="O56" s="90"/>
      <c r="P56" s="285"/>
      <c r="Q56" s="286"/>
      <c r="R56" s="91"/>
      <c r="S56" s="92"/>
    </row>
    <row r="57" spans="1:19" ht="20.100000000000001" hidden="1" customHeight="1">
      <c r="B57" s="88"/>
      <c r="C57" s="119"/>
      <c r="D57" s="121"/>
      <c r="E57" s="143"/>
      <c r="F57" s="89"/>
      <c r="G57" s="90"/>
      <c r="H57" s="90">
        <f t="shared" si="19"/>
        <v>0</v>
      </c>
      <c r="I57" s="90"/>
      <c r="J57" s="294"/>
      <c r="K57" s="295"/>
      <c r="L57" s="113"/>
      <c r="M57" s="90"/>
      <c r="N57" s="90">
        <f t="shared" si="18"/>
        <v>0</v>
      </c>
      <c r="O57" s="90"/>
      <c r="P57" s="285"/>
      <c r="Q57" s="286"/>
      <c r="R57" s="91"/>
      <c r="S57" s="92"/>
    </row>
    <row r="58" spans="1:19" ht="20.100000000000001" customHeight="1">
      <c r="A58" s="38"/>
      <c r="B58" s="93" t="s">
        <v>113</v>
      </c>
      <c r="C58" s="320">
        <v>906</v>
      </c>
      <c r="D58" s="321"/>
      <c r="E58" s="143"/>
      <c r="F58" s="89">
        <v>84.98</v>
      </c>
      <c r="G58" s="90">
        <v>8.2899999999999991</v>
      </c>
      <c r="H58" s="90">
        <f t="shared" ref="H58:H63" si="20">F58*0.24</f>
        <v>20.395199999999999</v>
      </c>
      <c r="I58" s="90">
        <f>G58+H58</f>
        <v>28.685199999999998</v>
      </c>
      <c r="J58" s="294">
        <f>F58+I58</f>
        <v>113.6652</v>
      </c>
      <c r="K58" s="295"/>
      <c r="L58" s="113">
        <f>J58*0.3025</f>
        <v>34.383722999999996</v>
      </c>
      <c r="M58" s="90">
        <f>(F58/F$65)*M$65</f>
        <v>3.3571441985426453</v>
      </c>
      <c r="N58" s="90">
        <f t="shared" si="18"/>
        <v>0.71766778337630366</v>
      </c>
      <c r="O58" s="90">
        <f t="shared" ref="O58:O63" si="21">SUM(M58:N58)</f>
        <v>4.0748119819189492</v>
      </c>
      <c r="P58" s="285">
        <f>(F58/F$65)*P$65</f>
        <v>82.101194418249122</v>
      </c>
      <c r="Q58" s="286"/>
      <c r="R58" s="91">
        <f>J58+O58+P58</f>
        <v>199.84120640016806</v>
      </c>
      <c r="S58" s="92"/>
    </row>
    <row r="59" spans="1:19" ht="20.100000000000001" customHeight="1">
      <c r="A59" s="271">
        <f>J58-J55</f>
        <v>13.059600000000003</v>
      </c>
      <c r="B59" s="126" t="s">
        <v>118</v>
      </c>
      <c r="C59" s="318">
        <v>413</v>
      </c>
      <c r="D59" s="319"/>
      <c r="E59" s="143"/>
      <c r="F59" s="89">
        <v>99.63</v>
      </c>
      <c r="G59" s="90">
        <v>10.28</v>
      </c>
      <c r="H59" s="90">
        <f t="shared" si="20"/>
        <v>23.911199999999997</v>
      </c>
      <c r="I59" s="90">
        <f>G59+H59</f>
        <v>34.191199999999995</v>
      </c>
      <c r="J59" s="316">
        <f>F59+I59</f>
        <v>133.82119999999998</v>
      </c>
      <c r="K59" s="317"/>
      <c r="L59" s="113">
        <f>J59*0.3025</f>
        <v>40.480912999999994</v>
      </c>
      <c r="M59" s="90">
        <f>(F59/F65)*M65</f>
        <v>3.935894051550997</v>
      </c>
      <c r="N59" s="90">
        <f t="shared" si="18"/>
        <v>0.84138904751448718</v>
      </c>
      <c r="O59" s="90">
        <f t="shared" si="21"/>
        <v>4.7772830990654844</v>
      </c>
      <c r="P59" s="472">
        <f>(F59/F65)*P65</f>
        <v>96.254907035657325</v>
      </c>
      <c r="Q59" s="473"/>
      <c r="R59" s="91">
        <f>J59+O59+P59</f>
        <v>234.85339013472276</v>
      </c>
      <c r="S59" s="92"/>
    </row>
    <row r="60" spans="1:19" ht="20.100000000000001" customHeight="1">
      <c r="A60" s="271">
        <f>A20/A59</f>
        <v>12.792042635305695</v>
      </c>
      <c r="B60" s="88" t="s">
        <v>133</v>
      </c>
      <c r="C60" s="281">
        <v>430</v>
      </c>
      <c r="D60" s="282"/>
      <c r="E60" s="143"/>
      <c r="F60" s="89">
        <v>112.4</v>
      </c>
      <c r="G60" s="90">
        <v>12.23</v>
      </c>
      <c r="H60" s="90">
        <f t="shared" si="20"/>
        <v>26.975999999999999</v>
      </c>
      <c r="I60" s="90">
        <f t="shared" si="8"/>
        <v>39.206000000000003</v>
      </c>
      <c r="J60" s="294">
        <f t="shared" si="9"/>
        <v>151.60599999999999</v>
      </c>
      <c r="K60" s="295"/>
      <c r="L60" s="113">
        <f t="shared" si="10"/>
        <v>45.860814999999995</v>
      </c>
      <c r="M60" s="90">
        <f>(F60/F$65)*M$65</f>
        <v>4.4403742988490622</v>
      </c>
      <c r="N60" s="90">
        <f>(F60/F$65)*N$65</f>
        <v>0.94923345318306096</v>
      </c>
      <c r="O60" s="90">
        <f t="shared" si="21"/>
        <v>5.3896077520321235</v>
      </c>
      <c r="P60" s="285">
        <f>(F60/F$65)*P$65</f>
        <v>108.59230704414216</v>
      </c>
      <c r="Q60" s="286"/>
      <c r="R60" s="91">
        <f t="shared" si="12"/>
        <v>265.58791479617429</v>
      </c>
      <c r="S60" s="92"/>
    </row>
    <row r="61" spans="1:19" ht="19.5" customHeight="1">
      <c r="B61" s="88" t="s">
        <v>105</v>
      </c>
      <c r="C61" s="281">
        <v>206</v>
      </c>
      <c r="D61" s="282"/>
      <c r="E61" s="143"/>
      <c r="F61" s="89">
        <v>129.19999999999999</v>
      </c>
      <c r="G61" s="90">
        <v>14.58</v>
      </c>
      <c r="H61" s="90">
        <f t="shared" si="20"/>
        <v>31.007999999999996</v>
      </c>
      <c r="I61" s="90">
        <f t="shared" si="8"/>
        <v>45.587999999999994</v>
      </c>
      <c r="J61" s="294">
        <f t="shared" si="9"/>
        <v>174.78799999999998</v>
      </c>
      <c r="K61" s="295"/>
      <c r="L61" s="113">
        <f t="shared" si="10"/>
        <v>52.873369999999994</v>
      </c>
      <c r="M61" s="90">
        <f>(F61/F$65)*M$65</f>
        <v>5.1040601371111993</v>
      </c>
      <c r="N61" s="90">
        <f>(F61/F$65)*N$65</f>
        <v>1.0911117629114899</v>
      </c>
      <c r="O61" s="90">
        <f t="shared" si="21"/>
        <v>6.1951719000226895</v>
      </c>
      <c r="P61" s="285">
        <f>(F61/F$65)*P$65</f>
        <v>124.82318567707443</v>
      </c>
      <c r="Q61" s="286"/>
      <c r="R61" s="91">
        <f t="shared" si="12"/>
        <v>305.80635757709712</v>
      </c>
      <c r="S61" s="92"/>
    </row>
    <row r="62" spans="1:19" ht="19.5" customHeight="1">
      <c r="B62" s="88" t="s">
        <v>114</v>
      </c>
      <c r="C62" s="281">
        <v>140</v>
      </c>
      <c r="D62" s="282"/>
      <c r="E62" s="143"/>
      <c r="F62" s="89">
        <v>159.80000000000001</v>
      </c>
      <c r="G62" s="90">
        <v>17.68</v>
      </c>
      <c r="H62" s="90">
        <f t="shared" ref="H62" si="22">F62*0.24</f>
        <v>38.352000000000004</v>
      </c>
      <c r="I62" s="90">
        <f t="shared" ref="I62" si="23">G62+H62</f>
        <v>56.032000000000004</v>
      </c>
      <c r="J62" s="294">
        <f t="shared" ref="J62" si="24">F62+I62</f>
        <v>215.83200000000002</v>
      </c>
      <c r="K62" s="295"/>
      <c r="L62" s="113">
        <f t="shared" ref="L62" si="25">J62*0.3025</f>
        <v>65.289180000000002</v>
      </c>
      <c r="M62" s="90">
        <f>(F62/F$65)*M$65</f>
        <v>6.3129164853743784</v>
      </c>
      <c r="N62" s="90">
        <f>(F62/F$65)*N$65</f>
        <v>1.349532969916843</v>
      </c>
      <c r="O62" s="90">
        <f t="shared" ref="O62" si="26">SUM(M62:N62)</f>
        <v>7.6624494552912212</v>
      </c>
      <c r="P62" s="285">
        <f>(F62/F$65)*P$65</f>
        <v>154.38657175848681</v>
      </c>
      <c r="Q62" s="286"/>
      <c r="R62" s="91">
        <f t="shared" ref="R62" si="27">J62+O62+P62</f>
        <v>377.88102121377801</v>
      </c>
      <c r="S62" s="92"/>
    </row>
    <row r="63" spans="1:19" ht="20.100000000000001" customHeight="1">
      <c r="B63" s="93" t="s">
        <v>238</v>
      </c>
      <c r="C63" s="320">
        <v>4</v>
      </c>
      <c r="D63" s="321"/>
      <c r="E63" s="143"/>
      <c r="F63" s="94">
        <v>192.2</v>
      </c>
      <c r="G63" s="95">
        <v>18.48</v>
      </c>
      <c r="H63" s="90">
        <f t="shared" si="20"/>
        <v>46.127999999999993</v>
      </c>
      <c r="I63" s="95">
        <f>G63+H63</f>
        <v>64.60799999999999</v>
      </c>
      <c r="J63" s="312">
        <f>F63+I63</f>
        <v>256.80799999999999</v>
      </c>
      <c r="K63" s="313"/>
      <c r="L63" s="114">
        <f>J63*0.3025</f>
        <v>77.684419999999989</v>
      </c>
      <c r="M63" s="95">
        <f>(F63/F$65)*M$65</f>
        <v>7.5928820305942146</v>
      </c>
      <c r="N63" s="95">
        <f>(F63/F$65)*N$65</f>
        <v>1.6231554243930988</v>
      </c>
      <c r="O63" s="95">
        <f t="shared" si="21"/>
        <v>9.2160374549873136</v>
      </c>
      <c r="P63" s="314">
        <f>(F63/F$65)*P$65</f>
        <v>185.68898055057048</v>
      </c>
      <c r="Q63" s="315"/>
      <c r="R63" s="96">
        <f>J63+O63+P63</f>
        <v>451.71301800555779</v>
      </c>
      <c r="S63" s="97"/>
    </row>
    <row r="64" spans="1:19" s="50" customFormat="1" ht="20.100000000000001" customHeight="1">
      <c r="A64" s="49"/>
      <c r="B64" s="32" t="s">
        <v>68</v>
      </c>
      <c r="C64" s="298">
        <f>SUM(C51:C63)</f>
        <v>2853</v>
      </c>
      <c r="D64" s="299"/>
      <c r="E64" s="110"/>
      <c r="F64" s="77">
        <f>SUMPRODUCT($C$51:$C$63,F51:F63)</f>
        <v>263701.82999999996</v>
      </c>
      <c r="G64" s="77">
        <f>SUMPRODUCT($C$51:$C$63,G51:G63)</f>
        <v>27973.32</v>
      </c>
      <c r="H64" s="77">
        <f>SUMPRODUCT($C$51:$C$63,H51:H63)</f>
        <v>63288.439200000001</v>
      </c>
      <c r="I64" s="77">
        <f>SUMPRODUCT($C$51:$C$63,I51:I63)</f>
        <v>91261.759199999986</v>
      </c>
      <c r="J64" s="300">
        <f>SUMPRODUCT(C51:C63,J51:J63)</f>
        <v>354963.58919999999</v>
      </c>
      <c r="K64" s="301"/>
      <c r="L64" s="115">
        <f>J64*0.3025</f>
        <v>107376.48573299999</v>
      </c>
      <c r="M64" s="78">
        <f>SUMPRODUCT($C$51:$C$63,M51:M63)</f>
        <v>10417.569648500576</v>
      </c>
      <c r="N64" s="78">
        <f>SUMPRODUCT($C$51:$C$63,N51:N63)</f>
        <v>2226.9982090889011</v>
      </c>
      <c r="O64" s="78">
        <f>SUMPRODUCT($C$51:$C$63,O51:O63)</f>
        <v>12644.567857589476</v>
      </c>
      <c r="P64" s="302">
        <f>SUMPRODUCT($C$51:$C$63,P51:P63)</f>
        <v>254768.59511977027</v>
      </c>
      <c r="Q64" s="303"/>
      <c r="R64" s="74">
        <f>J64+O64+P64</f>
        <v>622376.75217735977</v>
      </c>
      <c r="S64" s="79"/>
    </row>
    <row r="65" spans="2:20" ht="39" customHeight="1" thickBot="1">
      <c r="B65" s="80" t="s">
        <v>27</v>
      </c>
      <c r="C65" s="306">
        <f>C50+C64+C46</f>
        <v>3262</v>
      </c>
      <c r="D65" s="307"/>
      <c r="E65" s="135"/>
      <c r="F65" s="81">
        <f>F64+F50+F46</f>
        <v>289693.32999999996</v>
      </c>
      <c r="G65" s="81">
        <f>G50+G64+G46</f>
        <v>30920.38</v>
      </c>
      <c r="H65" s="81">
        <f t="shared" ref="H65:I65" si="28">H50+H64+H46</f>
        <v>69526.3992</v>
      </c>
      <c r="I65" s="81">
        <f t="shared" si="28"/>
        <v>100446.77919999999</v>
      </c>
      <c r="J65" s="308">
        <f>F65+I65</f>
        <v>390140.10919999995</v>
      </c>
      <c r="K65" s="309"/>
      <c r="L65" s="111">
        <f>J65*0.3025</f>
        <v>118017.38303299998</v>
      </c>
      <c r="M65" s="81">
        <f>R8+R13+R15+R17+R18+R20+R19+R24+R21</f>
        <v>11444.366699999999</v>
      </c>
      <c r="N65" s="81">
        <f>C65*0.75</f>
        <v>2446.5</v>
      </c>
      <c r="O65" s="81">
        <f>SUM(M65:N65)</f>
        <v>13890.866699999999</v>
      </c>
      <c r="P65" s="310">
        <f>(E31)*42.9</f>
        <v>279879.59999999998</v>
      </c>
      <c r="Q65" s="311"/>
      <c r="R65" s="81">
        <f>J65+O65+P65</f>
        <v>683910.57589999994</v>
      </c>
      <c r="S65" s="82"/>
      <c r="T65">
        <f>F65/J65</f>
        <v>0.74253665072793806</v>
      </c>
    </row>
    <row r="66" spans="2:20" ht="19.5" customHeight="1">
      <c r="B66"/>
      <c r="C66"/>
      <c r="D66"/>
      <c r="I66" s="75"/>
      <c r="J66" s="291"/>
      <c r="K66" s="291"/>
      <c r="L66" s="291"/>
      <c r="M66" s="51"/>
      <c r="N66" s="51"/>
      <c r="P66" s="51"/>
      <c r="Q66"/>
      <c r="R66" s="104"/>
      <c r="S66" s="23"/>
    </row>
    <row r="67" spans="2:20">
      <c r="H67" s="51"/>
      <c r="J67" s="71">
        <f>E34/J65</f>
        <v>4.6262292890135899E-3</v>
      </c>
      <c r="M67" s="13"/>
      <c r="N67" s="13"/>
      <c r="P67" s="53">
        <f>(P65+N65+R20+R19)/(E13*0.7)</f>
        <v>3.0466664977380384</v>
      </c>
    </row>
    <row r="68" spans="2:20">
      <c r="E68">
        <f>I36-E36</f>
        <v>-108.79239999999845</v>
      </c>
      <c r="F68" s="55">
        <f>'1획지'!G72</f>
        <v>1828.6464000000001</v>
      </c>
      <c r="I68" s="51"/>
      <c r="P68" s="13"/>
      <c r="Q68" s="98"/>
    </row>
    <row r="69" spans="2:20">
      <c r="B69" s="88" t="s">
        <v>101</v>
      </c>
      <c r="C69" s="139">
        <f>C44+C47+C54</f>
        <v>930</v>
      </c>
      <c r="E69">
        <f>E68/J48</f>
        <v>-1.0813751918382124</v>
      </c>
      <c r="P69" s="13"/>
      <c r="S69" s="70"/>
    </row>
    <row r="70" spans="2:20">
      <c r="B70" s="88" t="s">
        <v>100</v>
      </c>
      <c r="C70" s="139">
        <f>C45+C48+C55</f>
        <v>207</v>
      </c>
      <c r="L70" s="72"/>
      <c r="M70" s="72"/>
      <c r="N70" s="72"/>
      <c r="O70" s="72"/>
      <c r="P70" s="73"/>
    </row>
    <row r="71" spans="2:20">
      <c r="B71" s="93" t="s">
        <v>113</v>
      </c>
      <c r="C71" s="139">
        <f>C49+C58</f>
        <v>932</v>
      </c>
      <c r="G71" s="55"/>
      <c r="H71" s="51"/>
      <c r="I71" s="51"/>
      <c r="J71" s="51"/>
      <c r="L71" s="56"/>
      <c r="N71" s="71"/>
    </row>
    <row r="72" spans="2:20">
      <c r="B72" s="126" t="s">
        <v>118</v>
      </c>
      <c r="C72" s="139">
        <f>C59</f>
        <v>413</v>
      </c>
      <c r="D72" s="139">
        <v>405</v>
      </c>
      <c r="G72" s="55"/>
      <c r="H72" s="51"/>
      <c r="I72" s="51"/>
      <c r="J72" s="51"/>
      <c r="L72" s="56"/>
      <c r="N72" s="71"/>
    </row>
    <row r="73" spans="2:20">
      <c r="B73" s="88" t="s">
        <v>133</v>
      </c>
      <c r="C73" s="139">
        <f>C60</f>
        <v>430</v>
      </c>
      <c r="D73" s="13">
        <v>66</v>
      </c>
      <c r="G73" s="55"/>
      <c r="H73" s="51"/>
      <c r="I73" s="51"/>
      <c r="J73" s="51"/>
      <c r="L73" s="56"/>
      <c r="N73" s="71"/>
    </row>
    <row r="74" spans="2:20">
      <c r="B74" s="88" t="s">
        <v>105</v>
      </c>
      <c r="C74" s="139">
        <f>C61</f>
        <v>206</v>
      </c>
      <c r="D74" s="13">
        <v>199</v>
      </c>
      <c r="G74" s="55"/>
      <c r="H74" s="51"/>
      <c r="I74" s="51"/>
      <c r="J74" s="51"/>
      <c r="L74" s="56"/>
    </row>
    <row r="75" spans="2:20">
      <c r="B75" s="88" t="s">
        <v>114</v>
      </c>
      <c r="C75" s="139">
        <f>C62</f>
        <v>140</v>
      </c>
      <c r="D75" s="13">
        <v>0</v>
      </c>
      <c r="G75" s="55"/>
      <c r="H75" s="51"/>
      <c r="I75" s="51"/>
      <c r="J75" s="51"/>
      <c r="L75" s="56"/>
    </row>
    <row r="76" spans="2:20">
      <c r="B76" s="93" t="s">
        <v>238</v>
      </c>
      <c r="C76" s="139">
        <f>C63</f>
        <v>4</v>
      </c>
      <c r="D76" s="13">
        <v>140</v>
      </c>
      <c r="G76" s="55"/>
      <c r="H76" s="51"/>
      <c r="I76" s="51"/>
      <c r="J76" s="51"/>
      <c r="L76" s="56"/>
    </row>
    <row r="77" spans="2:20">
      <c r="C77" s="139">
        <f>SUM(C69:C76)</f>
        <v>3262</v>
      </c>
      <c r="G77" s="55"/>
      <c r="H77" s="51"/>
      <c r="I77" s="51"/>
      <c r="J77" s="51"/>
      <c r="L77" s="56"/>
    </row>
    <row r="78" spans="2:20">
      <c r="G78" s="55"/>
      <c r="H78" s="51"/>
      <c r="I78" s="51"/>
      <c r="J78" s="51"/>
      <c r="L78" s="56"/>
    </row>
    <row r="79" spans="2:20">
      <c r="G79" s="55"/>
      <c r="H79" s="51"/>
      <c r="I79" s="51"/>
      <c r="J79" s="51"/>
      <c r="L79" s="56"/>
    </row>
    <row r="80" spans="2:20">
      <c r="G80" s="55"/>
      <c r="H80" s="51"/>
      <c r="I80" s="51"/>
      <c r="J80" s="51"/>
      <c r="L80" s="56"/>
    </row>
    <row r="81" spans="7:12">
      <c r="G81" s="55"/>
      <c r="H81" s="51"/>
      <c r="I81" s="51"/>
      <c r="J81" s="51"/>
      <c r="L81" s="56"/>
    </row>
    <row r="82" spans="7:12">
      <c r="G82" s="55"/>
      <c r="H82" s="51"/>
      <c r="I82" s="51"/>
      <c r="J82" s="51"/>
      <c r="L82" s="56"/>
    </row>
    <row r="83" spans="7:12">
      <c r="G83" s="55"/>
      <c r="H83" s="51"/>
      <c r="I83" s="51"/>
      <c r="J83" s="51"/>
      <c r="L83" s="56"/>
    </row>
    <row r="84" spans="7:12">
      <c r="G84" s="55"/>
      <c r="H84" s="51"/>
      <c r="I84" s="51"/>
      <c r="J84" s="51"/>
      <c r="L84" s="56"/>
    </row>
    <row r="85" spans="7:12">
      <c r="G85" s="55"/>
      <c r="H85" s="51"/>
      <c r="I85" s="51"/>
      <c r="J85" s="51"/>
      <c r="L85" s="56"/>
    </row>
    <row r="86" spans="7:12">
      <c r="G86" s="55"/>
      <c r="H86" s="51"/>
      <c r="I86" s="51"/>
      <c r="J86" s="51"/>
      <c r="L86" s="56"/>
    </row>
    <row r="87" spans="7:12">
      <c r="G87" s="55"/>
      <c r="H87" s="51"/>
      <c r="I87" s="51"/>
      <c r="J87" s="51"/>
      <c r="L87" s="56"/>
    </row>
    <row r="88" spans="7:12">
      <c r="G88" s="55"/>
      <c r="H88" s="51"/>
      <c r="I88" s="51"/>
      <c r="J88" s="51"/>
      <c r="L88" s="56"/>
    </row>
    <row r="89" spans="7:12">
      <c r="G89" s="55"/>
      <c r="H89" s="51"/>
      <c r="I89" s="51"/>
      <c r="J89" s="51"/>
      <c r="L89" s="56"/>
    </row>
    <row r="90" spans="7:12">
      <c r="G90" s="55"/>
      <c r="H90" s="51"/>
      <c r="I90" s="51"/>
      <c r="J90" s="51"/>
      <c r="L90" s="56"/>
    </row>
    <row r="91" spans="7:12">
      <c r="G91" s="55"/>
      <c r="H91" s="51"/>
      <c r="I91" s="51"/>
      <c r="J91" s="51"/>
      <c r="L91" s="56"/>
    </row>
  </sheetData>
  <mergeCells count="198">
    <mergeCell ref="C58:D58"/>
    <mergeCell ref="C59:D59"/>
    <mergeCell ref="C60:D60"/>
    <mergeCell ref="C61:D61"/>
    <mergeCell ref="L20:L21"/>
    <mergeCell ref="M20:M21"/>
    <mergeCell ref="C65:D65"/>
    <mergeCell ref="J65:K65"/>
    <mergeCell ref="P65:Q65"/>
    <mergeCell ref="J48:K48"/>
    <mergeCell ref="P48:Q48"/>
    <mergeCell ref="C50:D50"/>
    <mergeCell ref="J50:K50"/>
    <mergeCell ref="P50:Q50"/>
    <mergeCell ref="J51:K51"/>
    <mergeCell ref="P51:Q51"/>
    <mergeCell ref="J56:K56"/>
    <mergeCell ref="P56:Q56"/>
    <mergeCell ref="J57:K57"/>
    <mergeCell ref="P57:Q57"/>
    <mergeCell ref="P53:Q53"/>
    <mergeCell ref="J54:K54"/>
    <mergeCell ref="P54:Q54"/>
    <mergeCell ref="J58:K58"/>
    <mergeCell ref="J66:L66"/>
    <mergeCell ref="P62:Q62"/>
    <mergeCell ref="J63:K63"/>
    <mergeCell ref="P63:Q63"/>
    <mergeCell ref="C64:D64"/>
    <mergeCell ref="J64:K64"/>
    <mergeCell ref="P64:Q64"/>
    <mergeCell ref="C63:D63"/>
    <mergeCell ref="J61:K61"/>
    <mergeCell ref="P61:Q61"/>
    <mergeCell ref="J62:K62"/>
    <mergeCell ref="C62:D62"/>
    <mergeCell ref="P58:Q58"/>
    <mergeCell ref="J59:K59"/>
    <mergeCell ref="P59:Q59"/>
    <mergeCell ref="J60:K60"/>
    <mergeCell ref="P60:Q60"/>
    <mergeCell ref="C48:D48"/>
    <mergeCell ref="J45:K45"/>
    <mergeCell ref="P45:Q45"/>
    <mergeCell ref="C46:D46"/>
    <mergeCell ref="J46:K46"/>
    <mergeCell ref="P46:Q46"/>
    <mergeCell ref="J47:K47"/>
    <mergeCell ref="P47:Q47"/>
    <mergeCell ref="J55:K55"/>
    <mergeCell ref="P55:Q55"/>
    <mergeCell ref="J52:K52"/>
    <mergeCell ref="P52:Q52"/>
    <mergeCell ref="J53:K53"/>
    <mergeCell ref="J49:K49"/>
    <mergeCell ref="P49:Q49"/>
    <mergeCell ref="C47:D47"/>
    <mergeCell ref="C49:D49"/>
    <mergeCell ref="C54:D54"/>
    <mergeCell ref="C55:D55"/>
    <mergeCell ref="M42:O42"/>
    <mergeCell ref="P42:Q43"/>
    <mergeCell ref="R42:R43"/>
    <mergeCell ref="S42:S43"/>
    <mergeCell ref="J44:K44"/>
    <mergeCell ref="P44:Q44"/>
    <mergeCell ref="B42:B43"/>
    <mergeCell ref="C42:D43"/>
    <mergeCell ref="E42:E43"/>
    <mergeCell ref="F42:F43"/>
    <mergeCell ref="G42:I42"/>
    <mergeCell ref="J42:K43"/>
    <mergeCell ref="C44:D44"/>
    <mergeCell ref="B37:D38"/>
    <mergeCell ref="E37:J38"/>
    <mergeCell ref="L37:M38"/>
    <mergeCell ref="N37:Q38"/>
    <mergeCell ref="R37:R38"/>
    <mergeCell ref="S37:S38"/>
    <mergeCell ref="B35:D36"/>
    <mergeCell ref="E35:H35"/>
    <mergeCell ref="I35:J35"/>
    <mergeCell ref="L35:M35"/>
    <mergeCell ref="E36:H36"/>
    <mergeCell ref="I36:J36"/>
    <mergeCell ref="L36:M36"/>
    <mergeCell ref="N36:Q36"/>
    <mergeCell ref="L22:M23"/>
    <mergeCell ref="B32:D32"/>
    <mergeCell ref="E32:H32"/>
    <mergeCell ref="I32:J32"/>
    <mergeCell ref="L32:M32"/>
    <mergeCell ref="B33:D33"/>
    <mergeCell ref="E33:F33"/>
    <mergeCell ref="G33:H33"/>
    <mergeCell ref="I33:J33"/>
    <mergeCell ref="L33:M33"/>
    <mergeCell ref="E30:F30"/>
    <mergeCell ref="G30:H30"/>
    <mergeCell ref="L30:M30"/>
    <mergeCell ref="C31:D31"/>
    <mergeCell ref="E31:F31"/>
    <mergeCell ref="G31:H31"/>
    <mergeCell ref="L31:M31"/>
    <mergeCell ref="C28:D29"/>
    <mergeCell ref="E28:F28"/>
    <mergeCell ref="G28:H28"/>
    <mergeCell ref="L28:M28"/>
    <mergeCell ref="E29:F29"/>
    <mergeCell ref="G29:H29"/>
    <mergeCell ref="L29:M29"/>
    <mergeCell ref="B24:B31"/>
    <mergeCell ref="C24:D26"/>
    <mergeCell ref="G24:H26"/>
    <mergeCell ref="L24:M24"/>
    <mergeCell ref="N24:P24"/>
    <mergeCell ref="N20:P20"/>
    <mergeCell ref="B21:D21"/>
    <mergeCell ref="I21:J21"/>
    <mergeCell ref="B22:D22"/>
    <mergeCell ref="I22:J22"/>
    <mergeCell ref="N22:P22"/>
    <mergeCell ref="I25:I26"/>
    <mergeCell ref="L25:M25"/>
    <mergeCell ref="N25:Q25"/>
    <mergeCell ref="L26:M26"/>
    <mergeCell ref="C27:D27"/>
    <mergeCell ref="E27:F27"/>
    <mergeCell ref="G27:H27"/>
    <mergeCell ref="L27:M27"/>
    <mergeCell ref="C23:D23"/>
    <mergeCell ref="E23:F23"/>
    <mergeCell ref="G23:H23"/>
    <mergeCell ref="N23:P23"/>
    <mergeCell ref="C30:D30"/>
    <mergeCell ref="G18:H18"/>
    <mergeCell ref="I18:J18"/>
    <mergeCell ref="N18:P18"/>
    <mergeCell ref="B19:D19"/>
    <mergeCell ref="I19:J19"/>
    <mergeCell ref="N19:P19"/>
    <mergeCell ref="B20:D20"/>
    <mergeCell ref="I20:J20"/>
    <mergeCell ref="B16:B18"/>
    <mergeCell ref="C16:D16"/>
    <mergeCell ref="G16:H16"/>
    <mergeCell ref="I16:J16"/>
    <mergeCell ref="N16:P16"/>
    <mergeCell ref="C17:D17"/>
    <mergeCell ref="G17:H17"/>
    <mergeCell ref="I17:J17"/>
    <mergeCell ref="N17:P17"/>
    <mergeCell ref="C18:D18"/>
    <mergeCell ref="B15:D15"/>
    <mergeCell ref="I15:J15"/>
    <mergeCell ref="N15:P15"/>
    <mergeCell ref="B11:B12"/>
    <mergeCell ref="G11:H12"/>
    <mergeCell ref="B13:D13"/>
    <mergeCell ref="G13:H13"/>
    <mergeCell ref="I13:J13"/>
    <mergeCell ref="N13:P13"/>
    <mergeCell ref="B9:D9"/>
    <mergeCell ref="B5:D5"/>
    <mergeCell ref="E5:H5"/>
    <mergeCell ref="L5:M5"/>
    <mergeCell ref="N5:Q5"/>
    <mergeCell ref="B6:D6"/>
    <mergeCell ref="E6:H6"/>
    <mergeCell ref="I6:J6"/>
    <mergeCell ref="L6:M6"/>
    <mergeCell ref="N6:P6"/>
    <mergeCell ref="E9:H9"/>
    <mergeCell ref="I9:J9"/>
    <mergeCell ref="E34:F34"/>
    <mergeCell ref="C45:D45"/>
    <mergeCell ref="L34:M34"/>
    <mergeCell ref="N34:Q34"/>
    <mergeCell ref="B7:D7"/>
    <mergeCell ref="E7:H7"/>
    <mergeCell ref="I7:J7"/>
    <mergeCell ref="L7:M7"/>
    <mergeCell ref="N7:P7"/>
    <mergeCell ref="B8:D8"/>
    <mergeCell ref="E8:H8"/>
    <mergeCell ref="I8:J8"/>
    <mergeCell ref="L8:M8"/>
    <mergeCell ref="N8:P8"/>
    <mergeCell ref="L9:M9"/>
    <mergeCell ref="N9:P9"/>
    <mergeCell ref="B10:D10"/>
    <mergeCell ref="G10:H10"/>
    <mergeCell ref="I10:J10"/>
    <mergeCell ref="L10:M10"/>
    <mergeCell ref="N10:P10"/>
    <mergeCell ref="B14:D14"/>
    <mergeCell ref="I14:J14"/>
    <mergeCell ref="N14:P14"/>
  </mergeCells>
  <phoneticPr fontId="1" type="noConversion"/>
  <pageMargins left="0.70866141732283472" right="0.70866141732283472" top="0.74803149606299213" bottom="0.74803149606299213" header="0.31496062992125984" footer="0.31496062992125984"/>
  <pageSetup paperSize="8" scale="5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EC9AB-70E6-46B0-8925-57C9EECCA12C}">
  <sheetPr>
    <tabColor theme="9" tint="-0.249977111117893"/>
  </sheetPr>
  <dimension ref="A2:N37"/>
  <sheetViews>
    <sheetView topLeftCell="A4" workbookViewId="0">
      <selection activeCell="R22" sqref="R22"/>
    </sheetView>
  </sheetViews>
  <sheetFormatPr defaultRowHeight="16.5"/>
  <cols>
    <col min="6" max="7" width="12.625" customWidth="1"/>
    <col min="8" max="8" width="15.625" customWidth="1"/>
  </cols>
  <sheetData>
    <row r="2" spans="2:14">
      <c r="B2" t="s">
        <v>230</v>
      </c>
    </row>
    <row r="3" spans="2:14">
      <c r="B3" s="13"/>
      <c r="C3" s="13" t="s">
        <v>227</v>
      </c>
      <c r="D3" s="13" t="s">
        <v>231</v>
      </c>
      <c r="E3" t="s">
        <v>232</v>
      </c>
      <c r="F3" s="13" t="s">
        <v>234</v>
      </c>
      <c r="G3" s="13" t="s">
        <v>235</v>
      </c>
    </row>
    <row r="4" spans="2:14">
      <c r="B4" s="88" t="s">
        <v>101</v>
      </c>
      <c r="C4" s="139">
        <v>638</v>
      </c>
      <c r="D4" s="13"/>
      <c r="E4" s="273">
        <f>C4-D4</f>
        <v>638</v>
      </c>
      <c r="F4" s="131">
        <f>'개요(전체)_발송'!F122</f>
        <v>24.613094</v>
      </c>
      <c r="G4">
        <v>56213</v>
      </c>
      <c r="H4">
        <f>E4*F4*G4</f>
        <v>882721394.22803605</v>
      </c>
    </row>
    <row r="5" spans="2:14">
      <c r="B5" s="88" t="s">
        <v>100</v>
      </c>
      <c r="C5" s="139">
        <v>336</v>
      </c>
      <c r="D5" s="13"/>
      <c r="E5" s="273">
        <f t="shared" ref="E5:E10" si="0">C5-D5</f>
        <v>336</v>
      </c>
      <c r="F5" s="131">
        <f>'개요(전체)_발송'!F123</f>
        <v>30.433193999999997</v>
      </c>
      <c r="G5">
        <v>55142</v>
      </c>
      <c r="H5">
        <f t="shared" ref="H5:H10" si="1">E5*F5*G5</f>
        <v>563857453.67212796</v>
      </c>
    </row>
    <row r="6" spans="2:14">
      <c r="B6" s="93" t="s">
        <v>113</v>
      </c>
      <c r="C6" s="139">
        <v>1079</v>
      </c>
      <c r="D6" s="13">
        <v>672</v>
      </c>
      <c r="E6" s="273">
        <f t="shared" si="0"/>
        <v>407</v>
      </c>
      <c r="F6" s="131">
        <f>'개요(전체)_발송'!F124</f>
        <v>34.383722999999996</v>
      </c>
      <c r="G6">
        <v>53536</v>
      </c>
      <c r="H6">
        <f t="shared" si="1"/>
        <v>749192166.77289593</v>
      </c>
    </row>
    <row r="7" spans="2:14">
      <c r="B7" s="126" t="s">
        <v>118</v>
      </c>
      <c r="C7" s="139">
        <v>490</v>
      </c>
      <c r="D7" s="13">
        <v>490</v>
      </c>
      <c r="E7" s="273">
        <f t="shared" si="0"/>
        <v>0</v>
      </c>
      <c r="F7" s="131">
        <f>'개요(전체)_발송'!F125</f>
        <v>40.480912999999994</v>
      </c>
      <c r="G7">
        <v>53536</v>
      </c>
      <c r="H7">
        <f t="shared" si="1"/>
        <v>0</v>
      </c>
    </row>
    <row r="8" spans="2:14">
      <c r="B8" s="88" t="s">
        <v>133</v>
      </c>
      <c r="C8" s="139">
        <v>564</v>
      </c>
      <c r="D8" s="13">
        <v>564</v>
      </c>
      <c r="E8" s="273">
        <f t="shared" si="0"/>
        <v>0</v>
      </c>
      <c r="F8" s="131">
        <f>'개요(전체)_발송'!F126</f>
        <v>45.860814999999995</v>
      </c>
      <c r="G8">
        <v>53536</v>
      </c>
      <c r="H8">
        <f t="shared" si="1"/>
        <v>0</v>
      </c>
    </row>
    <row r="9" spans="2:14">
      <c r="B9" s="88" t="s">
        <v>105</v>
      </c>
      <c r="C9" s="139">
        <v>282</v>
      </c>
      <c r="D9" s="13">
        <v>282</v>
      </c>
      <c r="E9" s="273">
        <f t="shared" si="0"/>
        <v>0</v>
      </c>
      <c r="F9" s="131">
        <f>'개요(전체)_발송'!F127</f>
        <v>52.873369999999994</v>
      </c>
      <c r="G9">
        <v>53536</v>
      </c>
      <c r="H9">
        <f t="shared" si="1"/>
        <v>0</v>
      </c>
    </row>
    <row r="10" spans="2:14">
      <c r="B10" s="93" t="s">
        <v>114</v>
      </c>
      <c r="C10" s="139">
        <v>152</v>
      </c>
      <c r="D10" s="13">
        <v>152</v>
      </c>
      <c r="E10" s="273">
        <f t="shared" si="0"/>
        <v>0</v>
      </c>
      <c r="F10" s="131">
        <f>'개요(전체)_발송'!L62</f>
        <v>65.289180000000002</v>
      </c>
      <c r="G10">
        <v>53536</v>
      </c>
      <c r="H10">
        <f t="shared" si="1"/>
        <v>0</v>
      </c>
    </row>
    <row r="11" spans="2:14">
      <c r="B11" s="32" t="s">
        <v>68</v>
      </c>
      <c r="C11" s="139">
        <f>SUM(C4:C10)</f>
        <v>3541</v>
      </c>
      <c r="D11" s="13">
        <f>SUM(D4:D10)</f>
        <v>2160</v>
      </c>
      <c r="E11" s="273">
        <f>SUM(E4:E10)</f>
        <v>1381</v>
      </c>
      <c r="F11" s="131"/>
      <c r="H11">
        <f>SUM(H4:H10)</f>
        <v>2195771014.6730599</v>
      </c>
    </row>
    <row r="12" spans="2:14">
      <c r="F12" s="131"/>
    </row>
    <row r="13" spans="2:14">
      <c r="F13" s="131"/>
    </row>
    <row r="14" spans="2:14">
      <c r="B14" t="s">
        <v>233</v>
      </c>
      <c r="F14" s="131"/>
    </row>
    <row r="15" spans="2:14">
      <c r="B15" s="13"/>
      <c r="C15" s="13" t="s">
        <v>227</v>
      </c>
      <c r="D15" s="13" t="s">
        <v>231</v>
      </c>
      <c r="E15" t="s">
        <v>232</v>
      </c>
      <c r="F15" s="131"/>
    </row>
    <row r="16" spans="2:14">
      <c r="B16" s="88" t="s">
        <v>101</v>
      </c>
      <c r="C16" s="139">
        <f>'개요(전체)_발송'!C122</f>
        <v>805</v>
      </c>
      <c r="D16" s="13">
        <v>0</v>
      </c>
      <c r="E16" s="273">
        <f>C16-D16</f>
        <v>805</v>
      </c>
      <c r="F16" s="131">
        <f>F4</f>
        <v>24.613094</v>
      </c>
      <c r="G16">
        <v>56213</v>
      </c>
      <c r="H16">
        <f>E16*F16*G16</f>
        <v>1113778561.6827099</v>
      </c>
      <c r="J16">
        <v>8</v>
      </c>
      <c r="K16">
        <v>6</v>
      </c>
      <c r="L16">
        <v>7</v>
      </c>
      <c r="M16">
        <f>SUM(J16:L16)</f>
        <v>21</v>
      </c>
      <c r="N16">
        <v>7</v>
      </c>
    </row>
    <row r="17" spans="1:11">
      <c r="B17" s="88" t="s">
        <v>100</v>
      </c>
      <c r="C17" s="139">
        <f>'개요(전체)_발송'!C123</f>
        <v>167</v>
      </c>
      <c r="D17" s="13">
        <v>0</v>
      </c>
      <c r="E17" s="273">
        <f t="shared" ref="E17:E22" si="2">C17-D17</f>
        <v>167</v>
      </c>
      <c r="F17" s="131">
        <f t="shared" ref="F17:F21" si="3">F5</f>
        <v>30.433193999999997</v>
      </c>
      <c r="G17">
        <v>55142</v>
      </c>
      <c r="H17">
        <f t="shared" ref="H17:H22" si="4">E17*F17*G17</f>
        <v>280250579.65251595</v>
      </c>
      <c r="K17">
        <v>6</v>
      </c>
    </row>
    <row r="18" spans="1:11">
      <c r="B18" s="93" t="s">
        <v>113</v>
      </c>
      <c r="C18" s="139">
        <f>'개요(전체)_발송'!C124</f>
        <v>1107</v>
      </c>
      <c r="D18" s="13">
        <v>672</v>
      </c>
      <c r="E18" s="273">
        <f t="shared" si="2"/>
        <v>435</v>
      </c>
      <c r="F18" s="131">
        <f t="shared" si="3"/>
        <v>34.383722999999996</v>
      </c>
      <c r="G18">
        <v>53536</v>
      </c>
      <c r="H18">
        <f t="shared" si="4"/>
        <v>800733642.61967993</v>
      </c>
      <c r="J18">
        <v>8</v>
      </c>
    </row>
    <row r="19" spans="1:11">
      <c r="B19" s="126" t="s">
        <v>118</v>
      </c>
      <c r="C19" s="139">
        <f>'개요(전체)_발송'!C125</f>
        <v>497</v>
      </c>
      <c r="D19" s="13">
        <v>490</v>
      </c>
      <c r="E19" s="273">
        <f t="shared" si="2"/>
        <v>7</v>
      </c>
      <c r="F19" s="131">
        <f t="shared" si="3"/>
        <v>40.480912999999994</v>
      </c>
      <c r="G19">
        <v>53536</v>
      </c>
      <c r="H19">
        <f t="shared" si="4"/>
        <v>15170303.108575998</v>
      </c>
    </row>
    <row r="20" spans="1:11">
      <c r="B20" s="88" t="s">
        <v>133</v>
      </c>
      <c r="C20" s="139">
        <f>'개요(전체)_발송'!C126</f>
        <v>580</v>
      </c>
      <c r="D20" s="13">
        <v>564</v>
      </c>
      <c r="E20" s="273">
        <f t="shared" si="2"/>
        <v>16</v>
      </c>
      <c r="F20" s="131">
        <f t="shared" si="3"/>
        <v>45.860814999999995</v>
      </c>
      <c r="G20">
        <v>53536</v>
      </c>
      <c r="H20">
        <f t="shared" si="4"/>
        <v>39283273.469439998</v>
      </c>
    </row>
    <row r="21" spans="1:11">
      <c r="B21" s="88" t="s">
        <v>105</v>
      </c>
      <c r="C21" s="139">
        <f>'개요(전체)_발송'!C127</f>
        <v>272</v>
      </c>
      <c r="D21" s="13">
        <v>282</v>
      </c>
      <c r="E21" s="273">
        <f t="shared" si="2"/>
        <v>-10</v>
      </c>
      <c r="F21" s="131">
        <f t="shared" si="3"/>
        <v>52.873369999999994</v>
      </c>
      <c r="G21">
        <v>53536</v>
      </c>
      <c r="H21">
        <f t="shared" si="4"/>
        <v>-28306287.363200001</v>
      </c>
    </row>
    <row r="22" spans="1:11">
      <c r="B22" s="93" t="s">
        <v>114</v>
      </c>
      <c r="C22" s="139">
        <f>'개요(전체)_발송'!C128</f>
        <v>140</v>
      </c>
      <c r="D22" s="13">
        <v>152</v>
      </c>
      <c r="E22" s="273">
        <f t="shared" si="2"/>
        <v>-12</v>
      </c>
      <c r="F22" s="131">
        <f>F10</f>
        <v>65.289180000000002</v>
      </c>
      <c r="G22">
        <v>53536</v>
      </c>
      <c r="H22">
        <f t="shared" si="4"/>
        <v>-41943858.485760003</v>
      </c>
    </row>
    <row r="23" spans="1:11">
      <c r="B23" s="93" t="s">
        <v>238</v>
      </c>
      <c r="C23" s="139">
        <f>'개요(전체)_발송'!C129</f>
        <v>4</v>
      </c>
      <c r="D23" s="13">
        <v>0</v>
      </c>
      <c r="E23" s="273">
        <f t="shared" ref="E23" si="5">C23-D23</f>
        <v>4</v>
      </c>
      <c r="F23" s="131">
        <f>'개요(전체)_발송'!L63</f>
        <v>77.684419999999989</v>
      </c>
      <c r="G23">
        <v>53536</v>
      </c>
      <c r="H23">
        <f t="shared" ref="H23" si="6">E23*F23*G23</f>
        <v>16635652.436479997</v>
      </c>
    </row>
    <row r="24" spans="1:11">
      <c r="B24" s="32" t="s">
        <v>68</v>
      </c>
      <c r="C24" s="139">
        <f>SUM(C16:C23)</f>
        <v>3572</v>
      </c>
      <c r="D24" s="13">
        <f>SUM(D16:D23)</f>
        <v>2160</v>
      </c>
      <c r="E24" s="273">
        <f>SUM(E16:E23)</f>
        <v>1412</v>
      </c>
      <c r="F24" s="131"/>
      <c r="H24">
        <f>SUM(H16:H23)</f>
        <v>2195601867.120441</v>
      </c>
    </row>
    <row r="25" spans="1:11">
      <c r="H25">
        <f>H24-H11</f>
        <v>-169147.55261898041</v>
      </c>
    </row>
    <row r="27" spans="1:11">
      <c r="B27" s="275" t="s">
        <v>231</v>
      </c>
      <c r="E27" t="s">
        <v>232</v>
      </c>
    </row>
    <row r="28" spans="1:11">
      <c r="B28" s="275" t="s">
        <v>236</v>
      </c>
      <c r="C28" t="s">
        <v>160</v>
      </c>
      <c r="D28" t="s">
        <v>237</v>
      </c>
      <c r="E28" s="275" t="s">
        <v>236</v>
      </c>
      <c r="F28" t="s">
        <v>160</v>
      </c>
      <c r="G28" t="s">
        <v>237</v>
      </c>
    </row>
    <row r="29" spans="1:11">
      <c r="A29" s="88" t="s">
        <v>101</v>
      </c>
      <c r="B29">
        <f t="shared" ref="B29:B35" si="7">D4</f>
        <v>0</v>
      </c>
      <c r="C29">
        <f t="shared" ref="C29:C34" si="8">D16</f>
        <v>0</v>
      </c>
      <c r="D29">
        <f>C29-B29</f>
        <v>0</v>
      </c>
      <c r="E29" s="273">
        <f t="shared" ref="E29:E35" si="9">E4</f>
        <v>638</v>
      </c>
      <c r="F29" s="273">
        <f t="shared" ref="F29:F34" si="10">E16</f>
        <v>805</v>
      </c>
      <c r="G29">
        <f>F29-E29</f>
        <v>167</v>
      </c>
    </row>
    <row r="30" spans="1:11">
      <c r="A30" s="88" t="s">
        <v>100</v>
      </c>
      <c r="B30">
        <f t="shared" si="7"/>
        <v>0</v>
      </c>
      <c r="C30">
        <f t="shared" si="8"/>
        <v>0</v>
      </c>
      <c r="D30">
        <f t="shared" ref="D30:D35" si="11">C30-B30</f>
        <v>0</v>
      </c>
      <c r="E30" s="273">
        <f t="shared" si="9"/>
        <v>336</v>
      </c>
      <c r="F30" s="273">
        <f t="shared" si="10"/>
        <v>167</v>
      </c>
      <c r="G30">
        <f t="shared" ref="G30:G36" si="12">F30-E30</f>
        <v>-169</v>
      </c>
    </row>
    <row r="31" spans="1:11">
      <c r="A31" s="93" t="s">
        <v>113</v>
      </c>
      <c r="B31">
        <f t="shared" si="7"/>
        <v>672</v>
      </c>
      <c r="C31">
        <f t="shared" si="8"/>
        <v>672</v>
      </c>
      <c r="D31">
        <f t="shared" si="11"/>
        <v>0</v>
      </c>
      <c r="E31" s="273">
        <f t="shared" si="9"/>
        <v>407</v>
      </c>
      <c r="F31" s="273">
        <f t="shared" si="10"/>
        <v>435</v>
      </c>
      <c r="G31">
        <f t="shared" si="12"/>
        <v>28</v>
      </c>
    </row>
    <row r="32" spans="1:11">
      <c r="A32" s="126" t="s">
        <v>118</v>
      </c>
      <c r="B32">
        <f t="shared" si="7"/>
        <v>490</v>
      </c>
      <c r="C32">
        <f t="shared" si="8"/>
        <v>490</v>
      </c>
      <c r="D32">
        <f t="shared" si="11"/>
        <v>0</v>
      </c>
      <c r="E32" s="273">
        <f t="shared" si="9"/>
        <v>0</v>
      </c>
      <c r="F32" s="273">
        <f t="shared" si="10"/>
        <v>7</v>
      </c>
      <c r="G32">
        <f t="shared" si="12"/>
        <v>7</v>
      </c>
    </row>
    <row r="33" spans="1:7">
      <c r="A33" s="88" t="s">
        <v>133</v>
      </c>
      <c r="B33">
        <f t="shared" si="7"/>
        <v>564</v>
      </c>
      <c r="C33">
        <f t="shared" si="8"/>
        <v>564</v>
      </c>
      <c r="D33">
        <f t="shared" si="11"/>
        <v>0</v>
      </c>
      <c r="E33" s="273">
        <f t="shared" si="9"/>
        <v>0</v>
      </c>
      <c r="F33" s="273">
        <f t="shared" si="10"/>
        <v>16</v>
      </c>
      <c r="G33">
        <f t="shared" si="12"/>
        <v>16</v>
      </c>
    </row>
    <row r="34" spans="1:7">
      <c r="A34" s="88" t="s">
        <v>105</v>
      </c>
      <c r="B34">
        <f t="shared" si="7"/>
        <v>282</v>
      </c>
      <c r="C34">
        <f t="shared" si="8"/>
        <v>282</v>
      </c>
      <c r="D34">
        <f t="shared" si="11"/>
        <v>0</v>
      </c>
      <c r="E34" s="273">
        <f t="shared" si="9"/>
        <v>0</v>
      </c>
      <c r="F34" s="273">
        <f t="shared" si="10"/>
        <v>-10</v>
      </c>
      <c r="G34">
        <f t="shared" si="12"/>
        <v>-10</v>
      </c>
    </row>
    <row r="35" spans="1:7">
      <c r="A35" s="93" t="s">
        <v>114</v>
      </c>
      <c r="B35">
        <f t="shared" si="7"/>
        <v>152</v>
      </c>
      <c r="C35">
        <f t="shared" ref="C35" si="13">D22</f>
        <v>152</v>
      </c>
      <c r="D35">
        <f t="shared" si="11"/>
        <v>0</v>
      </c>
      <c r="E35" s="273">
        <f t="shared" si="9"/>
        <v>0</v>
      </c>
      <c r="F35" s="273">
        <f t="shared" ref="F35" si="14">E22</f>
        <v>-12</v>
      </c>
      <c r="G35">
        <f t="shared" si="12"/>
        <v>-12</v>
      </c>
    </row>
    <row r="36" spans="1:7">
      <c r="A36" s="93" t="s">
        <v>238</v>
      </c>
      <c r="C36">
        <f>D23</f>
        <v>0</v>
      </c>
      <c r="E36" s="273">
        <v>0</v>
      </c>
      <c r="F36" s="273">
        <f>E23</f>
        <v>4</v>
      </c>
      <c r="G36">
        <f t="shared" si="12"/>
        <v>4</v>
      </c>
    </row>
    <row r="37" spans="1:7">
      <c r="A37" s="32" t="s">
        <v>68</v>
      </c>
      <c r="B37">
        <f t="shared" ref="B37:G37" si="15">SUM(B29:B36)</f>
        <v>2160</v>
      </c>
      <c r="C37">
        <f t="shared" si="15"/>
        <v>2160</v>
      </c>
      <c r="D37">
        <f t="shared" si="15"/>
        <v>0</v>
      </c>
      <c r="E37" s="273">
        <f t="shared" si="15"/>
        <v>1381</v>
      </c>
      <c r="F37">
        <f t="shared" si="15"/>
        <v>1412</v>
      </c>
      <c r="G37">
        <f t="shared" si="15"/>
        <v>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3</vt:i4>
      </vt:variant>
    </vt:vector>
  </HeadingPairs>
  <TitlesOfParts>
    <vt:vector size="7" baseType="lpstr">
      <vt:lpstr>개요(전체)_발송</vt:lpstr>
      <vt:lpstr>1획지</vt:lpstr>
      <vt:lpstr>2획지</vt:lpstr>
      <vt:lpstr>분양수입변동</vt:lpstr>
      <vt:lpstr>'1획지'!Print_Area</vt:lpstr>
      <vt:lpstr>'2획지'!Print_Area</vt:lpstr>
      <vt:lpstr>'개요(전체)_발송'!Print_Area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정익천</dc:creator>
  <cp:lastModifiedBy>이슬기</cp:lastModifiedBy>
  <cp:lastPrinted>2025-06-04T05:42:56Z</cp:lastPrinted>
  <dcterms:created xsi:type="dcterms:W3CDTF">2013-03-19T05:07:45Z</dcterms:created>
  <dcterms:modified xsi:type="dcterms:W3CDTF">2025-11-30T06:34:25Z</dcterms:modified>
</cp:coreProperties>
</file>