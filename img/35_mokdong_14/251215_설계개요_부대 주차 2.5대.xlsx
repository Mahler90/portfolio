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D1_DM012025N102_목동14단지아파트 재건축정비사업\01 작업방\02 개요\"/>
    </mc:Choice>
  </mc:AlternateContent>
  <xr:revisionPtr revIDLastSave="0" documentId="13_ncr:1_{B85EC83B-D1C7-4F28-9CDB-9307F6C3C259}" xr6:coauthVersionLast="47" xr6:coauthVersionMax="47" xr10:uidLastSave="{00000000-0000-0000-0000-000000000000}"/>
  <bookViews>
    <workbookView xWindow="-120" yWindow="-120" windowWidth="29040" windowHeight="17520" tabRatio="661" firstSheet="8" activeTab="8" xr2:uid="{00000000-000D-0000-FFFF-FFFF00000000}"/>
  </bookViews>
  <sheets>
    <sheet name="개요작성 - 정비계획변경" sheetId="10" state="hidden" r:id="rId1"/>
    <sheet name="적용개요" sheetId="11" state="hidden" r:id="rId2"/>
    <sheet name="설계개요(alt1)" sheetId="31" state="hidden" r:id="rId3"/>
    <sheet name="설계개요(alt2)" sheetId="30" state="hidden" r:id="rId4"/>
    <sheet name="설계개요(alt2) (j)" sheetId="32" state="hidden" r:id="rId5"/>
    <sheet name="설계개요(alt2) (조정)" sheetId="33" state="hidden" r:id="rId6"/>
    <sheet name="설계개요(통합)" sheetId="34" state="hidden" r:id="rId7"/>
    <sheet name="설계개요(통합개요)" sheetId="37" state="hidden" r:id="rId8"/>
    <sheet name="설계개요(통합개요-1)" sheetId="42" r:id="rId9"/>
    <sheet name="설계개요(1단지)" sheetId="35" r:id="rId10"/>
    <sheet name="설계개요(2단지)" sheetId="39" r:id="rId11"/>
    <sheet name="설계개요(3단지)" sheetId="40" r:id="rId12"/>
    <sheet name="설계개요(4단지)" sheetId="41" r:id="rId13"/>
    <sheet name="Sheet3" sheetId="44" r:id="rId14"/>
    <sheet name="Sheet2" sheetId="43" r:id="rId15"/>
    <sheet name="현재계획안" sheetId="45" r:id="rId16"/>
    <sheet name="Sheet1" sheetId="38" state="hidden" r:id="rId17"/>
    <sheet name="설계개요(2)" sheetId="36" state="hidden" r:id="rId18"/>
  </sheets>
  <definedNames>
    <definedName name="_xlnm.Print_Area" localSheetId="14">Sheet2!$C$50:$AG$68</definedName>
    <definedName name="_xlnm.Print_Area" localSheetId="0">'개요작성 - 정비계획변경'!$C$2:$P$82</definedName>
    <definedName name="_xlnm.Print_Area" localSheetId="9">'설계개요(1단지)'!$G$2:$T$95</definedName>
    <definedName name="_xlnm.Print_Area" localSheetId="17">'설계개요(2)'!$G$2:$T$90</definedName>
    <definedName name="_xlnm.Print_Area" localSheetId="10">'설계개요(2단지)'!$G$2:$T$91</definedName>
    <definedName name="_xlnm.Print_Area" localSheetId="11">'설계개요(3단지)'!$G$2:$T$91</definedName>
    <definedName name="_xlnm.Print_Area" localSheetId="12">'설계개요(4단지)'!$G$2:$T$91</definedName>
    <definedName name="_xlnm.Print_Area" localSheetId="2">'설계개요(alt1)'!$G$2:$T$90</definedName>
    <definedName name="_xlnm.Print_Area" localSheetId="3">'설계개요(alt2)'!$G$2:$T$90</definedName>
    <definedName name="_xlnm.Print_Area" localSheetId="4">'설계개요(alt2) (j)'!$G$2:$T$90</definedName>
    <definedName name="_xlnm.Print_Area" localSheetId="5">'설계개요(alt2) (조정)'!$G$2:$T$90</definedName>
    <definedName name="_xlnm.Print_Area" localSheetId="6">'설계개요(통합)'!$G$2:$T$90</definedName>
    <definedName name="_xlnm.Print_Area" localSheetId="7">'설계개요(통합개요)'!$G$2:$T$90</definedName>
    <definedName name="_xlnm.Print_Area" localSheetId="8">'설계개요(통합개요-1)'!$G$2:$T$95</definedName>
    <definedName name="_xlnm.Print_Area" localSheetId="1">적용개요!$G$2:$T$84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6" i="45" l="1"/>
  <c r="C66" i="45"/>
  <c r="B66" i="45"/>
  <c r="D51" i="45"/>
  <c r="D52" i="45"/>
  <c r="D53" i="45"/>
  <c r="D54" i="45"/>
  <c r="D55" i="45"/>
  <c r="D56" i="45"/>
  <c r="D57" i="45"/>
  <c r="D58" i="45"/>
  <c r="D59" i="45"/>
  <c r="D60" i="45"/>
  <c r="D61" i="45"/>
  <c r="D62" i="45"/>
  <c r="D63" i="45"/>
  <c r="D64" i="45"/>
  <c r="D65" i="45"/>
  <c r="C65" i="45"/>
  <c r="B65" i="45"/>
  <c r="C64" i="45"/>
  <c r="B64" i="45"/>
  <c r="C63" i="45"/>
  <c r="B63" i="45"/>
  <c r="C62" i="45"/>
  <c r="E39" i="45"/>
  <c r="G39" i="45"/>
  <c r="I39" i="45"/>
  <c r="B58" i="45"/>
  <c r="B56" i="45"/>
  <c r="C55" i="45"/>
  <c r="B55" i="45"/>
  <c r="C54" i="45"/>
  <c r="B54" i="45"/>
  <c r="B53" i="45"/>
  <c r="B51" i="45"/>
  <c r="C21" i="45"/>
  <c r="C50" i="45" s="1"/>
  <c r="D50" i="45" s="1"/>
  <c r="B50" i="45"/>
  <c r="I21" i="45"/>
  <c r="J21" i="45" s="1"/>
  <c r="I44" i="45"/>
  <c r="G44" i="45"/>
  <c r="E44" i="45"/>
  <c r="C44" i="45"/>
  <c r="K44" i="45" s="1"/>
  <c r="K40" i="45"/>
  <c r="I29" i="45"/>
  <c r="I30" i="45"/>
  <c r="I31" i="45"/>
  <c r="I32" i="45"/>
  <c r="I33" i="45"/>
  <c r="I34" i="45"/>
  <c r="I37" i="45"/>
  <c r="I28" i="45"/>
  <c r="G29" i="45"/>
  <c r="G30" i="45"/>
  <c r="G31" i="45"/>
  <c r="G32" i="45"/>
  <c r="G33" i="45"/>
  <c r="G34" i="45"/>
  <c r="G37" i="45"/>
  <c r="G28" i="45"/>
  <c r="E29" i="45"/>
  <c r="E30" i="45"/>
  <c r="E31" i="45"/>
  <c r="E32" i="45"/>
  <c r="E33" i="45"/>
  <c r="E34" i="45"/>
  <c r="E37" i="45"/>
  <c r="E28" i="45"/>
  <c r="E35" i="45" s="1"/>
  <c r="C58" i="45" s="1"/>
  <c r="C29" i="45"/>
  <c r="C30" i="45"/>
  <c r="C31" i="45"/>
  <c r="C32" i="45"/>
  <c r="C33" i="45"/>
  <c r="C34" i="45"/>
  <c r="C37" i="45"/>
  <c r="C28" i="45"/>
  <c r="J44" i="45"/>
  <c r="J40" i="45"/>
  <c r="J37" i="45"/>
  <c r="J29" i="45"/>
  <c r="J30" i="45"/>
  <c r="J31" i="45"/>
  <c r="J32" i="45"/>
  <c r="J33" i="45"/>
  <c r="J34" i="45"/>
  <c r="J28" i="45"/>
  <c r="H35" i="45"/>
  <c r="H38" i="45" s="1"/>
  <c r="F35" i="45"/>
  <c r="F38" i="45" s="1"/>
  <c r="D35" i="45"/>
  <c r="D38" i="45" s="1"/>
  <c r="B35" i="45"/>
  <c r="B38" i="45" s="1"/>
  <c r="B39" i="45" s="1"/>
  <c r="B60" i="45" l="1"/>
  <c r="B62" i="45"/>
  <c r="K28" i="45"/>
  <c r="L28" i="45" s="1"/>
  <c r="L40" i="45"/>
  <c r="K37" i="45"/>
  <c r="L37" i="45" s="1"/>
  <c r="G35" i="45"/>
  <c r="L44" i="45"/>
  <c r="C35" i="45"/>
  <c r="C56" i="45" s="1"/>
  <c r="B36" i="45"/>
  <c r="B57" i="45" s="1"/>
  <c r="K34" i="45"/>
  <c r="L34" i="45" s="1"/>
  <c r="K30" i="45"/>
  <c r="L30" i="45" s="1"/>
  <c r="K31" i="45"/>
  <c r="L31" i="45" s="1"/>
  <c r="I35" i="45"/>
  <c r="K33" i="45"/>
  <c r="L33" i="45" s="1"/>
  <c r="K29" i="45"/>
  <c r="L29" i="45" s="1"/>
  <c r="K32" i="45"/>
  <c r="L32" i="45" s="1"/>
  <c r="E36" i="45"/>
  <c r="C59" i="45" s="1"/>
  <c r="E38" i="45"/>
  <c r="K35" i="45"/>
  <c r="K36" i="45" s="1"/>
  <c r="J35" i="45"/>
  <c r="J38" i="45" s="1"/>
  <c r="J39" i="45" s="1"/>
  <c r="H39" i="45"/>
  <c r="F39" i="45"/>
  <c r="D39" i="45"/>
  <c r="H36" i="45"/>
  <c r="F36" i="45"/>
  <c r="B61" i="45" s="1"/>
  <c r="D36" i="45"/>
  <c r="B59" i="45" s="1"/>
  <c r="I38" i="45" l="1"/>
  <c r="I36" i="45"/>
  <c r="G38" i="45"/>
  <c r="G36" i="45"/>
  <c r="C61" i="45" s="1"/>
  <c r="C60" i="45"/>
  <c r="J36" i="45"/>
  <c r="C38" i="45"/>
  <c r="C39" i="45" s="1"/>
  <c r="C36" i="45"/>
  <c r="C57" i="45" s="1"/>
  <c r="K38" i="45"/>
  <c r="L35" i="45"/>
  <c r="L36" i="45"/>
  <c r="K39" i="45" l="1"/>
  <c r="L39" i="45" s="1"/>
  <c r="L38" i="45"/>
  <c r="F21" i="45" l="1"/>
  <c r="C22" i="45"/>
  <c r="B23" i="45"/>
  <c r="B52" i="45" s="1"/>
  <c r="P17" i="45"/>
  <c r="P18" i="45" s="1"/>
  <c r="P20" i="45" s="1"/>
  <c r="O17" i="45"/>
  <c r="M12" i="45"/>
  <c r="M11" i="45"/>
  <c r="M10" i="45"/>
  <c r="M9" i="45"/>
  <c r="M8" i="45"/>
  <c r="F93" i="41"/>
  <c r="F92" i="41"/>
  <c r="F91" i="41"/>
  <c r="F90" i="41"/>
  <c r="F87" i="41"/>
  <c r="F86" i="41"/>
  <c r="M7" i="45" s="1"/>
  <c r="F83" i="41"/>
  <c r="M6" i="45" s="1"/>
  <c r="F82" i="41"/>
  <c r="M5" i="45" s="1"/>
  <c r="E93" i="41"/>
  <c r="E92" i="41"/>
  <c r="E91" i="41"/>
  <c r="E90" i="41"/>
  <c r="E87" i="41"/>
  <c r="E86" i="41"/>
  <c r="E83" i="41"/>
  <c r="E82" i="41"/>
  <c r="E84" i="41"/>
  <c r="E85" i="41"/>
  <c r="E88" i="41"/>
  <c r="E89" i="41"/>
  <c r="J12" i="45"/>
  <c r="J9" i="45"/>
  <c r="J8" i="45"/>
  <c r="J5" i="45"/>
  <c r="F91" i="40"/>
  <c r="F90" i="40"/>
  <c r="F87" i="40"/>
  <c r="F86" i="40"/>
  <c r="J7" i="45" s="1"/>
  <c r="F83" i="40"/>
  <c r="J6" i="45" s="1"/>
  <c r="F82" i="40"/>
  <c r="E90" i="40"/>
  <c r="E91" i="40"/>
  <c r="E87" i="40"/>
  <c r="E86" i="40"/>
  <c r="E83" i="40"/>
  <c r="E82" i="40"/>
  <c r="E88" i="40"/>
  <c r="G12" i="45"/>
  <c r="G6" i="45"/>
  <c r="G5" i="45"/>
  <c r="F92" i="39"/>
  <c r="F91" i="39"/>
  <c r="G9" i="45" s="1"/>
  <c r="F90" i="39"/>
  <c r="G8" i="45" s="1"/>
  <c r="F87" i="39"/>
  <c r="G7" i="45" s="1"/>
  <c r="F86" i="39"/>
  <c r="F83" i="39"/>
  <c r="E92" i="39"/>
  <c r="E91" i="39"/>
  <c r="E90" i="39"/>
  <c r="E83" i="39"/>
  <c r="E87" i="39"/>
  <c r="E86" i="39"/>
  <c r="D12" i="45"/>
  <c r="D11" i="45"/>
  <c r="D10" i="45"/>
  <c r="D9" i="45"/>
  <c r="D8" i="45"/>
  <c r="D6" i="45"/>
  <c r="F96" i="35"/>
  <c r="F95" i="35"/>
  <c r="F94" i="35"/>
  <c r="F93" i="35"/>
  <c r="F90" i="35"/>
  <c r="F89" i="35"/>
  <c r="D7" i="45" s="1"/>
  <c r="F86" i="35"/>
  <c r="F85" i="35"/>
  <c r="D5" i="45" s="1"/>
  <c r="E96" i="35"/>
  <c r="E95" i="35"/>
  <c r="E94" i="35"/>
  <c r="E93" i="35"/>
  <c r="E90" i="35"/>
  <c r="E89" i="35"/>
  <c r="E86" i="35"/>
  <c r="E87" i="35"/>
  <c r="E88" i="35"/>
  <c r="E91" i="35"/>
  <c r="E92" i="35"/>
  <c r="E85" i="35"/>
  <c r="D22" i="45" l="1"/>
  <c r="C51" i="45"/>
  <c r="G21" i="45"/>
  <c r="C53" i="45"/>
  <c r="C23" i="45"/>
  <c r="D21" i="45"/>
  <c r="P6" i="45"/>
  <c r="P7" i="45"/>
  <c r="P8" i="45"/>
  <c r="P9" i="45"/>
  <c r="P10" i="45"/>
  <c r="P11" i="45"/>
  <c r="P12" i="45"/>
  <c r="P5" i="45"/>
  <c r="O6" i="45"/>
  <c r="O7" i="45"/>
  <c r="O8" i="45"/>
  <c r="O9" i="45"/>
  <c r="O10" i="45"/>
  <c r="O11" i="45"/>
  <c r="O12" i="45"/>
  <c r="O5" i="45"/>
  <c r="M13" i="45"/>
  <c r="L13" i="45"/>
  <c r="N12" i="45"/>
  <c r="N11" i="45"/>
  <c r="N10" i="45"/>
  <c r="N9" i="45"/>
  <c r="N8" i="45"/>
  <c r="N7" i="45"/>
  <c r="N6" i="45"/>
  <c r="N5" i="45"/>
  <c r="J13" i="45"/>
  <c r="I13" i="45"/>
  <c r="K12" i="45"/>
  <c r="K11" i="45"/>
  <c r="K10" i="45"/>
  <c r="K9" i="45"/>
  <c r="K8" i="45"/>
  <c r="K7" i="45"/>
  <c r="K6" i="45"/>
  <c r="K5" i="45"/>
  <c r="G13" i="45"/>
  <c r="F13" i="45"/>
  <c r="H12" i="45"/>
  <c r="H11" i="45"/>
  <c r="H10" i="45"/>
  <c r="H9" i="45"/>
  <c r="H8" i="45"/>
  <c r="H7" i="45"/>
  <c r="H6" i="45"/>
  <c r="H5" i="45"/>
  <c r="E6" i="45"/>
  <c r="E7" i="45"/>
  <c r="E8" i="45"/>
  <c r="E9" i="45"/>
  <c r="E10" i="45"/>
  <c r="E11" i="45"/>
  <c r="E12" i="45"/>
  <c r="E5" i="45"/>
  <c r="D13" i="45"/>
  <c r="C13" i="45"/>
  <c r="B12" i="45"/>
  <c r="B11" i="45"/>
  <c r="B10" i="45"/>
  <c r="B9" i="45"/>
  <c r="B8" i="45"/>
  <c r="B7" i="45"/>
  <c r="B6" i="45"/>
  <c r="B5" i="45"/>
  <c r="U78" i="42"/>
  <c r="U76" i="42"/>
  <c r="U72" i="42"/>
  <c r="U44" i="42"/>
  <c r="U42" i="42"/>
  <c r="P79" i="41"/>
  <c r="P79" i="40"/>
  <c r="P82" i="35"/>
  <c r="D23" i="45" l="1"/>
  <c r="C52" i="45"/>
  <c r="Q9" i="45"/>
  <c r="Q7" i="45"/>
  <c r="Q12" i="45"/>
  <c r="Q6" i="45"/>
  <c r="Q11" i="45"/>
  <c r="Q8" i="45"/>
  <c r="Q10" i="45"/>
  <c r="N13" i="45"/>
  <c r="P13" i="45"/>
  <c r="Q5" i="45"/>
  <c r="O13" i="45"/>
  <c r="K13" i="45"/>
  <c r="H13" i="45"/>
  <c r="E13" i="45"/>
  <c r="H51" i="40"/>
  <c r="P28" i="41"/>
  <c r="P28" i="40"/>
  <c r="P28" i="39"/>
  <c r="Q13" i="45" l="1"/>
  <c r="Q26" i="35" l="1"/>
  <c r="Q27" i="35" s="1"/>
  <c r="J40" i="42" l="1"/>
  <c r="Q23" i="41"/>
  <c r="Q22" i="41"/>
  <c r="Q23" i="39"/>
  <c r="Q23" i="40"/>
  <c r="Q22" i="40"/>
  <c r="Q22" i="39"/>
  <c r="Q22" i="35"/>
  <c r="J20" i="35"/>
  <c r="Q24" i="40" l="1"/>
  <c r="Q24" i="41"/>
  <c r="Q24" i="39"/>
  <c r="R16" i="41" l="1"/>
  <c r="R16" i="40"/>
  <c r="R16" i="35"/>
  <c r="R16" i="39"/>
  <c r="Q14" i="39" l="1"/>
  <c r="R16" i="42" l="1"/>
  <c r="P31" i="39" l="1"/>
  <c r="H44" i="42"/>
  <c r="H42" i="42"/>
  <c r="L42" i="41"/>
  <c r="K42" i="41"/>
  <c r="J42" i="41"/>
  <c r="M41" i="41"/>
  <c r="N41" i="41" s="1"/>
  <c r="L40" i="41"/>
  <c r="J40" i="41"/>
  <c r="J37" i="41"/>
  <c r="J38" i="41" s="1"/>
  <c r="K37" i="41"/>
  <c r="L37" i="41"/>
  <c r="L38" i="41" s="1"/>
  <c r="K38" i="41"/>
  <c r="L42" i="40"/>
  <c r="K42" i="40"/>
  <c r="J42" i="40"/>
  <c r="M41" i="40"/>
  <c r="N41" i="40" s="1"/>
  <c r="L40" i="40"/>
  <c r="J40" i="40"/>
  <c r="P32" i="39"/>
  <c r="K47" i="39"/>
  <c r="K39" i="39" s="1"/>
  <c r="M39" i="39" s="1"/>
  <c r="L42" i="39"/>
  <c r="K42" i="39"/>
  <c r="J42" i="39"/>
  <c r="M41" i="39"/>
  <c r="M42" i="39" s="1"/>
  <c r="L40" i="39"/>
  <c r="J40" i="39"/>
  <c r="L46" i="39"/>
  <c r="K46" i="39"/>
  <c r="J46" i="39"/>
  <c r="M45" i="39"/>
  <c r="N45" i="39" s="1"/>
  <c r="J37" i="39"/>
  <c r="J38" i="39" s="1"/>
  <c r="K37" i="39"/>
  <c r="K38" i="39" s="1"/>
  <c r="L37" i="39"/>
  <c r="L38" i="39" s="1"/>
  <c r="G40" i="39"/>
  <c r="L51" i="35"/>
  <c r="K51" i="35"/>
  <c r="J51" i="35"/>
  <c r="M50" i="35"/>
  <c r="N50" i="35" s="1"/>
  <c r="L43" i="35"/>
  <c r="K43" i="35"/>
  <c r="J43" i="35"/>
  <c r="M42" i="35"/>
  <c r="M43" i="35" s="1"/>
  <c r="M37" i="41" l="1"/>
  <c r="N37" i="41" s="1"/>
  <c r="M37" i="39"/>
  <c r="M38" i="39" s="1"/>
  <c r="N41" i="39"/>
  <c r="N42" i="39" s="1"/>
  <c r="H54" i="42"/>
  <c r="H56" i="35"/>
  <c r="H50" i="42"/>
  <c r="N42" i="41"/>
  <c r="M42" i="41"/>
  <c r="N42" i="40"/>
  <c r="M42" i="40"/>
  <c r="H53" i="39"/>
  <c r="E51" i="39" s="1"/>
  <c r="N39" i="39"/>
  <c r="M40" i="39"/>
  <c r="K40" i="39"/>
  <c r="N46" i="39"/>
  <c r="M46" i="39"/>
  <c r="N37" i="39"/>
  <c r="G42" i="39"/>
  <c r="N42" i="35"/>
  <c r="N43" i="35" s="1"/>
  <c r="N51" i="35"/>
  <c r="M51" i="35"/>
  <c r="M38" i="41" l="1"/>
  <c r="D54" i="42"/>
  <c r="N38" i="41"/>
  <c r="E47" i="39"/>
  <c r="E53" i="39" s="1"/>
  <c r="N40" i="39"/>
  <c r="G39" i="39" s="1"/>
  <c r="N38" i="39"/>
  <c r="G37" i="39" s="1"/>
  <c r="G41" i="39"/>
  <c r="H80" i="35" l="1"/>
  <c r="L45" i="35"/>
  <c r="K45" i="35"/>
  <c r="J45" i="35"/>
  <c r="G45" i="35"/>
  <c r="M44" i="35"/>
  <c r="N44" i="35" s="1"/>
  <c r="G43" i="35"/>
  <c r="J40" i="35"/>
  <c r="K40" i="35"/>
  <c r="L40" i="35"/>
  <c r="J41" i="35"/>
  <c r="K41" i="35"/>
  <c r="L41" i="35"/>
  <c r="H62" i="42"/>
  <c r="L45" i="42"/>
  <c r="K45" i="42"/>
  <c r="J45" i="42"/>
  <c r="G45" i="42"/>
  <c r="M44" i="42"/>
  <c r="M45" i="42" s="1"/>
  <c r="L43" i="42"/>
  <c r="J43" i="42"/>
  <c r="G43" i="42"/>
  <c r="J41" i="42"/>
  <c r="L40" i="42"/>
  <c r="L41" i="42" s="1"/>
  <c r="K40" i="42"/>
  <c r="K41" i="42" s="1"/>
  <c r="P35" i="42"/>
  <c r="P34" i="42"/>
  <c r="M40" i="35" l="1"/>
  <c r="M41" i="35" s="1"/>
  <c r="Q22" i="42"/>
  <c r="N45" i="35"/>
  <c r="G44" i="35" s="1"/>
  <c r="M45" i="35"/>
  <c r="N40" i="35"/>
  <c r="T31" i="42"/>
  <c r="N44" i="42"/>
  <c r="N45" i="42" s="1"/>
  <c r="G44" i="42" s="1"/>
  <c r="M40" i="42"/>
  <c r="G42" i="35" l="1"/>
  <c r="N41" i="35"/>
  <c r="G40" i="35" s="1"/>
  <c r="M41" i="42"/>
  <c r="N40" i="42"/>
  <c r="N41" i="42" s="1"/>
  <c r="G40" i="42" s="1"/>
  <c r="O102" i="42" l="1"/>
  <c r="O103" i="42" s="1"/>
  <c r="M100" i="42"/>
  <c r="M101" i="42" s="1"/>
  <c r="M98" i="42"/>
  <c r="M99" i="42" s="1"/>
  <c r="M102" i="42" l="1"/>
  <c r="I102" i="42"/>
  <c r="K102" i="42"/>
  <c r="K103" i="42" s="1"/>
  <c r="M103" i="42"/>
  <c r="I103" i="42" l="1"/>
  <c r="H64" i="42" l="1"/>
  <c r="H66" i="42"/>
  <c r="H68" i="42"/>
  <c r="H70" i="42"/>
  <c r="H72" i="42"/>
  <c r="H74" i="42"/>
  <c r="H76" i="42"/>
  <c r="H78" i="42"/>
  <c r="H52" i="42"/>
  <c r="Q23" i="42" l="1"/>
  <c r="I100" i="42"/>
  <c r="I101" i="42" s="1"/>
  <c r="K100" i="42"/>
  <c r="K101" i="42" s="1"/>
  <c r="K98" i="42"/>
  <c r="K99" i="42" s="1"/>
  <c r="I98" i="42"/>
  <c r="I99" i="42" s="1"/>
  <c r="J106" i="42"/>
  <c r="K106" i="42"/>
  <c r="Q24" i="42" l="1"/>
  <c r="O98" i="42"/>
  <c r="O99" i="42"/>
  <c r="O100" i="42" l="1"/>
  <c r="P102" i="42" l="1"/>
  <c r="O101" i="42"/>
  <c r="P98" i="42" l="1"/>
  <c r="Q102" i="42"/>
  <c r="Q103" i="42" s="1"/>
  <c r="P103" i="42"/>
  <c r="P100" i="42"/>
  <c r="P101" i="42" l="1"/>
  <c r="Q100" i="42"/>
  <c r="Q101" i="42" s="1"/>
  <c r="P99" i="42"/>
  <c r="Q98" i="42"/>
  <c r="Q99" i="42" s="1"/>
  <c r="R8" i="42" l="1"/>
  <c r="R7" i="42"/>
  <c r="R6" i="42"/>
  <c r="R10" i="42"/>
  <c r="R11" i="42"/>
  <c r="R12" i="42"/>
  <c r="R13" i="42"/>
  <c r="R14" i="42"/>
  <c r="R9" i="42"/>
  <c r="V20" i="42" l="1"/>
  <c r="V9" i="42"/>
  <c r="V8" i="42" s="1"/>
  <c r="H27" i="40"/>
  <c r="V21" i="42" l="1"/>
  <c r="K27" i="40"/>
  <c r="V63" i="40"/>
  <c r="V61" i="40"/>
  <c r="V59" i="40"/>
  <c r="V77" i="40" s="1"/>
  <c r="V51" i="40"/>
  <c r="V47" i="40"/>
  <c r="V53" i="40" l="1"/>
  <c r="V79" i="40"/>
  <c r="K86" i="39" l="1"/>
  <c r="I86" i="39"/>
  <c r="O91" i="40"/>
  <c r="M90" i="40"/>
  <c r="M91" i="40" s="1"/>
  <c r="M89" i="40"/>
  <c r="K88" i="40"/>
  <c r="K89" i="40" s="1"/>
  <c r="I88" i="40"/>
  <c r="M87" i="40"/>
  <c r="K86" i="40"/>
  <c r="K87" i="40" s="1"/>
  <c r="I86" i="40"/>
  <c r="M85" i="40"/>
  <c r="P84" i="40"/>
  <c r="P85" i="40" s="1"/>
  <c r="O84" i="40"/>
  <c r="K84" i="40"/>
  <c r="K85" i="40" s="1"/>
  <c r="I84" i="40"/>
  <c r="I85" i="40" s="1"/>
  <c r="Q84" i="40" l="1"/>
  <c r="Q85" i="40" s="1"/>
  <c r="I90" i="40"/>
  <c r="I91" i="40" s="1"/>
  <c r="I89" i="40"/>
  <c r="O85" i="40"/>
  <c r="K90" i="40"/>
  <c r="K91" i="40" s="1"/>
  <c r="O86" i="40"/>
  <c r="O87" i="40" s="1"/>
  <c r="I87" i="40"/>
  <c r="O88" i="40" l="1"/>
  <c r="O89" i="40" s="1"/>
  <c r="Q25" i="40"/>
  <c r="R25" i="40" s="1"/>
  <c r="P90" i="40" s="1"/>
  <c r="P91" i="40" l="1"/>
  <c r="P88" i="40"/>
  <c r="P86" i="40"/>
  <c r="Q90" i="40"/>
  <c r="Q91" i="40" s="1"/>
  <c r="P87" i="40" l="1"/>
  <c r="Q86" i="40"/>
  <c r="Q87" i="40" s="1"/>
  <c r="P89" i="40"/>
  <c r="Q88" i="40"/>
  <c r="Q89" i="40" s="1"/>
  <c r="AC77" i="39"/>
  <c r="AC53" i="39"/>
  <c r="AC79" i="39" l="1"/>
  <c r="Y80" i="35"/>
  <c r="Y56" i="35"/>
  <c r="Y53" i="41"/>
  <c r="Y77" i="41"/>
  <c r="Z63" i="41"/>
  <c r="Y79" i="41" l="1"/>
  <c r="Y82" i="35"/>
  <c r="V67" i="41" l="1"/>
  <c r="V65" i="41"/>
  <c r="V63" i="41"/>
  <c r="V61" i="41"/>
  <c r="V59" i="41"/>
  <c r="V51" i="41"/>
  <c r="V47" i="41"/>
  <c r="V53" i="41" s="1"/>
  <c r="X63" i="39"/>
  <c r="X61" i="39"/>
  <c r="X59" i="39"/>
  <c r="X77" i="39" s="1"/>
  <c r="X51" i="39"/>
  <c r="X47" i="39"/>
  <c r="X53" i="39" s="1"/>
  <c r="V63" i="39"/>
  <c r="V61" i="39"/>
  <c r="V59" i="39"/>
  <c r="V51" i="39"/>
  <c r="V47" i="39"/>
  <c r="V56" i="35"/>
  <c r="V76" i="35"/>
  <c r="V72" i="35"/>
  <c r="V70" i="35"/>
  <c r="V68" i="35"/>
  <c r="V66" i="35"/>
  <c r="V64" i="35"/>
  <c r="V62" i="35"/>
  <c r="X79" i="39" l="1"/>
  <c r="V53" i="39"/>
  <c r="V77" i="41"/>
  <c r="V79" i="41" s="1"/>
  <c r="V77" i="39"/>
  <c r="V79" i="39" s="1"/>
  <c r="V80" i="35"/>
  <c r="V82" i="35" s="1"/>
  <c r="V80" i="42"/>
  <c r="W81" i="42" s="1"/>
  <c r="X74" i="42"/>
  <c r="X60" i="42"/>
  <c r="X58" i="42"/>
  <c r="V56" i="42"/>
  <c r="Y79" i="42"/>
  <c r="Y80" i="42"/>
  <c r="W67" i="42" l="1"/>
  <c r="W77" i="42"/>
  <c r="W79" i="42"/>
  <c r="W65" i="42"/>
  <c r="W69" i="42"/>
  <c r="W63" i="42"/>
  <c r="W71" i="42"/>
  <c r="W51" i="42"/>
  <c r="V82" i="42"/>
  <c r="W78" i="42" s="1"/>
  <c r="W55" i="42"/>
  <c r="W57" i="42" l="1"/>
  <c r="W54" i="42"/>
  <c r="W76" i="42"/>
  <c r="W50" i="42"/>
  <c r="W66" i="42"/>
  <c r="W70" i="42"/>
  <c r="W64" i="42"/>
  <c r="W68" i="42"/>
  <c r="W62" i="42"/>
  <c r="T112" i="43"/>
  <c r="AF63" i="43"/>
  <c r="AE63" i="43"/>
  <c r="AD63" i="43"/>
  <c r="AC63" i="43"/>
  <c r="AB63" i="43"/>
  <c r="AA63" i="43"/>
  <c r="Z63" i="43"/>
  <c r="Z100" i="43" s="1"/>
  <c r="Y63" i="43"/>
  <c r="X63" i="43"/>
  <c r="W63" i="43"/>
  <c r="AF59" i="43"/>
  <c r="AC59" i="43"/>
  <c r="AB59" i="43"/>
  <c r="AA59" i="43"/>
  <c r="Z59" i="43"/>
  <c r="Y59" i="43"/>
  <c r="N97" i="43" s="1"/>
  <c r="X59" i="43"/>
  <c r="W59" i="43"/>
  <c r="N94" i="43" s="1"/>
  <c r="AF57" i="43"/>
  <c r="AE57" i="43"/>
  <c r="AD57" i="43"/>
  <c r="AC57" i="43"/>
  <c r="H107" i="43" s="1"/>
  <c r="AB57" i="43"/>
  <c r="H104" i="43" s="1"/>
  <c r="AA57" i="43"/>
  <c r="Z57" i="43"/>
  <c r="H101" i="43" s="1"/>
  <c r="Y57" i="43"/>
  <c r="H97" i="43" s="1"/>
  <c r="X57" i="43"/>
  <c r="W57" i="43"/>
  <c r="W56" i="42" l="1"/>
  <c r="X75" i="41" l="1"/>
  <c r="X73" i="41"/>
  <c r="X71" i="41"/>
  <c r="X69" i="41"/>
  <c r="X67" i="41"/>
  <c r="X65" i="41"/>
  <c r="X63" i="41"/>
  <c r="X61" i="41"/>
  <c r="X59" i="41"/>
  <c r="X57" i="41"/>
  <c r="X55" i="41"/>
  <c r="X51" i="41"/>
  <c r="X47" i="41"/>
  <c r="X78" i="35"/>
  <c r="X76" i="35"/>
  <c r="X74" i="35"/>
  <c r="X72" i="35"/>
  <c r="X70" i="35"/>
  <c r="X68" i="35"/>
  <c r="X66" i="35"/>
  <c r="X64" i="35"/>
  <c r="X62" i="35"/>
  <c r="X60" i="35"/>
  <c r="X58" i="35"/>
  <c r="X54" i="35"/>
  <c r="X50" i="35"/>
  <c r="W81" i="35" l="1"/>
  <c r="U80" i="35"/>
  <c r="W55" i="35"/>
  <c r="W51" i="35"/>
  <c r="W78" i="41"/>
  <c r="W64" i="41"/>
  <c r="W62" i="41"/>
  <c r="W60" i="41"/>
  <c r="W48" i="41"/>
  <c r="Z75" i="39"/>
  <c r="AB75" i="39" s="1"/>
  <c r="Z73" i="39"/>
  <c r="AB73" i="39" s="1"/>
  <c r="Z71" i="39"/>
  <c r="AB71" i="39" s="1"/>
  <c r="Z69" i="39"/>
  <c r="AB69" i="39" s="1"/>
  <c r="Z67" i="39"/>
  <c r="AB67" i="39" s="1"/>
  <c r="Z65" i="39"/>
  <c r="AB65" i="39" s="1"/>
  <c r="Z63" i="39"/>
  <c r="AB63" i="39" s="1"/>
  <c r="Z61" i="39"/>
  <c r="AB61" i="39" s="1"/>
  <c r="Z59" i="39"/>
  <c r="AB59" i="39" s="1"/>
  <c r="Z57" i="39"/>
  <c r="AB57" i="39" s="1"/>
  <c r="Z55" i="39"/>
  <c r="AB55" i="39" s="1"/>
  <c r="Z51" i="39"/>
  <c r="AB51" i="39" s="1"/>
  <c r="Z47" i="39"/>
  <c r="AB47" i="39" s="1"/>
  <c r="W78" i="39"/>
  <c r="W76" i="39"/>
  <c r="Y78" i="39"/>
  <c r="Y76" i="39"/>
  <c r="Y68" i="39"/>
  <c r="Y48" i="39"/>
  <c r="W66" i="39"/>
  <c r="U77" i="39"/>
  <c r="X66" i="42"/>
  <c r="X78" i="42"/>
  <c r="X50" i="42"/>
  <c r="X70" i="42"/>
  <c r="X54" i="42"/>
  <c r="W57" i="35" l="1"/>
  <c r="Y52" i="39"/>
  <c r="Y54" i="39" s="1"/>
  <c r="W60" i="39"/>
  <c r="Y60" i="39"/>
  <c r="W62" i="39"/>
  <c r="Z53" i="39"/>
  <c r="AA48" i="39" s="1"/>
  <c r="W48" i="39"/>
  <c r="Z77" i="39"/>
  <c r="AA66" i="39" s="1"/>
  <c r="Y66" i="39"/>
  <c r="AA68" i="39"/>
  <c r="W52" i="39"/>
  <c r="AA60" i="39"/>
  <c r="W64" i="39"/>
  <c r="Y64" i="39"/>
  <c r="W68" i="39"/>
  <c r="W77" i="35"/>
  <c r="Y62" i="39"/>
  <c r="W63" i="35"/>
  <c r="W65" i="35"/>
  <c r="W67" i="35"/>
  <c r="W69" i="35"/>
  <c r="W71" i="35"/>
  <c r="W79" i="35"/>
  <c r="W68" i="41"/>
  <c r="W66" i="41"/>
  <c r="W76" i="41"/>
  <c r="W52" i="41"/>
  <c r="W54" i="41" s="1"/>
  <c r="AA52" i="39" l="1"/>
  <c r="W54" i="39"/>
  <c r="Y63" i="39"/>
  <c r="Y47" i="39"/>
  <c r="Y67" i="39"/>
  <c r="Y59" i="39"/>
  <c r="Y65" i="39"/>
  <c r="Y75" i="39"/>
  <c r="Y61" i="39"/>
  <c r="Y51" i="39"/>
  <c r="W62" i="35"/>
  <c r="W76" i="35"/>
  <c r="W75" i="39"/>
  <c r="W63" i="39"/>
  <c r="W51" i="39"/>
  <c r="W65" i="39"/>
  <c r="Z79" i="39"/>
  <c r="W67" i="39"/>
  <c r="W61" i="39"/>
  <c r="W59" i="39"/>
  <c r="W47" i="39"/>
  <c r="W51" i="41"/>
  <c r="W69" i="41"/>
  <c r="AA70" i="39"/>
  <c r="AB53" i="39"/>
  <c r="AA56" i="39"/>
  <c r="AA54" i="39"/>
  <c r="AA58" i="39"/>
  <c r="AA62" i="39"/>
  <c r="AA78" i="39"/>
  <c r="AA74" i="39"/>
  <c r="AA72" i="39"/>
  <c r="AA76" i="39"/>
  <c r="AA64" i="39"/>
  <c r="W54" i="35"/>
  <c r="W70" i="35"/>
  <c r="W64" i="35"/>
  <c r="W68" i="35"/>
  <c r="W50" i="35"/>
  <c r="W66" i="35"/>
  <c r="W78" i="35"/>
  <c r="W63" i="41"/>
  <c r="W47" i="41"/>
  <c r="W59" i="41"/>
  <c r="W65" i="41"/>
  <c r="W67" i="41"/>
  <c r="W75" i="41"/>
  <c r="W61" i="41"/>
  <c r="W53" i="39" l="1"/>
  <c r="W53" i="41"/>
  <c r="AA59" i="39"/>
  <c r="AA71" i="39"/>
  <c r="AA51" i="39"/>
  <c r="AA57" i="39"/>
  <c r="AA55" i="39"/>
  <c r="AA75" i="39"/>
  <c r="AA73" i="39"/>
  <c r="AA69" i="39"/>
  <c r="AA67" i="39"/>
  <c r="AA61" i="39"/>
  <c r="AA47" i="39"/>
  <c r="AA63" i="39"/>
  <c r="AA65" i="39"/>
  <c r="AA53" i="39"/>
  <c r="Y53" i="39"/>
  <c r="W56" i="35"/>
  <c r="AA77" i="39" l="1"/>
  <c r="AA79" i="39" s="1"/>
  <c r="J13" i="39"/>
  <c r="J9" i="42"/>
  <c r="X62" i="42" l="1"/>
  <c r="Z102" i="43" l="1"/>
  <c r="Z96" i="43"/>
  <c r="N101" i="43"/>
  <c r="N98" i="43"/>
  <c r="N96" i="43"/>
  <c r="J20" i="41" l="1"/>
  <c r="J20" i="40"/>
  <c r="M91" i="42"/>
  <c r="H30" i="35" l="1"/>
  <c r="Z98" i="43" l="1"/>
  <c r="Z99" i="43"/>
  <c r="Z107" i="43" l="1"/>
  <c r="Z105" i="43"/>
  <c r="Z94" i="43"/>
  <c r="H111" i="43"/>
  <c r="H105" i="43"/>
  <c r="H94" i="43"/>
  <c r="C67" i="39" l="1"/>
  <c r="C65" i="39"/>
  <c r="C63" i="39"/>
  <c r="C61" i="39"/>
  <c r="C59" i="39"/>
  <c r="C59" i="40"/>
  <c r="E80" i="40"/>
  <c r="C79" i="39" l="1"/>
  <c r="B63" i="39"/>
  <c r="E34" i="40"/>
  <c r="X64" i="42" l="1"/>
  <c r="C66" i="35" l="1"/>
  <c r="C64" i="35"/>
  <c r="C68" i="35"/>
  <c r="C76" i="35"/>
  <c r="C78" i="35"/>
  <c r="C70" i="35"/>
  <c r="C62" i="35"/>
  <c r="G97" i="43" l="1"/>
  <c r="N99" i="43"/>
  <c r="S94" i="43"/>
  <c r="S106" i="43"/>
  <c r="S97" i="43"/>
  <c r="C72" i="35"/>
  <c r="E13" i="40"/>
  <c r="AG98" i="43" l="1"/>
  <c r="AG99" i="43"/>
  <c r="AG100" i="43"/>
  <c r="H109" i="43"/>
  <c r="F117" i="43" s="1"/>
  <c r="AG94" i="43" l="1"/>
  <c r="AG96" i="43"/>
  <c r="S104" i="43"/>
  <c r="X68" i="42"/>
  <c r="Y107" i="43" l="1"/>
  <c r="Y106" i="43"/>
  <c r="AE107" i="43"/>
  <c r="AE106" i="43"/>
  <c r="AE112" i="43"/>
  <c r="AE110" i="43"/>
  <c r="AE105" i="43" l="1"/>
  <c r="AE104" i="43"/>
  <c r="AG102" i="43"/>
  <c r="X117" i="43"/>
  <c r="Z106" i="43"/>
  <c r="AG105" i="43"/>
  <c r="Y105" i="43"/>
  <c r="Z104" i="43"/>
  <c r="Z112" i="43"/>
  <c r="Y112" i="43"/>
  <c r="Y104" i="43"/>
  <c r="S112" i="43"/>
  <c r="N112" i="43"/>
  <c r="L117" i="43"/>
  <c r="M112" i="43"/>
  <c r="N106" i="43"/>
  <c r="M106" i="43"/>
  <c r="N104" i="43"/>
  <c r="M104" i="43"/>
  <c r="M97" i="43"/>
  <c r="M96" i="43"/>
  <c r="AG112" i="43"/>
  <c r="H110" i="43"/>
  <c r="AG111" i="43" s="1"/>
  <c r="AG110" i="43"/>
  <c r="H108" i="43"/>
  <c r="H106" i="43"/>
  <c r="G108" i="43"/>
  <c r="G110" i="43"/>
  <c r="H112" i="43"/>
  <c r="G112" i="43"/>
  <c r="G105" i="43"/>
  <c r="G106" i="43"/>
  <c r="G104" i="43"/>
  <c r="AF65" i="43"/>
  <c r="AF53" i="43"/>
  <c r="AD113" i="43" s="1"/>
  <c r="AG63" i="43"/>
  <c r="AD64" i="43" s="1"/>
  <c r="AG61" i="43"/>
  <c r="AG59" i="43"/>
  <c r="AA60" i="43" s="1"/>
  <c r="AG57" i="43"/>
  <c r="AC53" i="43"/>
  <c r="X76" i="42"/>
  <c r="X72" i="42"/>
  <c r="X112" i="43" l="1"/>
  <c r="R112" i="43"/>
  <c r="R106" i="43"/>
  <c r="X107" i="43"/>
  <c r="F106" i="43"/>
  <c r="AD107" i="43"/>
  <c r="AD106" i="43"/>
  <c r="X106" i="43"/>
  <c r="L112" i="43"/>
  <c r="F112" i="43"/>
  <c r="L106" i="43"/>
  <c r="R115" i="43"/>
  <c r="AG113" i="43"/>
  <c r="AG106" i="43"/>
  <c r="F115" i="43"/>
  <c r="L115" i="43"/>
  <c r="AG104" i="43"/>
  <c r="AF58" i="43"/>
  <c r="Y58" i="43"/>
  <c r="AG107" i="43"/>
  <c r="AI119" i="43" s="1"/>
  <c r="AJ119" i="43" s="1"/>
  <c r="AB64" i="43"/>
  <c r="AF64" i="43"/>
  <c r="AF60" i="43"/>
  <c r="AF62" i="43"/>
  <c r="AB62" i="43"/>
  <c r="AA62" i="43"/>
  <c r="Y60" i="43"/>
  <c r="AH65" i="43"/>
  <c r="E83" i="35"/>
  <c r="AE111" i="43" l="1"/>
  <c r="AE113" i="43"/>
  <c r="AE109" i="43"/>
  <c r="AE102" i="43"/>
  <c r="AE101" i="43"/>
  <c r="AE100" i="43"/>
  <c r="AE99" i="43"/>
  <c r="AE98" i="43"/>
  <c r="AE96" i="43"/>
  <c r="AE95" i="43"/>
  <c r="AE94" i="43"/>
  <c r="AE88" i="43"/>
  <c r="AE87" i="43"/>
  <c r="AE86" i="43"/>
  <c r="AE85" i="43"/>
  <c r="AE84" i="43"/>
  <c r="AE83" i="43"/>
  <c r="AE82" i="43"/>
  <c r="AE81" i="43"/>
  <c r="AE80" i="43"/>
  <c r="AE79" i="43"/>
  <c r="AE78" i="43"/>
  <c r="AE77" i="43"/>
  <c r="AE76" i="43"/>
  <c r="AE75" i="43"/>
  <c r="Y102" i="43" l="1"/>
  <c r="Y99" i="43"/>
  <c r="Y96" i="43"/>
  <c r="S101" i="43"/>
  <c r="M101" i="43"/>
  <c r="G101" i="43"/>
  <c r="G111" i="43" l="1"/>
  <c r="G109" i="43"/>
  <c r="G107" i="43"/>
  <c r="G100" i="43"/>
  <c r="G99" i="43"/>
  <c r="G98" i="43"/>
  <c r="G95" i="43"/>
  <c r="G94" i="43"/>
  <c r="M111" i="43"/>
  <c r="M109" i="43"/>
  <c r="M107" i="43"/>
  <c r="M100" i="43"/>
  <c r="M99" i="43"/>
  <c r="M98" i="43"/>
  <c r="M95" i="43"/>
  <c r="M94" i="43"/>
  <c r="S111" i="43"/>
  <c r="S109" i="43"/>
  <c r="S100" i="43"/>
  <c r="S99" i="43"/>
  <c r="S98" i="43"/>
  <c r="S95" i="43"/>
  <c r="S96" i="43"/>
  <c r="G88" i="43"/>
  <c r="G87" i="43"/>
  <c r="G86" i="43"/>
  <c r="G85" i="43"/>
  <c r="G84" i="43"/>
  <c r="G83" i="43"/>
  <c r="G82" i="43"/>
  <c r="G81" i="43"/>
  <c r="G80" i="43"/>
  <c r="G79" i="43"/>
  <c r="G78" i="43"/>
  <c r="G77" i="43"/>
  <c r="G76" i="43"/>
  <c r="G75" i="43"/>
  <c r="M88" i="43"/>
  <c r="M87" i="43"/>
  <c r="M86" i="43"/>
  <c r="M85" i="43"/>
  <c r="M84" i="43"/>
  <c r="M83" i="43"/>
  <c r="M82" i="43"/>
  <c r="M81" i="43"/>
  <c r="M80" i="43"/>
  <c r="M79" i="43"/>
  <c r="M78" i="43"/>
  <c r="M77" i="43"/>
  <c r="M76" i="43"/>
  <c r="M75" i="43"/>
  <c r="S88" i="43"/>
  <c r="S87" i="43"/>
  <c r="S86" i="43"/>
  <c r="S85" i="43"/>
  <c r="S84" i="43"/>
  <c r="S83" i="43"/>
  <c r="S82" i="43"/>
  <c r="S81" i="43"/>
  <c r="S80" i="43"/>
  <c r="S79" i="43"/>
  <c r="S78" i="43"/>
  <c r="S77" i="43"/>
  <c r="S76" i="43"/>
  <c r="S75" i="43"/>
  <c r="Y88" i="43"/>
  <c r="Y87" i="43"/>
  <c r="Y86" i="43"/>
  <c r="Y85" i="43"/>
  <c r="Y84" i="43"/>
  <c r="Y83" i="43"/>
  <c r="Y82" i="43"/>
  <c r="Y81" i="43"/>
  <c r="Y80" i="43"/>
  <c r="Y79" i="43"/>
  <c r="Y78" i="43"/>
  <c r="Y77" i="43"/>
  <c r="Y76" i="43"/>
  <c r="Y75" i="43"/>
  <c r="Y94" i="43"/>
  <c r="Y95" i="43"/>
  <c r="Y98" i="43"/>
  <c r="Y100" i="43"/>
  <c r="Z111" i="43"/>
  <c r="Z109" i="43"/>
  <c r="X115" i="43" s="1"/>
  <c r="Z101" i="43"/>
  <c r="Z95" i="43"/>
  <c r="N95" i="43"/>
  <c r="N100" i="43"/>
  <c r="N109" i="43"/>
  <c r="Y111" i="43"/>
  <c r="Y109" i="43"/>
  <c r="Y101" i="43"/>
  <c r="H100" i="43"/>
  <c r="H95" i="43"/>
  <c r="T88" i="43"/>
  <c r="T87" i="43"/>
  <c r="T86" i="43"/>
  <c r="T85" i="43"/>
  <c r="T84" i="43"/>
  <c r="T83" i="43"/>
  <c r="Z88" i="43"/>
  <c r="Z87" i="43"/>
  <c r="Z86" i="43"/>
  <c r="Z85" i="43"/>
  <c r="Z82" i="43"/>
  <c r="Z80" i="43"/>
  <c r="Z76" i="43"/>
  <c r="H82" i="43"/>
  <c r="H81" i="43"/>
  <c r="H80" i="43"/>
  <c r="H79" i="43"/>
  <c r="H78" i="43"/>
  <c r="H77" i="43"/>
  <c r="H76" i="43"/>
  <c r="H75" i="43"/>
  <c r="N88" i="43"/>
  <c r="N87" i="43"/>
  <c r="N86" i="43"/>
  <c r="N85" i="43"/>
  <c r="N84" i="43"/>
  <c r="N83" i="43"/>
  <c r="N81" i="43"/>
  <c r="N78" i="43"/>
  <c r="N77" i="43"/>
  <c r="AD65" i="43" s="1"/>
  <c r="AE53" i="43" s="1"/>
  <c r="AD112" i="43" l="1"/>
  <c r="F110" i="43"/>
  <c r="X116" i="43"/>
  <c r="F116" i="43"/>
  <c r="F118" i="43" s="1"/>
  <c r="AG101" i="43"/>
  <c r="T113" i="43"/>
  <c r="U94" i="43" s="1"/>
  <c r="L116" i="43"/>
  <c r="L118" i="43" s="1"/>
  <c r="N113" i="43"/>
  <c r="O112" i="43" s="1"/>
  <c r="H113" i="43"/>
  <c r="I110" i="43" s="1"/>
  <c r="AD118" i="43"/>
  <c r="R117" i="43"/>
  <c r="AB118" i="43" s="1"/>
  <c r="Z113" i="43"/>
  <c r="AG109" i="43"/>
  <c r="AD116" i="43" s="1"/>
  <c r="R116" i="43"/>
  <c r="AG95" i="43"/>
  <c r="F111" i="43"/>
  <c r="AD53" i="43" s="1"/>
  <c r="X109" i="43" s="1"/>
  <c r="AD111" i="43"/>
  <c r="T117" i="43"/>
  <c r="L107" i="43"/>
  <c r="X111" i="43"/>
  <c r="L111" i="43"/>
  <c r="R111" i="43"/>
  <c r="AB65" i="43"/>
  <c r="AA65" i="43"/>
  <c r="Y64" i="43"/>
  <c r="X62" i="43"/>
  <c r="W53" i="43"/>
  <c r="Y65" i="43"/>
  <c r="AD67" i="43"/>
  <c r="AC65" i="43"/>
  <c r="Z65" i="43"/>
  <c r="X65" i="43"/>
  <c r="X58" i="43"/>
  <c r="W60" i="43"/>
  <c r="AE65" i="43"/>
  <c r="W65" i="43"/>
  <c r="AA53" i="43"/>
  <c r="AD101" i="43" s="1"/>
  <c r="R53" i="43"/>
  <c r="AD88" i="43" s="1"/>
  <c r="Q53" i="43"/>
  <c r="P53" i="43"/>
  <c r="O53" i="43"/>
  <c r="AD85" i="43" s="1"/>
  <c r="N53" i="43"/>
  <c r="AD84" i="43" s="1"/>
  <c r="M53" i="43"/>
  <c r="AD83" i="43" s="1"/>
  <c r="L53" i="43"/>
  <c r="AD82" i="43" s="1"/>
  <c r="K53" i="43"/>
  <c r="AD81" i="43" s="1"/>
  <c r="J53" i="43"/>
  <c r="AD80" i="43" s="1"/>
  <c r="I53" i="43"/>
  <c r="AD79" i="43" s="1"/>
  <c r="H53" i="43"/>
  <c r="AD78" i="43" s="1"/>
  <c r="G53" i="43"/>
  <c r="AD77" i="43" s="1"/>
  <c r="F53" i="43"/>
  <c r="AD76" i="43" s="1"/>
  <c r="E53" i="43"/>
  <c r="AD75" i="43" s="1"/>
  <c r="F3" i="43"/>
  <c r="G3" i="43"/>
  <c r="H3" i="43"/>
  <c r="I3" i="43"/>
  <c r="J3" i="43"/>
  <c r="K3" i="43"/>
  <c r="L3" i="43"/>
  <c r="M3" i="43"/>
  <c r="N3" i="43"/>
  <c r="O3" i="43"/>
  <c r="P3" i="43"/>
  <c r="Q3" i="43"/>
  <c r="R3" i="43"/>
  <c r="E3" i="43"/>
  <c r="G25" i="43"/>
  <c r="H25" i="43"/>
  <c r="K25" i="43"/>
  <c r="M25" i="43"/>
  <c r="N25" i="43"/>
  <c r="O25" i="43"/>
  <c r="P25" i="43"/>
  <c r="Q25" i="43"/>
  <c r="R25" i="43"/>
  <c r="M34" i="43"/>
  <c r="N34" i="43"/>
  <c r="O34" i="43"/>
  <c r="P34" i="43"/>
  <c r="Q34" i="43"/>
  <c r="R34" i="43"/>
  <c r="F45" i="43"/>
  <c r="J45" i="43"/>
  <c r="L45" i="43"/>
  <c r="O45" i="43"/>
  <c r="P45" i="43"/>
  <c r="Q45" i="43"/>
  <c r="R45" i="43"/>
  <c r="F19" i="43"/>
  <c r="G19" i="43"/>
  <c r="H19" i="43"/>
  <c r="I19" i="43"/>
  <c r="J19" i="43"/>
  <c r="K19" i="43"/>
  <c r="L19" i="43"/>
  <c r="E19" i="43"/>
  <c r="I24" i="43"/>
  <c r="E24" i="43"/>
  <c r="I23" i="43"/>
  <c r="E23" i="43"/>
  <c r="I22" i="43"/>
  <c r="E22" i="43"/>
  <c r="L21" i="43"/>
  <c r="J21" i="43"/>
  <c r="F21" i="43"/>
  <c r="L20" i="43"/>
  <c r="J20" i="43"/>
  <c r="F20" i="43"/>
  <c r="L33" i="43"/>
  <c r="J33" i="43"/>
  <c r="F33" i="43"/>
  <c r="I32" i="43"/>
  <c r="E32" i="43"/>
  <c r="I31" i="43"/>
  <c r="E31" i="43"/>
  <c r="L30" i="43"/>
  <c r="J30" i="43"/>
  <c r="F30" i="43"/>
  <c r="L29" i="43"/>
  <c r="J29" i="43"/>
  <c r="F29" i="43"/>
  <c r="K28" i="43"/>
  <c r="H28" i="43"/>
  <c r="G28" i="43"/>
  <c r="K27" i="43"/>
  <c r="H27" i="43"/>
  <c r="G27" i="43"/>
  <c r="K26" i="43"/>
  <c r="H26" i="43"/>
  <c r="G26" i="43"/>
  <c r="K44" i="43"/>
  <c r="H44" i="43"/>
  <c r="G44" i="43"/>
  <c r="G43" i="43"/>
  <c r="H43" i="43"/>
  <c r="K43" i="43"/>
  <c r="N42" i="43"/>
  <c r="M42" i="43"/>
  <c r="N41" i="43"/>
  <c r="M41" i="43"/>
  <c r="I40" i="43"/>
  <c r="E40" i="43"/>
  <c r="N39" i="43"/>
  <c r="M39" i="43"/>
  <c r="I38" i="43"/>
  <c r="E38" i="43"/>
  <c r="I37" i="43"/>
  <c r="E37" i="43"/>
  <c r="N36" i="43"/>
  <c r="M36" i="43"/>
  <c r="N35" i="43"/>
  <c r="M35" i="43"/>
  <c r="Q18" i="43"/>
  <c r="Q19" i="43" s="1"/>
  <c r="R18" i="43"/>
  <c r="R19" i="43" s="1"/>
  <c r="N17" i="43"/>
  <c r="M17" i="43"/>
  <c r="S17" i="43" s="1"/>
  <c r="M16" i="43"/>
  <c r="N16" i="43"/>
  <c r="O16" i="43"/>
  <c r="P16" i="43"/>
  <c r="M15" i="43"/>
  <c r="N15" i="43"/>
  <c r="O15" i="43"/>
  <c r="P15" i="43"/>
  <c r="M14" i="43"/>
  <c r="N14" i="43"/>
  <c r="M13" i="43"/>
  <c r="N13" i="43"/>
  <c r="M12" i="43"/>
  <c r="N12" i="43"/>
  <c r="M11" i="43"/>
  <c r="N11" i="43"/>
  <c r="M10" i="43"/>
  <c r="N10" i="43"/>
  <c r="O10" i="43"/>
  <c r="P10" i="43"/>
  <c r="P9" i="43"/>
  <c r="O9" i="43"/>
  <c r="M9" i="43"/>
  <c r="N9" i="43"/>
  <c r="O8" i="43"/>
  <c r="P8" i="43"/>
  <c r="M8" i="43"/>
  <c r="N8" i="43"/>
  <c r="S12" i="43" l="1"/>
  <c r="L25" i="43"/>
  <c r="L59" i="43" s="1"/>
  <c r="R109" i="43"/>
  <c r="AD110" i="43"/>
  <c r="F108" i="43"/>
  <c r="F109" i="43"/>
  <c r="R94" i="43"/>
  <c r="L96" i="43"/>
  <c r="L109" i="43"/>
  <c r="AB117" i="43"/>
  <c r="AD117" i="43"/>
  <c r="AD119" i="43" s="1"/>
  <c r="I108" i="43"/>
  <c r="O106" i="43"/>
  <c r="I112" i="43"/>
  <c r="I97" i="43"/>
  <c r="AE118" i="43"/>
  <c r="R118" i="43"/>
  <c r="U97" i="43"/>
  <c r="U106" i="43"/>
  <c r="X118" i="43"/>
  <c r="AB116" i="43"/>
  <c r="AA107" i="43"/>
  <c r="AA112" i="43"/>
  <c r="AA105" i="43"/>
  <c r="U112" i="43"/>
  <c r="U104" i="43"/>
  <c r="AA102" i="43"/>
  <c r="AA104" i="43"/>
  <c r="AG65" i="43"/>
  <c r="AG66" i="43" s="1"/>
  <c r="O97" i="43"/>
  <c r="O104" i="43"/>
  <c r="O107" i="43"/>
  <c r="O96" i="43"/>
  <c r="I104" i="43"/>
  <c r="I105" i="43"/>
  <c r="O94" i="43"/>
  <c r="X96" i="43"/>
  <c r="AD96" i="43"/>
  <c r="AD94" i="43"/>
  <c r="AD87" i="43"/>
  <c r="AD86" i="43"/>
  <c r="O99" i="43"/>
  <c r="O95" i="43"/>
  <c r="O98" i="43"/>
  <c r="F107" i="43"/>
  <c r="AB53" i="43" s="1"/>
  <c r="AD109" i="43"/>
  <c r="AG114" i="43"/>
  <c r="O111" i="43"/>
  <c r="O101" i="43"/>
  <c r="U98" i="43"/>
  <c r="U101" i="43"/>
  <c r="I107" i="43"/>
  <c r="AB113" i="43"/>
  <c r="I101" i="43"/>
  <c r="AA96" i="43"/>
  <c r="AA99" i="43"/>
  <c r="O109" i="43"/>
  <c r="O100" i="43"/>
  <c r="U95" i="43"/>
  <c r="U111" i="43"/>
  <c r="U109" i="43"/>
  <c r="U99" i="43"/>
  <c r="U100" i="43"/>
  <c r="U96" i="43"/>
  <c r="AB67" i="43"/>
  <c r="I98" i="43"/>
  <c r="I109" i="43"/>
  <c r="I100" i="43"/>
  <c r="I95" i="43"/>
  <c r="I94" i="43"/>
  <c r="I111" i="43"/>
  <c r="I99" i="43"/>
  <c r="I106" i="43"/>
  <c r="F100" i="43"/>
  <c r="R100" i="43"/>
  <c r="X101" i="43"/>
  <c r="L100" i="43"/>
  <c r="X64" i="43"/>
  <c r="AA106" i="43"/>
  <c r="AA109" i="43"/>
  <c r="AA111" i="43"/>
  <c r="AA94" i="43"/>
  <c r="AA95" i="43"/>
  <c r="AA101" i="43"/>
  <c r="F94" i="43"/>
  <c r="X94" i="43"/>
  <c r="R96" i="43"/>
  <c r="L94" i="43"/>
  <c r="I34" i="43"/>
  <c r="I61" i="43" s="1"/>
  <c r="T79" i="43" s="1"/>
  <c r="AA98" i="43"/>
  <c r="S32" i="43"/>
  <c r="AA100" i="43"/>
  <c r="AC64" i="43"/>
  <c r="W62" i="43"/>
  <c r="Z62" i="43"/>
  <c r="Z64" i="43"/>
  <c r="AE64" i="43"/>
  <c r="W64" i="43"/>
  <c r="W58" i="43"/>
  <c r="AA64" i="43"/>
  <c r="L81" i="43"/>
  <c r="X81" i="43"/>
  <c r="F81" i="43"/>
  <c r="R81" i="43"/>
  <c r="L80" i="43"/>
  <c r="R80" i="43"/>
  <c r="X80" i="43"/>
  <c r="F80" i="43"/>
  <c r="R82" i="43"/>
  <c r="X82" i="43"/>
  <c r="L82" i="43"/>
  <c r="F82" i="43"/>
  <c r="R83" i="43"/>
  <c r="X83" i="43"/>
  <c r="F83" i="43"/>
  <c r="L83" i="43"/>
  <c r="X84" i="43"/>
  <c r="F84" i="43"/>
  <c r="L84" i="43"/>
  <c r="R84" i="43"/>
  <c r="L79" i="43"/>
  <c r="R79" i="43"/>
  <c r="X79" i="43"/>
  <c r="F79" i="43"/>
  <c r="N82" i="43"/>
  <c r="F87" i="43"/>
  <c r="L87" i="43"/>
  <c r="R87" i="43"/>
  <c r="F86" i="43"/>
  <c r="L86" i="43"/>
  <c r="R86" i="43"/>
  <c r="X87" i="43"/>
  <c r="X86" i="43"/>
  <c r="L77" i="43"/>
  <c r="F77" i="43"/>
  <c r="R77" i="43"/>
  <c r="X77" i="43"/>
  <c r="L78" i="43"/>
  <c r="R78" i="43"/>
  <c r="X78" i="43"/>
  <c r="F78" i="43"/>
  <c r="L88" i="43"/>
  <c r="R88" i="43"/>
  <c r="F88" i="43"/>
  <c r="X88" i="43"/>
  <c r="F76" i="43"/>
  <c r="L76" i="43"/>
  <c r="X76" i="43"/>
  <c r="R76" i="43"/>
  <c r="F85" i="43"/>
  <c r="L85" i="43"/>
  <c r="R85" i="43"/>
  <c r="X85" i="43"/>
  <c r="S23" i="43"/>
  <c r="X75" i="43"/>
  <c r="F75" i="43"/>
  <c r="L75" i="43"/>
  <c r="R75" i="43"/>
  <c r="Y62" i="43"/>
  <c r="AC60" i="43"/>
  <c r="AB58" i="43"/>
  <c r="AA58" i="43"/>
  <c r="AC58" i="43"/>
  <c r="AE58" i="43"/>
  <c r="Z60" i="43"/>
  <c r="W67" i="43"/>
  <c r="AE67" i="43"/>
  <c r="Z58" i="43"/>
  <c r="J25" i="43"/>
  <c r="J59" i="43" s="1"/>
  <c r="AD58" i="43"/>
  <c r="X60" i="43"/>
  <c r="Y67" i="43"/>
  <c r="AB60" i="43"/>
  <c r="S31" i="43"/>
  <c r="AE60" i="43"/>
  <c r="S21" i="43"/>
  <c r="S44" i="43"/>
  <c r="I25" i="43"/>
  <c r="I59" i="43" s="1"/>
  <c r="I45" i="43"/>
  <c r="I63" i="43" s="1"/>
  <c r="S38" i="43"/>
  <c r="S26" i="43"/>
  <c r="S24" i="43"/>
  <c r="E45" i="43"/>
  <c r="E63" i="43" s="1"/>
  <c r="S39" i="43"/>
  <c r="S9" i="43"/>
  <c r="F34" i="43"/>
  <c r="F61" i="43" s="1"/>
  <c r="T76" i="43" s="1"/>
  <c r="S35" i="43"/>
  <c r="K45" i="43"/>
  <c r="K63" i="43" s="1"/>
  <c r="J34" i="43"/>
  <c r="J61" i="43" s="1"/>
  <c r="G34" i="43"/>
  <c r="G61" i="43" s="1"/>
  <c r="H34" i="43"/>
  <c r="H61" i="43" s="1"/>
  <c r="P19" i="43"/>
  <c r="P46" i="43" s="1"/>
  <c r="H45" i="43"/>
  <c r="H63" i="43" s="1"/>
  <c r="S11" i="43"/>
  <c r="S36" i="43"/>
  <c r="G45" i="43"/>
  <c r="G63" i="43" s="1"/>
  <c r="S30" i="43"/>
  <c r="S22" i="43"/>
  <c r="L34" i="43"/>
  <c r="L61" i="43" s="1"/>
  <c r="S13" i="43"/>
  <c r="S14" i="43"/>
  <c r="N45" i="43"/>
  <c r="N63" i="43" s="1"/>
  <c r="S15" i="43"/>
  <c r="O19" i="43"/>
  <c r="O46" i="43" s="1"/>
  <c r="S8" i="43"/>
  <c r="N19" i="43"/>
  <c r="N57" i="43" s="1"/>
  <c r="K34" i="43"/>
  <c r="K61" i="43" s="1"/>
  <c r="S10" i="43"/>
  <c r="S27" i="43"/>
  <c r="S18" i="43"/>
  <c r="S40" i="43"/>
  <c r="Q46" i="43"/>
  <c r="Q57" i="43"/>
  <c r="R46" i="43"/>
  <c r="R57" i="43"/>
  <c r="S43" i="43"/>
  <c r="S37" i="43"/>
  <c r="S42" i="43"/>
  <c r="S20" i="43"/>
  <c r="M45" i="43"/>
  <c r="M63" i="43" s="1"/>
  <c r="M19" i="43"/>
  <c r="M57" i="43" s="1"/>
  <c r="S29" i="43"/>
  <c r="E25" i="43"/>
  <c r="S33" i="43"/>
  <c r="F25" i="43"/>
  <c r="F59" i="43" s="1"/>
  <c r="N76" i="43" s="1"/>
  <c r="S41" i="43"/>
  <c r="E34" i="43"/>
  <c r="S16" i="43"/>
  <c r="S28" i="43"/>
  <c r="H27" i="41"/>
  <c r="E31" i="41"/>
  <c r="R104" i="43" l="1"/>
  <c r="AD104" i="43"/>
  <c r="X104" i="43"/>
  <c r="AD105" i="43"/>
  <c r="L104" i="43"/>
  <c r="X105" i="43"/>
  <c r="AE117" i="43"/>
  <c r="O113" i="43"/>
  <c r="AB119" i="43"/>
  <c r="AE119" i="43" s="1"/>
  <c r="AE116" i="43"/>
  <c r="AH110" i="43"/>
  <c r="AH112" i="43"/>
  <c r="AH95" i="43"/>
  <c r="AH105" i="43"/>
  <c r="AH104" i="43"/>
  <c r="U113" i="43"/>
  <c r="AA113" i="43"/>
  <c r="I113" i="43"/>
  <c r="F105" i="43"/>
  <c r="F104" i="43"/>
  <c r="I65" i="43"/>
  <c r="Z53" i="43"/>
  <c r="AH102" i="43"/>
  <c r="AH107" i="43"/>
  <c r="AH111" i="43"/>
  <c r="AH97" i="43"/>
  <c r="AH101" i="43"/>
  <c r="AH106" i="43"/>
  <c r="AH98" i="43"/>
  <c r="AH103" i="43"/>
  <c r="AH99" i="43"/>
  <c r="AH113" i="43"/>
  <c r="AI113" i="43" s="1"/>
  <c r="AH96" i="43"/>
  <c r="AH94" i="43"/>
  <c r="AH100" i="43"/>
  <c r="AH109" i="43"/>
  <c r="Y66" i="43"/>
  <c r="AC66" i="43"/>
  <c r="Z77" i="43"/>
  <c r="X66" i="43"/>
  <c r="AE66" i="43"/>
  <c r="AE68" i="43" s="1"/>
  <c r="L65" i="43"/>
  <c r="T82" i="43"/>
  <c r="AG82" i="43" s="1"/>
  <c r="R65" i="43"/>
  <c r="R67" i="43" s="1"/>
  <c r="H88" i="43"/>
  <c r="AG88" i="43" s="1"/>
  <c r="Q65" i="43"/>
  <c r="H87" i="43"/>
  <c r="AG87" i="43" s="1"/>
  <c r="N79" i="43"/>
  <c r="AD66" i="43"/>
  <c r="AD68" i="43" s="1"/>
  <c r="Z75" i="43"/>
  <c r="Z66" i="43"/>
  <c r="T81" i="43"/>
  <c r="T77" i="43"/>
  <c r="Z83" i="43"/>
  <c r="T80" i="43"/>
  <c r="W66" i="43"/>
  <c r="Z81" i="43"/>
  <c r="AA66" i="43"/>
  <c r="Z79" i="43"/>
  <c r="N80" i="43"/>
  <c r="H84" i="43"/>
  <c r="Z84" i="43"/>
  <c r="Z78" i="43"/>
  <c r="T78" i="43"/>
  <c r="AG78" i="43" s="1"/>
  <c r="AB66" i="43"/>
  <c r="P57" i="43"/>
  <c r="I46" i="43"/>
  <c r="L46" i="43"/>
  <c r="J65" i="43"/>
  <c r="G65" i="43"/>
  <c r="K65" i="43"/>
  <c r="H65" i="43"/>
  <c r="N65" i="43"/>
  <c r="O57" i="43"/>
  <c r="G46" i="43"/>
  <c r="J46" i="43"/>
  <c r="H46" i="43"/>
  <c r="N46" i="43"/>
  <c r="F46" i="43"/>
  <c r="K46" i="43"/>
  <c r="E61" i="43"/>
  <c r="T75" i="43" s="1"/>
  <c r="S34" i="43"/>
  <c r="E46" i="43"/>
  <c r="F65" i="43"/>
  <c r="S45" i="43"/>
  <c r="M46" i="43"/>
  <c r="S19" i="43"/>
  <c r="S25" i="43"/>
  <c r="E59" i="43"/>
  <c r="N75" i="43" s="1"/>
  <c r="S63" i="43"/>
  <c r="I64" i="43" s="1"/>
  <c r="H27" i="39"/>
  <c r="AI104" i="43" l="1"/>
  <c r="AI111" i="43"/>
  <c r="AJ111" i="43" s="1"/>
  <c r="AI94" i="43"/>
  <c r="AJ94" i="43" s="1"/>
  <c r="AI100" i="43"/>
  <c r="AI98" i="43"/>
  <c r="AI109" i="43"/>
  <c r="AJ109" i="43" s="1"/>
  <c r="AI106" i="43"/>
  <c r="AG79" i="43"/>
  <c r="AG81" i="43"/>
  <c r="AD100" i="43"/>
  <c r="AD102" i="43"/>
  <c r="R99" i="43"/>
  <c r="L99" i="43"/>
  <c r="R101" i="43"/>
  <c r="X100" i="43"/>
  <c r="F99" i="43"/>
  <c r="Y53" i="43" s="1"/>
  <c r="L101" i="43"/>
  <c r="X102" i="43"/>
  <c r="F101" i="43"/>
  <c r="AG84" i="43"/>
  <c r="AG80" i="43"/>
  <c r="AG77" i="43"/>
  <c r="AG76" i="43"/>
  <c r="AH114" i="43"/>
  <c r="W68" i="43"/>
  <c r="AB68" i="43"/>
  <c r="Y68" i="43"/>
  <c r="O65" i="43"/>
  <c r="H85" i="43"/>
  <c r="AG85" i="43" s="1"/>
  <c r="H83" i="43"/>
  <c r="AG83" i="43" s="1"/>
  <c r="S61" i="43"/>
  <c r="H62" i="43" s="1"/>
  <c r="AG75" i="43"/>
  <c r="P65" i="43"/>
  <c r="P67" i="43" s="1"/>
  <c r="H86" i="43"/>
  <c r="N64" i="43"/>
  <c r="H64" i="43"/>
  <c r="Z89" i="43"/>
  <c r="G64" i="43"/>
  <c r="M64" i="43"/>
  <c r="E64" i="43"/>
  <c r="K64" i="43"/>
  <c r="S46" i="43"/>
  <c r="M65" i="43"/>
  <c r="S57" i="43"/>
  <c r="M58" i="43" s="1"/>
  <c r="M47" i="43"/>
  <c r="S59" i="43"/>
  <c r="E60" i="43" s="1"/>
  <c r="E65" i="43"/>
  <c r="F97" i="43" l="1"/>
  <c r="R97" i="43"/>
  <c r="L97" i="43"/>
  <c r="AI118" i="43"/>
  <c r="AJ118" i="43" s="1"/>
  <c r="AJ120" i="43" s="1"/>
  <c r="AJ104" i="43"/>
  <c r="AJ98" i="43"/>
  <c r="AD98" i="43"/>
  <c r="AD99" i="43"/>
  <c r="L98" i="43"/>
  <c r="R98" i="43"/>
  <c r="F98" i="43"/>
  <c r="X53" i="43" s="1"/>
  <c r="X99" i="43"/>
  <c r="X98" i="43"/>
  <c r="AJ80" i="43"/>
  <c r="H89" i="43"/>
  <c r="I76" i="43" s="1"/>
  <c r="AG86" i="43"/>
  <c r="AG89" i="43" s="1"/>
  <c r="G62" i="43"/>
  <c r="L62" i="43"/>
  <c r="J62" i="43"/>
  <c r="I62" i="43"/>
  <c r="K62" i="43"/>
  <c r="N89" i="43"/>
  <c r="T89" i="43"/>
  <c r="U75" i="43" s="1"/>
  <c r="E62" i="43"/>
  <c r="F62" i="43"/>
  <c r="M66" i="43"/>
  <c r="I67" i="43"/>
  <c r="J47" i="43"/>
  <c r="L66" i="43"/>
  <c r="I47" i="43"/>
  <c r="I66" i="43"/>
  <c r="N47" i="43"/>
  <c r="H66" i="43"/>
  <c r="H47" i="43"/>
  <c r="L47" i="43"/>
  <c r="J66" i="43"/>
  <c r="F47" i="43"/>
  <c r="R47" i="43"/>
  <c r="O47" i="43"/>
  <c r="P47" i="43"/>
  <c r="Q47" i="43"/>
  <c r="G47" i="43"/>
  <c r="K47" i="43"/>
  <c r="N66" i="43"/>
  <c r="R66" i="43"/>
  <c r="R68" i="43" s="1"/>
  <c r="P66" i="43"/>
  <c r="Q66" i="43"/>
  <c r="K66" i="43"/>
  <c r="O66" i="43"/>
  <c r="G66" i="43"/>
  <c r="F66" i="43"/>
  <c r="S65" i="43"/>
  <c r="S66" i="43" s="1"/>
  <c r="E67" i="43"/>
  <c r="E66" i="43"/>
  <c r="Q58" i="43"/>
  <c r="R58" i="43"/>
  <c r="O58" i="43"/>
  <c r="N58" i="43"/>
  <c r="P58" i="43"/>
  <c r="E47" i="43"/>
  <c r="F60" i="43"/>
  <c r="J60" i="43"/>
  <c r="I60" i="43"/>
  <c r="L60" i="43"/>
  <c r="AI114" i="43" l="1"/>
  <c r="I88" i="43"/>
  <c r="I83" i="43"/>
  <c r="I86" i="43"/>
  <c r="AH77" i="43"/>
  <c r="AH76" i="43"/>
  <c r="I81" i="43"/>
  <c r="AD95" i="43"/>
  <c r="R95" i="43"/>
  <c r="L95" i="43"/>
  <c r="F95" i="43"/>
  <c r="X95" i="43"/>
  <c r="I87" i="43"/>
  <c r="I85" i="43"/>
  <c r="I82" i="43"/>
  <c r="I80" i="43"/>
  <c r="I79" i="43"/>
  <c r="I77" i="43"/>
  <c r="I75" i="43"/>
  <c r="I78" i="43"/>
  <c r="I84" i="43"/>
  <c r="AH82" i="43"/>
  <c r="AH87" i="43"/>
  <c r="AH79" i="43"/>
  <c r="AH78" i="43"/>
  <c r="AH88" i="43"/>
  <c r="AH81" i="43"/>
  <c r="AH75" i="43"/>
  <c r="AH83" i="43"/>
  <c r="AH80" i="43"/>
  <c r="AH85" i="43"/>
  <c r="AH84" i="43"/>
  <c r="AH86" i="43"/>
  <c r="E68" i="43"/>
  <c r="O87" i="43"/>
  <c r="O88" i="43"/>
  <c r="O83" i="43"/>
  <c r="O84" i="43"/>
  <c r="O86" i="43"/>
  <c r="O85" i="43"/>
  <c r="O81" i="43"/>
  <c r="O78" i="43"/>
  <c r="O77" i="43"/>
  <c r="O82" i="43"/>
  <c r="O79" i="43"/>
  <c r="O76" i="43"/>
  <c r="O80" i="43"/>
  <c r="U76" i="43"/>
  <c r="AA80" i="43"/>
  <c r="U86" i="43"/>
  <c r="AA87" i="43"/>
  <c r="U79" i="43"/>
  <c r="AA86" i="43"/>
  <c r="AA82" i="43"/>
  <c r="AA88" i="43"/>
  <c r="AA85" i="43"/>
  <c r="U83" i="43"/>
  <c r="U85" i="43"/>
  <c r="AA76" i="43"/>
  <c r="U88" i="43"/>
  <c r="U87" i="43"/>
  <c r="U84" i="43"/>
  <c r="AA84" i="43"/>
  <c r="U81" i="43"/>
  <c r="AA77" i="43"/>
  <c r="AA83" i="43"/>
  <c r="U77" i="43"/>
  <c r="AA81" i="43"/>
  <c r="AA78" i="43"/>
  <c r="AA79" i="43"/>
  <c r="U82" i="43"/>
  <c r="AA75" i="43"/>
  <c r="U78" i="43"/>
  <c r="U80" i="43"/>
  <c r="O75" i="43"/>
  <c r="I68" i="43"/>
  <c r="P68" i="43"/>
  <c r="E32" i="40" l="1"/>
  <c r="E31" i="40"/>
  <c r="E32" i="41" l="1"/>
  <c r="E33" i="35"/>
  <c r="E32" i="35"/>
  <c r="E30" i="39" l="1"/>
  <c r="E30" i="40"/>
  <c r="J8" i="41" l="1"/>
  <c r="J8" i="40"/>
  <c r="J8" i="39"/>
  <c r="J14" i="39" s="1"/>
  <c r="J8" i="35"/>
  <c r="J14" i="35" s="1"/>
  <c r="Q17" i="35" s="1"/>
  <c r="R17" i="35" s="1"/>
  <c r="Q17" i="39" l="1"/>
  <c r="R17" i="39" s="1"/>
  <c r="J14" i="40"/>
  <c r="F22" i="40" s="1"/>
  <c r="M89" i="42"/>
  <c r="J20" i="42" s="1"/>
  <c r="H28" i="40" l="1"/>
  <c r="Q17" i="40"/>
  <c r="R17" i="40" s="1"/>
  <c r="M62" i="42"/>
  <c r="M63" i="42" s="1"/>
  <c r="K63" i="42"/>
  <c r="L63" i="42"/>
  <c r="M64" i="42"/>
  <c r="N64" i="42" s="1"/>
  <c r="N65" i="42" s="1"/>
  <c r="K65" i="42"/>
  <c r="L65" i="42"/>
  <c r="M66" i="42"/>
  <c r="N66" i="42" s="1"/>
  <c r="N67" i="42" s="1"/>
  <c r="K67" i="42"/>
  <c r="L67" i="42"/>
  <c r="M68" i="42"/>
  <c r="M69" i="42" s="1"/>
  <c r="K69" i="42"/>
  <c r="L69" i="42"/>
  <c r="M70" i="42"/>
  <c r="M71" i="42" s="1"/>
  <c r="K71" i="42"/>
  <c r="L71" i="42"/>
  <c r="M72" i="42"/>
  <c r="M73" i="42" s="1"/>
  <c r="N72" i="42"/>
  <c r="N73" i="42" s="1"/>
  <c r="K73" i="42"/>
  <c r="L73" i="42"/>
  <c r="M74" i="42"/>
  <c r="M75" i="42" s="1"/>
  <c r="K75" i="42"/>
  <c r="L75" i="42"/>
  <c r="M76" i="42"/>
  <c r="N76" i="42" s="1"/>
  <c r="N77" i="42" s="1"/>
  <c r="K77" i="42"/>
  <c r="L77" i="42"/>
  <c r="M78" i="42"/>
  <c r="N78" i="42" s="1"/>
  <c r="N79" i="42" s="1"/>
  <c r="K79" i="42"/>
  <c r="L79" i="42"/>
  <c r="K50" i="42"/>
  <c r="L51" i="42"/>
  <c r="K52" i="42"/>
  <c r="K53" i="42" s="1"/>
  <c r="L52" i="42"/>
  <c r="L53" i="42" s="1"/>
  <c r="M54" i="42"/>
  <c r="M55" i="42" s="1"/>
  <c r="K55" i="42"/>
  <c r="L55" i="42"/>
  <c r="O82" i="42"/>
  <c r="Y33" i="42"/>
  <c r="Y34" i="42"/>
  <c r="X33" i="42"/>
  <c r="M50" i="42" l="1"/>
  <c r="K42" i="42"/>
  <c r="M67" i="42"/>
  <c r="N50" i="42"/>
  <c r="M51" i="42"/>
  <c r="K51" i="42"/>
  <c r="M77" i="42"/>
  <c r="N62" i="42"/>
  <c r="N63" i="42" s="1"/>
  <c r="N68" i="42"/>
  <c r="N69" i="42" s="1"/>
  <c r="N74" i="42"/>
  <c r="N75" i="42" s="1"/>
  <c r="M79" i="42"/>
  <c r="N70" i="42"/>
  <c r="N71" i="42" s="1"/>
  <c r="M65" i="42"/>
  <c r="M52" i="42"/>
  <c r="M53" i="42" s="1"/>
  <c r="N54" i="42"/>
  <c r="K43" i="42" l="1"/>
  <c r="M42" i="42"/>
  <c r="N51" i="42"/>
  <c r="Q34" i="42"/>
  <c r="R34" i="42" s="1"/>
  <c r="N55" i="42"/>
  <c r="Q35" i="42"/>
  <c r="R35" i="42" s="1"/>
  <c r="J79" i="42"/>
  <c r="E34" i="42"/>
  <c r="M43" i="42" l="1"/>
  <c r="N42" i="42"/>
  <c r="N43" i="42" s="1"/>
  <c r="G42" i="42" s="1"/>
  <c r="E35" i="42"/>
  <c r="Q141" i="42"/>
  <c r="P141" i="42"/>
  <c r="O141" i="42"/>
  <c r="N141" i="42"/>
  <c r="Q135" i="42"/>
  <c r="P135" i="42"/>
  <c r="O135" i="42"/>
  <c r="N135" i="42"/>
  <c r="H109" i="42"/>
  <c r="M92" i="42"/>
  <c r="M88" i="42"/>
  <c r="P87" i="42"/>
  <c r="P88" i="42" s="1"/>
  <c r="O87" i="42"/>
  <c r="K87" i="42"/>
  <c r="K88" i="42" s="1"/>
  <c r="I87" i="42"/>
  <c r="I88" i="42" s="1"/>
  <c r="O83" i="42"/>
  <c r="H80" i="42"/>
  <c r="G79" i="42"/>
  <c r="J77" i="42"/>
  <c r="G77" i="42"/>
  <c r="G76" i="42"/>
  <c r="E76" i="42"/>
  <c r="J75" i="42"/>
  <c r="G75" i="42"/>
  <c r="G74" i="42"/>
  <c r="J73" i="42"/>
  <c r="G73" i="42"/>
  <c r="K80" i="42"/>
  <c r="J71" i="42"/>
  <c r="G71" i="42"/>
  <c r="J69" i="42"/>
  <c r="G69" i="42"/>
  <c r="J67" i="42"/>
  <c r="G67" i="42"/>
  <c r="J65" i="42"/>
  <c r="G65" i="42"/>
  <c r="J63" i="42"/>
  <c r="G63" i="42"/>
  <c r="L61" i="42"/>
  <c r="K61" i="42"/>
  <c r="J61" i="42"/>
  <c r="G61" i="42"/>
  <c r="M60" i="42"/>
  <c r="M61" i="42" s="1"/>
  <c r="L59" i="42"/>
  <c r="L80" i="42" s="1"/>
  <c r="L81" i="42" s="1"/>
  <c r="K59" i="42"/>
  <c r="J59" i="42"/>
  <c r="M58" i="42"/>
  <c r="M59" i="42" s="1"/>
  <c r="H56" i="42"/>
  <c r="G54" i="42"/>
  <c r="J55" i="42"/>
  <c r="G55" i="42"/>
  <c r="O35" i="42" s="1"/>
  <c r="U54" i="42"/>
  <c r="J52" i="42"/>
  <c r="J51" i="42"/>
  <c r="G51" i="42"/>
  <c r="O34" i="42" s="1"/>
  <c r="G49" i="42"/>
  <c r="L47" i="42"/>
  <c r="K47" i="42"/>
  <c r="J47" i="42"/>
  <c r="G47" i="42"/>
  <c r="M46" i="42"/>
  <c r="N46" i="42" s="1"/>
  <c r="S33" i="42" s="1"/>
  <c r="F44" i="42"/>
  <c r="F42" i="42"/>
  <c r="F40" i="42"/>
  <c r="D17" i="42"/>
  <c r="J13" i="42"/>
  <c r="L9" i="42"/>
  <c r="K9" i="42"/>
  <c r="L8" i="42"/>
  <c r="K8" i="42"/>
  <c r="E54" i="42" l="1"/>
  <c r="E50" i="42"/>
  <c r="X56" i="42"/>
  <c r="I45" i="42"/>
  <c r="I43" i="42"/>
  <c r="Q20" i="42"/>
  <c r="W61" i="42"/>
  <c r="W73" i="42"/>
  <c r="X80" i="42"/>
  <c r="F80" i="42"/>
  <c r="I65" i="42"/>
  <c r="I77" i="42"/>
  <c r="J80" i="42"/>
  <c r="Q87" i="42"/>
  <c r="Q88" i="42" s="1"/>
  <c r="N58" i="42"/>
  <c r="N59" i="42" s="1"/>
  <c r="G58" i="42" s="1"/>
  <c r="N60" i="42"/>
  <c r="M47" i="42"/>
  <c r="L13" i="42"/>
  <c r="J14" i="42"/>
  <c r="J53" i="42"/>
  <c r="Q19" i="42" s="1"/>
  <c r="N52" i="42"/>
  <c r="N53" i="42" s="1"/>
  <c r="E66" i="42"/>
  <c r="I79" i="42"/>
  <c r="H82" i="42"/>
  <c r="V22" i="42" s="1"/>
  <c r="E64" i="42"/>
  <c r="I73" i="42"/>
  <c r="M90" i="42"/>
  <c r="M93" i="42"/>
  <c r="K20" i="42"/>
  <c r="I61" i="42"/>
  <c r="E70" i="42"/>
  <c r="I63" i="42"/>
  <c r="H110" i="42"/>
  <c r="G53" i="42"/>
  <c r="F54" i="42"/>
  <c r="E46" i="42"/>
  <c r="I47" i="42"/>
  <c r="I55" i="42"/>
  <c r="I51" i="42"/>
  <c r="G68" i="42"/>
  <c r="K13" i="42"/>
  <c r="G70" i="42"/>
  <c r="U70" i="42"/>
  <c r="M80" i="42"/>
  <c r="M81" i="42" s="1"/>
  <c r="K81" i="42"/>
  <c r="U62" i="42"/>
  <c r="G62" i="42"/>
  <c r="G72" i="42"/>
  <c r="N47" i="42"/>
  <c r="U46" i="42"/>
  <c r="G78" i="42"/>
  <c r="I81" i="42"/>
  <c r="O88" i="42"/>
  <c r="E60" i="42"/>
  <c r="I67" i="42"/>
  <c r="E62" i="42"/>
  <c r="I69" i="42"/>
  <c r="I71" i="42"/>
  <c r="H30" i="42"/>
  <c r="K30" i="42" s="1"/>
  <c r="J81" i="42" l="1"/>
  <c r="Q17" i="42"/>
  <c r="P32" i="42"/>
  <c r="V12" i="42"/>
  <c r="V13" i="42" s="1"/>
  <c r="Q10" i="42"/>
  <c r="Q9" i="42"/>
  <c r="Q8" i="42"/>
  <c r="P14" i="42"/>
  <c r="Q16" i="42"/>
  <c r="P13" i="42"/>
  <c r="Q21" i="42"/>
  <c r="I40" i="42"/>
  <c r="I42" i="42"/>
  <c r="I44" i="42"/>
  <c r="R19" i="42"/>
  <c r="K93" i="42"/>
  <c r="K94" i="42" s="1"/>
  <c r="Q14" i="42"/>
  <c r="J56" i="42"/>
  <c r="J57" i="42" s="1"/>
  <c r="W58" i="42"/>
  <c r="W74" i="42"/>
  <c r="W60" i="42"/>
  <c r="W52" i="42"/>
  <c r="W72" i="42"/>
  <c r="X82" i="42"/>
  <c r="I60" i="42"/>
  <c r="I76" i="42"/>
  <c r="B76" i="42" s="1"/>
  <c r="I52" i="42"/>
  <c r="I70" i="42"/>
  <c r="O6" i="42"/>
  <c r="H34" i="42"/>
  <c r="I68" i="42"/>
  <c r="I64" i="42"/>
  <c r="C64" i="42" s="1"/>
  <c r="I72" i="42"/>
  <c r="B72" i="42" s="1"/>
  <c r="E72" i="42" s="1"/>
  <c r="I74" i="42"/>
  <c r="E10" i="42"/>
  <c r="E48" i="42"/>
  <c r="E52" i="42"/>
  <c r="N61" i="42"/>
  <c r="G60" i="42" s="1"/>
  <c r="U60" i="42"/>
  <c r="I46" i="42"/>
  <c r="I48" i="42"/>
  <c r="E40" i="42"/>
  <c r="I58" i="42"/>
  <c r="I62" i="42"/>
  <c r="I78" i="42"/>
  <c r="B78" i="42" s="1"/>
  <c r="E78" i="42" s="1"/>
  <c r="I50" i="42"/>
  <c r="O124" i="42"/>
  <c r="I66" i="42"/>
  <c r="Q6" i="42"/>
  <c r="E74" i="42"/>
  <c r="I54" i="42"/>
  <c r="E58" i="42"/>
  <c r="M94" i="42"/>
  <c r="I93" i="42"/>
  <c r="H31" i="42"/>
  <c r="E80" i="42"/>
  <c r="I57" i="42"/>
  <c r="U50" i="42"/>
  <c r="G50" i="42"/>
  <c r="L14" i="42"/>
  <c r="K14" i="42"/>
  <c r="U64" i="42"/>
  <c r="G64" i="42"/>
  <c r="G66" i="42"/>
  <c r="U66" i="42"/>
  <c r="N80" i="42"/>
  <c r="U80" i="42" s="1"/>
  <c r="G46" i="42"/>
  <c r="G48" i="42"/>
  <c r="G79" i="35"/>
  <c r="I56" i="42" l="1"/>
  <c r="B50" i="42" s="1"/>
  <c r="W80" i="42"/>
  <c r="W82" i="42" s="1"/>
  <c r="C70" i="42"/>
  <c r="E31" i="42"/>
  <c r="B54" i="42"/>
  <c r="C68" i="42"/>
  <c r="I80" i="42"/>
  <c r="E30" i="42"/>
  <c r="C62" i="42"/>
  <c r="B62" i="42" s="1"/>
  <c r="C66" i="42"/>
  <c r="B64" i="42" s="1"/>
  <c r="E56" i="42"/>
  <c r="I109" i="42"/>
  <c r="I94" i="42"/>
  <c r="N81" i="42"/>
  <c r="G52" i="42"/>
  <c r="Q128" i="41"/>
  <c r="P128" i="41"/>
  <c r="O128" i="41"/>
  <c r="N128" i="41"/>
  <c r="Q122" i="41"/>
  <c r="P122" i="41"/>
  <c r="O122" i="41"/>
  <c r="N122" i="41"/>
  <c r="H97" i="41"/>
  <c r="H96" i="41"/>
  <c r="K93" i="41"/>
  <c r="J93" i="41"/>
  <c r="O91" i="41"/>
  <c r="M90" i="41"/>
  <c r="M89" i="41"/>
  <c r="K88" i="41"/>
  <c r="K89" i="41" s="1"/>
  <c r="I88" i="41"/>
  <c r="M87" i="41"/>
  <c r="K86" i="41"/>
  <c r="K87" i="41" s="1"/>
  <c r="I86" i="41"/>
  <c r="M85" i="41"/>
  <c r="P84" i="41"/>
  <c r="O84" i="41"/>
  <c r="O85" i="41" s="1"/>
  <c r="K84" i="41"/>
  <c r="K85" i="41" s="1"/>
  <c r="I84" i="41"/>
  <c r="I85" i="41" s="1"/>
  <c r="O80" i="41"/>
  <c r="P80" i="41"/>
  <c r="H77" i="41"/>
  <c r="L76" i="41"/>
  <c r="K76" i="41"/>
  <c r="J76" i="41"/>
  <c r="G76" i="41"/>
  <c r="M75" i="41"/>
  <c r="M76" i="41" s="1"/>
  <c r="L74" i="41"/>
  <c r="K74" i="41"/>
  <c r="J74" i="41"/>
  <c r="G74" i="41"/>
  <c r="M73" i="41"/>
  <c r="N73" i="41" s="1"/>
  <c r="N74" i="41" s="1"/>
  <c r="G73" i="41" s="1"/>
  <c r="E73" i="41"/>
  <c r="L72" i="41"/>
  <c r="K72" i="41"/>
  <c r="J72" i="41"/>
  <c r="G72" i="41"/>
  <c r="M71" i="41"/>
  <c r="N71" i="41" s="1"/>
  <c r="N72" i="41" s="1"/>
  <c r="G71" i="41" s="1"/>
  <c r="L70" i="41"/>
  <c r="K70" i="41"/>
  <c r="J70" i="41"/>
  <c r="G70" i="41"/>
  <c r="M69" i="41"/>
  <c r="L68" i="41"/>
  <c r="K68" i="41"/>
  <c r="J68" i="41"/>
  <c r="G68" i="41"/>
  <c r="M67" i="41"/>
  <c r="N67" i="41" s="1"/>
  <c r="L66" i="41"/>
  <c r="K66" i="41"/>
  <c r="J66" i="41"/>
  <c r="G66" i="41"/>
  <c r="M65" i="41"/>
  <c r="N65" i="41" s="1"/>
  <c r="N66" i="41" s="1"/>
  <c r="G65" i="41" s="1"/>
  <c r="L64" i="41"/>
  <c r="K64" i="41"/>
  <c r="J64" i="41"/>
  <c r="G64" i="41"/>
  <c r="M63" i="41"/>
  <c r="N63" i="41" s="1"/>
  <c r="U63" i="41" s="1"/>
  <c r="L62" i="41"/>
  <c r="K62" i="41"/>
  <c r="J62" i="41"/>
  <c r="G62" i="41"/>
  <c r="M61" i="41"/>
  <c r="L60" i="41"/>
  <c r="K60" i="41"/>
  <c r="J60" i="41"/>
  <c r="G60" i="41"/>
  <c r="M59" i="41"/>
  <c r="M60" i="41" s="1"/>
  <c r="L58" i="41"/>
  <c r="K58" i="41"/>
  <c r="J58" i="41"/>
  <c r="G58" i="41"/>
  <c r="M57" i="41"/>
  <c r="N57" i="41" s="1"/>
  <c r="L56" i="41"/>
  <c r="K56" i="41"/>
  <c r="J56" i="41"/>
  <c r="M55" i="41"/>
  <c r="N55" i="41" s="1"/>
  <c r="N56" i="41" s="1"/>
  <c r="G55" i="41" s="1"/>
  <c r="H53" i="41"/>
  <c r="L52" i="41"/>
  <c r="K52" i="41"/>
  <c r="J52" i="41"/>
  <c r="G52" i="41"/>
  <c r="O32" i="41" s="1"/>
  <c r="M51" i="41"/>
  <c r="N51" i="41" s="1"/>
  <c r="N52" i="41" s="1"/>
  <c r="G51" i="41" s="1"/>
  <c r="L49" i="41"/>
  <c r="L50" i="41" s="1"/>
  <c r="K49" i="41"/>
  <c r="J49" i="41"/>
  <c r="J50" i="41" s="1"/>
  <c r="L48" i="41"/>
  <c r="K47" i="41"/>
  <c r="G48" i="41"/>
  <c r="O31" i="41" s="1"/>
  <c r="G46" i="41"/>
  <c r="L44" i="41"/>
  <c r="K44" i="41"/>
  <c r="J44" i="41"/>
  <c r="G44" i="41"/>
  <c r="M43" i="41"/>
  <c r="M44" i="41" s="1"/>
  <c r="F41" i="41"/>
  <c r="G40" i="41"/>
  <c r="F39" i="41"/>
  <c r="F37" i="41"/>
  <c r="P32" i="41"/>
  <c r="P31" i="41"/>
  <c r="K20" i="41"/>
  <c r="D17" i="41"/>
  <c r="J14" i="41"/>
  <c r="K14" i="41" s="1"/>
  <c r="J13" i="41"/>
  <c r="L13" i="41" s="1"/>
  <c r="L12" i="41"/>
  <c r="K12" i="41"/>
  <c r="L11" i="41"/>
  <c r="K11" i="41"/>
  <c r="L10" i="41"/>
  <c r="K10" i="41"/>
  <c r="L9" i="41"/>
  <c r="K9" i="41"/>
  <c r="L8" i="41"/>
  <c r="K8" i="41"/>
  <c r="J13" i="35"/>
  <c r="L13" i="35" s="1"/>
  <c r="L12" i="35"/>
  <c r="K12" i="35"/>
  <c r="L11" i="35"/>
  <c r="K11" i="35"/>
  <c r="L10" i="35"/>
  <c r="K10" i="35"/>
  <c r="L9" i="35"/>
  <c r="K9" i="35"/>
  <c r="J13" i="40"/>
  <c r="L13" i="40" s="1"/>
  <c r="L12" i="40"/>
  <c r="K12" i="40"/>
  <c r="L11" i="40"/>
  <c r="K11" i="40"/>
  <c r="L10" i="40"/>
  <c r="K10" i="40"/>
  <c r="L9" i="40"/>
  <c r="K9" i="40"/>
  <c r="L13" i="39"/>
  <c r="L12" i="39"/>
  <c r="K12" i="39"/>
  <c r="L11" i="39"/>
  <c r="K11" i="39"/>
  <c r="L10" i="39"/>
  <c r="K10" i="39"/>
  <c r="L9" i="39"/>
  <c r="K9" i="39"/>
  <c r="K14" i="40"/>
  <c r="Q128" i="40"/>
  <c r="P128" i="40"/>
  <c r="O128" i="40"/>
  <c r="N128" i="40"/>
  <c r="Q122" i="40"/>
  <c r="P122" i="40"/>
  <c r="O122" i="40"/>
  <c r="N122" i="40"/>
  <c r="H97" i="40"/>
  <c r="H96" i="40"/>
  <c r="K93" i="40"/>
  <c r="J93" i="40"/>
  <c r="O80" i="40"/>
  <c r="H77" i="40"/>
  <c r="L76" i="40"/>
  <c r="K76" i="40"/>
  <c r="J76" i="40"/>
  <c r="G76" i="40"/>
  <c r="M75" i="40"/>
  <c r="M76" i="40" s="1"/>
  <c r="L74" i="40"/>
  <c r="K74" i="40"/>
  <c r="J74" i="40"/>
  <c r="G74" i="40"/>
  <c r="M73" i="40"/>
  <c r="M74" i="40" s="1"/>
  <c r="I73" i="40"/>
  <c r="E73" i="40"/>
  <c r="L72" i="40"/>
  <c r="K72" i="40"/>
  <c r="J72" i="40"/>
  <c r="G72" i="40"/>
  <c r="M71" i="40"/>
  <c r="M72" i="40" s="1"/>
  <c r="L70" i="40"/>
  <c r="K70" i="40"/>
  <c r="J70" i="40"/>
  <c r="G70" i="40"/>
  <c r="M69" i="40"/>
  <c r="M70" i="40" s="1"/>
  <c r="L68" i="40"/>
  <c r="K68" i="40"/>
  <c r="J68" i="40"/>
  <c r="G68" i="40"/>
  <c r="M67" i="40"/>
  <c r="M68" i="40" s="1"/>
  <c r="L66" i="40"/>
  <c r="K66" i="40"/>
  <c r="J66" i="40"/>
  <c r="G66" i="40"/>
  <c r="M65" i="40"/>
  <c r="N65" i="40" s="1"/>
  <c r="N66" i="40" s="1"/>
  <c r="G65" i="40" s="1"/>
  <c r="L64" i="40"/>
  <c r="K64" i="40"/>
  <c r="J64" i="40"/>
  <c r="G64" i="40"/>
  <c r="M63" i="40"/>
  <c r="N63" i="40" s="1"/>
  <c r="F23" i="40" s="1"/>
  <c r="L62" i="40"/>
  <c r="K62" i="40"/>
  <c r="J62" i="40"/>
  <c r="G62" i="40"/>
  <c r="M61" i="40"/>
  <c r="N61" i="40" s="1"/>
  <c r="L60" i="40"/>
  <c r="K60" i="40"/>
  <c r="J60" i="40"/>
  <c r="G60" i="40"/>
  <c r="M59" i="40"/>
  <c r="N59" i="40" s="1"/>
  <c r="L58" i="40"/>
  <c r="K58" i="40"/>
  <c r="J58" i="40"/>
  <c r="G58" i="40"/>
  <c r="M57" i="40"/>
  <c r="N57" i="40" s="1"/>
  <c r="L56" i="40"/>
  <c r="K56" i="40"/>
  <c r="J56" i="40"/>
  <c r="M55" i="40"/>
  <c r="M56" i="40" s="1"/>
  <c r="H53" i="40"/>
  <c r="L52" i="40"/>
  <c r="K52" i="40"/>
  <c r="J52" i="40"/>
  <c r="G52" i="40"/>
  <c r="O32" i="40" s="1"/>
  <c r="M51" i="40"/>
  <c r="M52" i="40" s="1"/>
  <c r="L49" i="40"/>
  <c r="L50" i="40" s="1"/>
  <c r="K49" i="40"/>
  <c r="K50" i="40" s="1"/>
  <c r="J49" i="40"/>
  <c r="J50" i="40" s="1"/>
  <c r="L48" i="40"/>
  <c r="K47" i="40"/>
  <c r="G48" i="40"/>
  <c r="O31" i="40" s="1"/>
  <c r="G46" i="40"/>
  <c r="L44" i="40"/>
  <c r="K44" i="40"/>
  <c r="J44" i="40"/>
  <c r="G44" i="40"/>
  <c r="M43" i="40"/>
  <c r="M44" i="40" s="1"/>
  <c r="G42" i="40"/>
  <c r="F41" i="40"/>
  <c r="G40" i="40"/>
  <c r="F39" i="40"/>
  <c r="L37" i="40"/>
  <c r="L38" i="40" s="1"/>
  <c r="K37" i="40"/>
  <c r="K38" i="40" s="1"/>
  <c r="J37" i="40"/>
  <c r="F37" i="40"/>
  <c r="P32" i="40"/>
  <c r="P31" i="40"/>
  <c r="K20" i="40"/>
  <c r="D17" i="40"/>
  <c r="L8" i="40"/>
  <c r="K8" i="40"/>
  <c r="Q128" i="39"/>
  <c r="P128" i="39"/>
  <c r="O128" i="39"/>
  <c r="N128" i="39"/>
  <c r="Q122" i="39"/>
  <c r="P122" i="39"/>
  <c r="O122" i="39"/>
  <c r="N122" i="39"/>
  <c r="H97" i="39"/>
  <c r="H96" i="39"/>
  <c r="K93" i="39"/>
  <c r="J93" i="39"/>
  <c r="O91" i="39"/>
  <c r="M90" i="39"/>
  <c r="M89" i="39"/>
  <c r="K89" i="39"/>
  <c r="I89" i="39"/>
  <c r="M87" i="39"/>
  <c r="K87" i="39"/>
  <c r="I87" i="39"/>
  <c r="M85" i="39"/>
  <c r="P84" i="39"/>
  <c r="P85" i="39" s="1"/>
  <c r="O84" i="39"/>
  <c r="K84" i="39"/>
  <c r="K85" i="39" s="1"/>
  <c r="I84" i="39"/>
  <c r="I85" i="39" s="1"/>
  <c r="O80" i="39"/>
  <c r="H77" i="39"/>
  <c r="L76" i="39"/>
  <c r="K76" i="39"/>
  <c r="J76" i="39"/>
  <c r="G76" i="39"/>
  <c r="M75" i="39"/>
  <c r="M76" i="39" s="1"/>
  <c r="L74" i="39"/>
  <c r="K74" i="39"/>
  <c r="J74" i="39"/>
  <c r="G74" i="39"/>
  <c r="M73" i="39"/>
  <c r="M74" i="39" s="1"/>
  <c r="E73" i="39"/>
  <c r="L72" i="39"/>
  <c r="K72" i="39"/>
  <c r="J72" i="39"/>
  <c r="G72" i="39"/>
  <c r="M71" i="39"/>
  <c r="M72" i="39" s="1"/>
  <c r="L70" i="39"/>
  <c r="K70" i="39"/>
  <c r="J70" i="39"/>
  <c r="G70" i="39"/>
  <c r="M69" i="39"/>
  <c r="M70" i="39" s="1"/>
  <c r="L68" i="39"/>
  <c r="K68" i="39"/>
  <c r="J68" i="39"/>
  <c r="G68" i="39"/>
  <c r="M67" i="39"/>
  <c r="N67" i="39" s="1"/>
  <c r="L66" i="39"/>
  <c r="K66" i="39"/>
  <c r="J66" i="39"/>
  <c r="G66" i="39"/>
  <c r="M65" i="39"/>
  <c r="N65" i="39" s="1"/>
  <c r="N66" i="39" s="1"/>
  <c r="G65" i="39" s="1"/>
  <c r="L64" i="39"/>
  <c r="K64" i="39"/>
  <c r="J64" i="39"/>
  <c r="G64" i="39"/>
  <c r="M63" i="39"/>
  <c r="N63" i="39" s="1"/>
  <c r="L62" i="39"/>
  <c r="K62" i="39"/>
  <c r="J62" i="39"/>
  <c r="G62" i="39"/>
  <c r="M61" i="39"/>
  <c r="N61" i="39" s="1"/>
  <c r="N62" i="39" s="1"/>
  <c r="G61" i="39" s="1"/>
  <c r="L60" i="39"/>
  <c r="K60" i="39"/>
  <c r="J60" i="39"/>
  <c r="G60" i="39"/>
  <c r="M59" i="39"/>
  <c r="N59" i="39" s="1"/>
  <c r="R15" i="39" s="1"/>
  <c r="L58" i="39"/>
  <c r="K58" i="39"/>
  <c r="J58" i="39"/>
  <c r="G58" i="39"/>
  <c r="M57" i="39"/>
  <c r="N57" i="39" s="1"/>
  <c r="L56" i="39"/>
  <c r="K56" i="39"/>
  <c r="J56" i="39"/>
  <c r="M55" i="39"/>
  <c r="M56" i="39" s="1"/>
  <c r="L52" i="39"/>
  <c r="K52" i="39"/>
  <c r="J52" i="39"/>
  <c r="G52" i="39"/>
  <c r="O32" i="39" s="1"/>
  <c r="M51" i="39"/>
  <c r="N51" i="39" s="1"/>
  <c r="L49" i="39"/>
  <c r="L50" i="39" s="1"/>
  <c r="K49" i="39"/>
  <c r="M49" i="39" s="1"/>
  <c r="J49" i="39"/>
  <c r="J50" i="39" s="1"/>
  <c r="L48" i="39"/>
  <c r="J48" i="39"/>
  <c r="M47" i="39"/>
  <c r="N47" i="39" s="1"/>
  <c r="G48" i="39"/>
  <c r="O31" i="39" s="1"/>
  <c r="G46" i="39"/>
  <c r="L44" i="39"/>
  <c r="K44" i="39"/>
  <c r="J44" i="39"/>
  <c r="G44" i="39"/>
  <c r="M43" i="39"/>
  <c r="M44" i="39" s="1"/>
  <c r="F41" i="39"/>
  <c r="F39" i="39"/>
  <c r="F37" i="39"/>
  <c r="J20" i="39"/>
  <c r="D17" i="39"/>
  <c r="L8" i="39"/>
  <c r="K8" i="39"/>
  <c r="Q19" i="39" l="1"/>
  <c r="R15" i="42"/>
  <c r="V10" i="42" s="1"/>
  <c r="V11" i="42" s="1"/>
  <c r="V14" i="42" s="1"/>
  <c r="P79" i="39"/>
  <c r="P80" i="39" s="1"/>
  <c r="M47" i="41"/>
  <c r="K39" i="41"/>
  <c r="Q20" i="41"/>
  <c r="M47" i="40"/>
  <c r="K39" i="40"/>
  <c r="Q20" i="39"/>
  <c r="Q21" i="39" s="1"/>
  <c r="Q20" i="40"/>
  <c r="E51" i="41"/>
  <c r="E47" i="41"/>
  <c r="E51" i="40"/>
  <c r="E47" i="40"/>
  <c r="M72" i="41"/>
  <c r="Q84" i="39"/>
  <c r="Q85" i="39" s="1"/>
  <c r="M56" i="41"/>
  <c r="X77" i="41"/>
  <c r="M91" i="41"/>
  <c r="Q25" i="41"/>
  <c r="R25" i="41" s="1"/>
  <c r="P90" i="41" s="1"/>
  <c r="M91" i="39"/>
  <c r="Q25" i="39"/>
  <c r="M37" i="40"/>
  <c r="M38" i="40" s="1"/>
  <c r="G50" i="41"/>
  <c r="N43" i="40"/>
  <c r="M64" i="40"/>
  <c r="M58" i="40"/>
  <c r="M62" i="39"/>
  <c r="M49" i="40"/>
  <c r="N49" i="40" s="1"/>
  <c r="F78" i="39"/>
  <c r="AB77" i="39"/>
  <c r="X53" i="41"/>
  <c r="F78" i="41"/>
  <c r="F77" i="41"/>
  <c r="I74" i="41"/>
  <c r="W58" i="41"/>
  <c r="W70" i="41"/>
  <c r="F77" i="39"/>
  <c r="I68" i="39"/>
  <c r="Y70" i="39"/>
  <c r="Y58" i="39"/>
  <c r="W70" i="39"/>
  <c r="W58" i="39"/>
  <c r="M58" i="41"/>
  <c r="G42" i="41"/>
  <c r="Q84" i="41"/>
  <c r="Q85" i="41" s="1"/>
  <c r="M66" i="41"/>
  <c r="O85" i="39"/>
  <c r="K50" i="39"/>
  <c r="K48" i="41"/>
  <c r="M60" i="39"/>
  <c r="E32" i="42"/>
  <c r="B68" i="42"/>
  <c r="E68" i="42"/>
  <c r="M68" i="41"/>
  <c r="K77" i="41"/>
  <c r="K78" i="41" s="1"/>
  <c r="M74" i="41"/>
  <c r="T28" i="39"/>
  <c r="M66" i="39"/>
  <c r="I82" i="42"/>
  <c r="K77" i="40"/>
  <c r="K78" i="40" s="1"/>
  <c r="H28" i="41"/>
  <c r="F11" i="35"/>
  <c r="F13" i="35" s="1"/>
  <c r="L14" i="39"/>
  <c r="I48" i="39"/>
  <c r="G50" i="39"/>
  <c r="M64" i="39"/>
  <c r="K77" i="39"/>
  <c r="K78" i="39" s="1"/>
  <c r="N75" i="39"/>
  <c r="N76" i="39" s="1"/>
  <c r="G75" i="39" s="1"/>
  <c r="M58" i="39"/>
  <c r="L77" i="39"/>
  <c r="L78" i="39" s="1"/>
  <c r="J53" i="39"/>
  <c r="N71" i="40"/>
  <c r="N72" i="40" s="1"/>
  <c r="G71" i="40" s="1"/>
  <c r="M66" i="40"/>
  <c r="N67" i="40"/>
  <c r="N68" i="40" s="1"/>
  <c r="G67" i="40" s="1"/>
  <c r="I52" i="40"/>
  <c r="L53" i="40"/>
  <c r="L54" i="40" s="1"/>
  <c r="I44" i="40"/>
  <c r="N75" i="40"/>
  <c r="N76" i="40" s="1"/>
  <c r="G75" i="40" s="1"/>
  <c r="L77" i="40"/>
  <c r="L78" i="40" s="1"/>
  <c r="J77" i="40"/>
  <c r="J78" i="40" s="1"/>
  <c r="N51" i="40"/>
  <c r="N52" i="40" s="1"/>
  <c r="G51" i="40" s="1"/>
  <c r="F51" i="41"/>
  <c r="I52" i="41"/>
  <c r="I44" i="41"/>
  <c r="K90" i="41"/>
  <c r="K91" i="41" s="1"/>
  <c r="N75" i="41"/>
  <c r="N76" i="41" s="1"/>
  <c r="G75" i="41" s="1"/>
  <c r="L77" i="41"/>
  <c r="L78" i="41" s="1"/>
  <c r="M52" i="41"/>
  <c r="U59" i="39"/>
  <c r="N60" i="39"/>
  <c r="G59" i="39" s="1"/>
  <c r="L53" i="39"/>
  <c r="L54" i="39" s="1"/>
  <c r="K48" i="39"/>
  <c r="I60" i="39"/>
  <c r="I76" i="39"/>
  <c r="I70" i="39"/>
  <c r="I66" i="39"/>
  <c r="I60" i="41"/>
  <c r="I76" i="41"/>
  <c r="I70" i="41"/>
  <c r="I66" i="41"/>
  <c r="E61" i="41"/>
  <c r="I60" i="40"/>
  <c r="I66" i="40"/>
  <c r="I70" i="40"/>
  <c r="I76" i="40"/>
  <c r="H79" i="41"/>
  <c r="I68" i="41"/>
  <c r="E63" i="41"/>
  <c r="E67" i="41"/>
  <c r="E57" i="41"/>
  <c r="I78" i="41"/>
  <c r="I58" i="41"/>
  <c r="I64" i="41"/>
  <c r="E59" i="41"/>
  <c r="I62" i="41"/>
  <c r="J77" i="39"/>
  <c r="J78" i="39" s="1"/>
  <c r="M48" i="41"/>
  <c r="N47" i="41"/>
  <c r="U47" i="41" s="1"/>
  <c r="M49" i="41"/>
  <c r="K50" i="41"/>
  <c r="K13" i="41"/>
  <c r="N64" i="41"/>
  <c r="G63" i="41" s="1"/>
  <c r="N43" i="41"/>
  <c r="N61" i="41"/>
  <c r="M62" i="41"/>
  <c r="N68" i="41"/>
  <c r="G67" i="41" s="1"/>
  <c r="U67" i="41"/>
  <c r="L14" i="41"/>
  <c r="P29" i="41"/>
  <c r="Q17" i="41"/>
  <c r="R17" i="41" s="1"/>
  <c r="J77" i="41"/>
  <c r="I87" i="41"/>
  <c r="N59" i="41"/>
  <c r="M70" i="41"/>
  <c r="N69" i="41"/>
  <c r="L53" i="41"/>
  <c r="U57" i="41"/>
  <c r="N58" i="41"/>
  <c r="G57" i="41" s="1"/>
  <c r="T28" i="41"/>
  <c r="I48" i="41"/>
  <c r="J48" i="41"/>
  <c r="Q19" i="41" s="1"/>
  <c r="Q21" i="41" s="1"/>
  <c r="P85" i="41"/>
  <c r="I89" i="41"/>
  <c r="Q32" i="41"/>
  <c r="R32" i="41" s="1"/>
  <c r="U51" i="41"/>
  <c r="I90" i="41"/>
  <c r="I91" i="41" s="1"/>
  <c r="M64" i="41"/>
  <c r="K27" i="41"/>
  <c r="G50" i="40"/>
  <c r="U61" i="39"/>
  <c r="I62" i="40"/>
  <c r="E57" i="40"/>
  <c r="E63" i="40"/>
  <c r="I64" i="40"/>
  <c r="I68" i="40"/>
  <c r="I58" i="40"/>
  <c r="E59" i="40"/>
  <c r="I78" i="40"/>
  <c r="E61" i="40"/>
  <c r="K13" i="35"/>
  <c r="K13" i="40"/>
  <c r="K13" i="39"/>
  <c r="L14" i="40"/>
  <c r="P29" i="40"/>
  <c r="U59" i="40"/>
  <c r="N60" i="40"/>
  <c r="G59" i="40" s="1"/>
  <c r="N62" i="40"/>
  <c r="G61" i="40" s="1"/>
  <c r="U61" i="40"/>
  <c r="U57" i="40"/>
  <c r="N58" i="40"/>
  <c r="G57" i="40" s="1"/>
  <c r="N64" i="40"/>
  <c r="G63" i="40" s="1"/>
  <c r="U63" i="40"/>
  <c r="N47" i="40"/>
  <c r="M48" i="40"/>
  <c r="I48" i="40"/>
  <c r="K48" i="40"/>
  <c r="T28" i="40"/>
  <c r="M60" i="40"/>
  <c r="J38" i="40"/>
  <c r="N69" i="40"/>
  <c r="M62" i="40"/>
  <c r="N73" i="40"/>
  <c r="J48" i="40"/>
  <c r="Q19" i="40" s="1"/>
  <c r="N55" i="40"/>
  <c r="P80" i="40"/>
  <c r="H79" i="40"/>
  <c r="F51" i="40"/>
  <c r="E67" i="40"/>
  <c r="E59" i="39"/>
  <c r="I64" i="39"/>
  <c r="I78" i="39"/>
  <c r="E61" i="39"/>
  <c r="E57" i="39"/>
  <c r="I62" i="39"/>
  <c r="K90" i="39"/>
  <c r="K91" i="39" s="1"/>
  <c r="I90" i="39"/>
  <c r="I91" i="39" s="1"/>
  <c r="N52" i="39"/>
  <c r="G51" i="39" s="1"/>
  <c r="U51" i="39"/>
  <c r="Q32" i="39"/>
  <c r="R32" i="39" s="1"/>
  <c r="M48" i="39"/>
  <c r="U57" i="39"/>
  <c r="N58" i="39"/>
  <c r="G57" i="39" s="1"/>
  <c r="N68" i="39"/>
  <c r="G67" i="39" s="1"/>
  <c r="U67" i="39"/>
  <c r="U63" i="39"/>
  <c r="N64" i="39"/>
  <c r="G63" i="39" s="1"/>
  <c r="N49" i="39"/>
  <c r="M50" i="39"/>
  <c r="N73" i="39"/>
  <c r="N71" i="39"/>
  <c r="N55" i="39"/>
  <c r="N69" i="39"/>
  <c r="I52" i="39"/>
  <c r="N43" i="39"/>
  <c r="M52" i="39"/>
  <c r="E63" i="39"/>
  <c r="M68" i="39"/>
  <c r="K20" i="39"/>
  <c r="I44" i="39"/>
  <c r="H79" i="39"/>
  <c r="F51" i="39"/>
  <c r="I58" i="39"/>
  <c r="E67" i="39"/>
  <c r="K27" i="39"/>
  <c r="O89" i="37"/>
  <c r="P82" i="42" l="1"/>
  <c r="P83" i="42" s="1"/>
  <c r="E53" i="41"/>
  <c r="Q21" i="40"/>
  <c r="Q14" i="40"/>
  <c r="Q8" i="40"/>
  <c r="Q10" i="40"/>
  <c r="Q9" i="40"/>
  <c r="Q14" i="41"/>
  <c r="Q10" i="41"/>
  <c r="Q8" i="41"/>
  <c r="Q9" i="41"/>
  <c r="K40" i="40"/>
  <c r="M39" i="40"/>
  <c r="M39" i="41"/>
  <c r="K40" i="41"/>
  <c r="K53" i="41" s="1"/>
  <c r="K79" i="41" s="1"/>
  <c r="K53" i="40"/>
  <c r="K54" i="40" s="1"/>
  <c r="I39" i="39"/>
  <c r="P13" i="39"/>
  <c r="P14" i="39"/>
  <c r="Q9" i="39"/>
  <c r="Q8" i="39"/>
  <c r="Q16" i="39"/>
  <c r="Q10" i="39"/>
  <c r="E53" i="40"/>
  <c r="I39" i="40"/>
  <c r="I41" i="40"/>
  <c r="Q26" i="40"/>
  <c r="I51" i="39"/>
  <c r="I45" i="39"/>
  <c r="I37" i="39"/>
  <c r="I41" i="39"/>
  <c r="N37" i="40"/>
  <c r="N38" i="40" s="1"/>
  <c r="G37" i="40" s="1"/>
  <c r="Q26" i="39"/>
  <c r="X79" i="41"/>
  <c r="Q6" i="41"/>
  <c r="Q16" i="41"/>
  <c r="O6" i="41"/>
  <c r="O4" i="41"/>
  <c r="R4" i="41"/>
  <c r="R25" i="39"/>
  <c r="P90" i="39" s="1"/>
  <c r="P91" i="39" s="1"/>
  <c r="O6" i="39"/>
  <c r="Q6" i="39"/>
  <c r="R19" i="39"/>
  <c r="O6" i="40"/>
  <c r="Q6" i="40"/>
  <c r="R19" i="40"/>
  <c r="Q16" i="40"/>
  <c r="N44" i="40"/>
  <c r="U43" i="40"/>
  <c r="M50" i="40"/>
  <c r="G41" i="41"/>
  <c r="F79" i="39"/>
  <c r="AB79" i="39"/>
  <c r="AC82" i="39" s="1"/>
  <c r="F79" i="41"/>
  <c r="W73" i="41"/>
  <c r="W57" i="41"/>
  <c r="W77" i="41" s="1"/>
  <c r="W79" i="41" s="1"/>
  <c r="W55" i="41"/>
  <c r="W49" i="41"/>
  <c r="W71" i="41"/>
  <c r="Y49" i="39"/>
  <c r="AA49" i="39"/>
  <c r="Y73" i="39"/>
  <c r="W69" i="39"/>
  <c r="Y57" i="39"/>
  <c r="W73" i="39"/>
  <c r="Y71" i="39"/>
  <c r="W57" i="39"/>
  <c r="W49" i="39"/>
  <c r="Y55" i="39"/>
  <c r="W71" i="39"/>
  <c r="W55" i="39"/>
  <c r="Y69" i="39"/>
  <c r="P91" i="41"/>
  <c r="J21" i="41"/>
  <c r="K21" i="41" s="1"/>
  <c r="K53" i="39"/>
  <c r="K54" i="39" s="1"/>
  <c r="J21" i="40"/>
  <c r="K14" i="39"/>
  <c r="P29" i="39"/>
  <c r="H28" i="39"/>
  <c r="I73" i="41"/>
  <c r="I73" i="39"/>
  <c r="U67" i="40"/>
  <c r="O86" i="39"/>
  <c r="O88" i="39"/>
  <c r="O89" i="39" s="1"/>
  <c r="M77" i="39"/>
  <c r="M78" i="39" s="1"/>
  <c r="L79" i="39"/>
  <c r="L80" i="39" s="1"/>
  <c r="I54" i="40"/>
  <c r="L79" i="40"/>
  <c r="L80" i="40" s="1"/>
  <c r="M77" i="40"/>
  <c r="M78" i="40" s="1"/>
  <c r="Q32" i="40"/>
  <c r="R32" i="40" s="1"/>
  <c r="U51" i="40"/>
  <c r="I54" i="41"/>
  <c r="Q90" i="41"/>
  <c r="Q91" i="41" s="1"/>
  <c r="P86" i="41"/>
  <c r="P87" i="41" s="1"/>
  <c r="P88" i="41"/>
  <c r="O88" i="41"/>
  <c r="I67" i="41"/>
  <c r="M77" i="41"/>
  <c r="M78" i="41" s="1"/>
  <c r="O86" i="41"/>
  <c r="E65" i="41"/>
  <c r="E55" i="41"/>
  <c r="I65" i="41"/>
  <c r="I49" i="41"/>
  <c r="E69" i="41"/>
  <c r="E71" i="41"/>
  <c r="I41" i="41"/>
  <c r="I51" i="41"/>
  <c r="J79" i="39"/>
  <c r="I55" i="41"/>
  <c r="I57" i="41"/>
  <c r="I75" i="41"/>
  <c r="E37" i="41"/>
  <c r="I43" i="41"/>
  <c r="I59" i="41"/>
  <c r="E77" i="41"/>
  <c r="E10" i="41"/>
  <c r="E75" i="41"/>
  <c r="I69" i="41"/>
  <c r="I39" i="41"/>
  <c r="O111" i="41"/>
  <c r="I71" i="41"/>
  <c r="I47" i="41"/>
  <c r="R19" i="41"/>
  <c r="I63" i="41"/>
  <c r="H31" i="41"/>
  <c r="I45" i="41"/>
  <c r="I61" i="41"/>
  <c r="I37" i="41"/>
  <c r="J54" i="39"/>
  <c r="L54" i="41"/>
  <c r="L79" i="41"/>
  <c r="L80" i="41" s="1"/>
  <c r="U59" i="41"/>
  <c r="N60" i="41"/>
  <c r="G59" i="41" s="1"/>
  <c r="J78" i="41"/>
  <c r="Q26" i="41"/>
  <c r="J53" i="41"/>
  <c r="N49" i="41"/>
  <c r="M50" i="41"/>
  <c r="Q31" i="41"/>
  <c r="R31" i="41" s="1"/>
  <c r="N48" i="41"/>
  <c r="G47" i="41" s="1"/>
  <c r="N62" i="41"/>
  <c r="G61" i="41" s="1"/>
  <c r="U61" i="41"/>
  <c r="N44" i="41"/>
  <c r="U43" i="41"/>
  <c r="N70" i="41"/>
  <c r="G69" i="41" s="1"/>
  <c r="E77" i="40"/>
  <c r="J53" i="40"/>
  <c r="N50" i="40"/>
  <c r="G49" i="40" s="1"/>
  <c r="N74" i="40"/>
  <c r="G73" i="40" s="1"/>
  <c r="N70" i="40"/>
  <c r="G69" i="40" s="1"/>
  <c r="Q31" i="40"/>
  <c r="R31" i="40" s="1"/>
  <c r="N48" i="40"/>
  <c r="G47" i="40" s="1"/>
  <c r="I67" i="40"/>
  <c r="R4" i="40"/>
  <c r="I65" i="40"/>
  <c r="I51" i="40"/>
  <c r="E65" i="40"/>
  <c r="H31" i="40"/>
  <c r="I63" i="40"/>
  <c r="I49" i="40"/>
  <c r="I61" i="40"/>
  <c r="O111" i="40"/>
  <c r="I47" i="40"/>
  <c r="E37" i="40"/>
  <c r="E10" i="40"/>
  <c r="I57" i="40"/>
  <c r="I55" i="40"/>
  <c r="I75" i="40"/>
  <c r="E55" i="40"/>
  <c r="I45" i="40"/>
  <c r="I59" i="40"/>
  <c r="E75" i="40"/>
  <c r="I71" i="40"/>
  <c r="I43" i="40"/>
  <c r="I69" i="40"/>
  <c r="E71" i="40"/>
  <c r="I37" i="40"/>
  <c r="E69" i="40"/>
  <c r="O4" i="40"/>
  <c r="N56" i="40"/>
  <c r="G55" i="40" s="1"/>
  <c r="G41" i="40"/>
  <c r="U47" i="40"/>
  <c r="E77" i="39"/>
  <c r="Q31" i="39"/>
  <c r="R31" i="39" s="1"/>
  <c r="N48" i="39"/>
  <c r="G47" i="39" s="1"/>
  <c r="N50" i="39"/>
  <c r="G49" i="39" s="1"/>
  <c r="N70" i="39"/>
  <c r="G69" i="39" s="1"/>
  <c r="N74" i="39"/>
  <c r="G73" i="39" s="1"/>
  <c r="N44" i="39"/>
  <c r="U43" i="39"/>
  <c r="U47" i="39"/>
  <c r="N72" i="39"/>
  <c r="G71" i="39" s="1"/>
  <c r="N56" i="39"/>
  <c r="G55" i="39" s="1"/>
  <c r="I67" i="39"/>
  <c r="R4" i="39"/>
  <c r="I65" i="39"/>
  <c r="O4" i="39"/>
  <c r="E65" i="39"/>
  <c r="H31" i="39"/>
  <c r="O111" i="39"/>
  <c r="I63" i="39"/>
  <c r="E69" i="39"/>
  <c r="I49" i="39"/>
  <c r="I61" i="39"/>
  <c r="E55" i="39"/>
  <c r="E75" i="39"/>
  <c r="I59" i="39"/>
  <c r="I43" i="39"/>
  <c r="I47" i="39"/>
  <c r="I71" i="39"/>
  <c r="E71" i="39"/>
  <c r="E37" i="39"/>
  <c r="E10" i="39"/>
  <c r="I75" i="39"/>
  <c r="I57" i="39"/>
  <c r="I55" i="39"/>
  <c r="I69" i="39"/>
  <c r="I54" i="39"/>
  <c r="W63" i="36"/>
  <c r="W62" i="36"/>
  <c r="R26" i="40" l="1"/>
  <c r="Q79" i="40"/>
  <c r="M53" i="40"/>
  <c r="R26" i="39"/>
  <c r="H32" i="39" s="1"/>
  <c r="Q90" i="39"/>
  <c r="V86" i="39" s="1"/>
  <c r="J21" i="39"/>
  <c r="K21" i="39" s="1"/>
  <c r="P86" i="39"/>
  <c r="P88" i="39"/>
  <c r="P89" i="39" s="1"/>
  <c r="N39" i="41"/>
  <c r="N40" i="41" s="1"/>
  <c r="M40" i="41"/>
  <c r="N39" i="40"/>
  <c r="N40" i="40" s="1"/>
  <c r="G39" i="40" s="1"/>
  <c r="M40" i="40"/>
  <c r="K79" i="40"/>
  <c r="K80" i="40" s="1"/>
  <c r="O41" i="39"/>
  <c r="P41" i="39"/>
  <c r="P42" i="39" s="1"/>
  <c r="P39" i="39"/>
  <c r="P40" i="39" s="1"/>
  <c r="O39" i="39"/>
  <c r="P45" i="39"/>
  <c r="P46" i="39" s="1"/>
  <c r="O45" i="39"/>
  <c r="O37" i="39"/>
  <c r="P37" i="39"/>
  <c r="P38" i="39" s="1"/>
  <c r="K54" i="41"/>
  <c r="M53" i="41"/>
  <c r="M96" i="41" s="1"/>
  <c r="G43" i="40"/>
  <c r="G45" i="40"/>
  <c r="W77" i="39"/>
  <c r="W79" i="39" s="1"/>
  <c r="K79" i="39"/>
  <c r="K80" i="39" s="1"/>
  <c r="M53" i="39"/>
  <c r="M96" i="39" s="1"/>
  <c r="Y77" i="39"/>
  <c r="Q88" i="41"/>
  <c r="Q89" i="41" s="1"/>
  <c r="P89" i="41"/>
  <c r="O87" i="39"/>
  <c r="Q88" i="39"/>
  <c r="Q89" i="39" s="1"/>
  <c r="E28" i="41"/>
  <c r="E29" i="41"/>
  <c r="D31" i="39"/>
  <c r="D32" i="39"/>
  <c r="Q86" i="41"/>
  <c r="Q87" i="41" s="1"/>
  <c r="J22" i="41"/>
  <c r="K22" i="41" s="1"/>
  <c r="Q91" i="39"/>
  <c r="V88" i="39"/>
  <c r="O89" i="41"/>
  <c r="Q86" i="39"/>
  <c r="Q87" i="39" s="1"/>
  <c r="P93" i="39"/>
  <c r="P87" i="39"/>
  <c r="N77" i="39"/>
  <c r="N78" i="39" s="1"/>
  <c r="P55" i="39"/>
  <c r="P56" i="39" s="1"/>
  <c r="P57" i="39"/>
  <c r="P58" i="39" s="1"/>
  <c r="O49" i="39"/>
  <c r="O50" i="39" s="1"/>
  <c r="P63" i="39"/>
  <c r="P64" i="39" s="1"/>
  <c r="N77" i="40"/>
  <c r="N78" i="40" s="1"/>
  <c r="S30" i="40"/>
  <c r="S30" i="41"/>
  <c r="V86" i="41"/>
  <c r="V88" i="41"/>
  <c r="P93" i="41"/>
  <c r="O87" i="41"/>
  <c r="N77" i="41"/>
  <c r="N78" i="41" s="1"/>
  <c r="S30" i="39"/>
  <c r="I96" i="41"/>
  <c r="I53" i="41"/>
  <c r="O65" i="39"/>
  <c r="O66" i="39" s="1"/>
  <c r="P65" i="39"/>
  <c r="P66" i="39" s="1"/>
  <c r="O51" i="39"/>
  <c r="O52" i="39" s="1"/>
  <c r="J80" i="39"/>
  <c r="P49" i="39"/>
  <c r="P50" i="39" s="1"/>
  <c r="O69" i="39"/>
  <c r="O70" i="39" s="1"/>
  <c r="O47" i="39"/>
  <c r="O48" i="39" s="1"/>
  <c r="I77" i="39"/>
  <c r="P69" i="39"/>
  <c r="P70" i="39" s="1"/>
  <c r="P59" i="39"/>
  <c r="P60" i="39" s="1"/>
  <c r="O59" i="39"/>
  <c r="O60" i="39" s="1"/>
  <c r="O71" i="39"/>
  <c r="O72" i="39" s="1"/>
  <c r="O67" i="39"/>
  <c r="O68" i="39" s="1"/>
  <c r="P71" i="39"/>
  <c r="P72" i="39" s="1"/>
  <c r="O43" i="39"/>
  <c r="O44" i="39" s="1"/>
  <c r="P43" i="39"/>
  <c r="P44" i="39" s="1"/>
  <c r="P47" i="39"/>
  <c r="P48" i="39" s="1"/>
  <c r="O61" i="39"/>
  <c r="O62" i="39" s="1"/>
  <c r="O75" i="39"/>
  <c r="O76" i="39" s="1"/>
  <c r="O73" i="39" s="1"/>
  <c r="P61" i="39"/>
  <c r="P62" i="39" s="1"/>
  <c r="O55" i="39"/>
  <c r="O56" i="39" s="1"/>
  <c r="O57" i="39"/>
  <c r="O58" i="39" s="1"/>
  <c r="O63" i="39"/>
  <c r="O64" i="39" s="1"/>
  <c r="P51" i="39"/>
  <c r="P52" i="39" s="1"/>
  <c r="P67" i="39"/>
  <c r="P68" i="39" s="1"/>
  <c r="P75" i="39"/>
  <c r="P76" i="39" s="1"/>
  <c r="P73" i="39" s="1"/>
  <c r="P74" i="39" s="1"/>
  <c r="I77" i="41"/>
  <c r="I77" i="40"/>
  <c r="Q79" i="41"/>
  <c r="J18" i="41" s="1"/>
  <c r="L32" i="41"/>
  <c r="R26" i="41"/>
  <c r="H32" i="41" s="1"/>
  <c r="G39" i="41"/>
  <c r="G37" i="41"/>
  <c r="M79" i="41"/>
  <c r="M80" i="41" s="1"/>
  <c r="K80" i="41"/>
  <c r="G43" i="41"/>
  <c r="G45" i="41"/>
  <c r="N50" i="41"/>
  <c r="G49" i="41" s="1"/>
  <c r="J54" i="41"/>
  <c r="J79" i="41"/>
  <c r="I53" i="40"/>
  <c r="V86" i="40"/>
  <c r="M54" i="40"/>
  <c r="M96" i="40"/>
  <c r="J18" i="40"/>
  <c r="H32" i="40"/>
  <c r="L32" i="40"/>
  <c r="J79" i="40"/>
  <c r="J54" i="40"/>
  <c r="N53" i="40"/>
  <c r="P93" i="40"/>
  <c r="K21" i="40"/>
  <c r="J22" i="40"/>
  <c r="K22" i="40" s="1"/>
  <c r="V88" i="40"/>
  <c r="I96" i="40"/>
  <c r="I96" i="39"/>
  <c r="G45" i="39"/>
  <c r="G43" i="39"/>
  <c r="Q79" i="39"/>
  <c r="J18" i="39" s="1"/>
  <c r="L32" i="39"/>
  <c r="I53" i="39"/>
  <c r="H26" i="36"/>
  <c r="H26" i="37" s="1"/>
  <c r="H58" i="37"/>
  <c r="H95" i="37" s="1"/>
  <c r="M85" i="37"/>
  <c r="M86" i="37" s="1"/>
  <c r="R14" i="37"/>
  <c r="R13" i="37"/>
  <c r="R12" i="37"/>
  <c r="R11" i="37"/>
  <c r="R10" i="37"/>
  <c r="R9" i="37"/>
  <c r="R8" i="37"/>
  <c r="R7" i="37"/>
  <c r="H66" i="37"/>
  <c r="H62" i="37"/>
  <c r="H60" i="37"/>
  <c r="H56" i="37"/>
  <c r="H50" i="37"/>
  <c r="P31" i="37" s="1"/>
  <c r="H46" i="37"/>
  <c r="P30" i="37" s="1"/>
  <c r="H42" i="37"/>
  <c r="M87" i="36"/>
  <c r="M87" i="37" s="1"/>
  <c r="M88" i="37" s="1"/>
  <c r="J19" i="36"/>
  <c r="K19" i="36" s="1"/>
  <c r="V58" i="34"/>
  <c r="V67" i="34"/>
  <c r="V63" i="34"/>
  <c r="V61" i="34"/>
  <c r="V56" i="34"/>
  <c r="Q127" i="37"/>
  <c r="P127" i="37"/>
  <c r="O127" i="37"/>
  <c r="N127" i="37"/>
  <c r="Q121" i="37"/>
  <c r="P121" i="37"/>
  <c r="O121" i="37"/>
  <c r="N121" i="37"/>
  <c r="O90" i="37"/>
  <c r="M84" i="37"/>
  <c r="P83" i="37"/>
  <c r="O83" i="37"/>
  <c r="O84" i="37" s="1"/>
  <c r="K83" i="37"/>
  <c r="K84" i="37" s="1"/>
  <c r="I83" i="37"/>
  <c r="I84" i="37" s="1"/>
  <c r="O79" i="37"/>
  <c r="L75" i="37"/>
  <c r="K75" i="37"/>
  <c r="J75" i="37"/>
  <c r="G75" i="37"/>
  <c r="M74" i="37"/>
  <c r="M75" i="37" s="1"/>
  <c r="L73" i="37"/>
  <c r="K73" i="37"/>
  <c r="J73" i="37"/>
  <c r="G73" i="37"/>
  <c r="M72" i="37"/>
  <c r="M73" i="37" s="1"/>
  <c r="I72" i="37"/>
  <c r="E72" i="37"/>
  <c r="L71" i="37"/>
  <c r="K71" i="37"/>
  <c r="J71" i="37"/>
  <c r="G71" i="37"/>
  <c r="M70" i="37"/>
  <c r="N70" i="37" s="1"/>
  <c r="N71" i="37" s="1"/>
  <c r="G70" i="37" s="1"/>
  <c r="L69" i="37"/>
  <c r="K69" i="37"/>
  <c r="J69" i="37"/>
  <c r="G69" i="37"/>
  <c r="M68" i="37"/>
  <c r="N68" i="37" s="1"/>
  <c r="L67" i="37"/>
  <c r="K67" i="37"/>
  <c r="J67" i="37"/>
  <c r="G67" i="37"/>
  <c r="M66" i="37"/>
  <c r="N66" i="37" s="1"/>
  <c r="L65" i="37"/>
  <c r="K65" i="37"/>
  <c r="J65" i="37"/>
  <c r="G65" i="37"/>
  <c r="M64" i="37"/>
  <c r="N64" i="37" s="1"/>
  <c r="N65" i="37" s="1"/>
  <c r="G64" i="37" s="1"/>
  <c r="L63" i="37"/>
  <c r="K63" i="37"/>
  <c r="J63" i="37"/>
  <c r="G63" i="37"/>
  <c r="M62" i="37"/>
  <c r="N62" i="37" s="1"/>
  <c r="L61" i="37"/>
  <c r="K61" i="37"/>
  <c r="J61" i="37"/>
  <c r="G61" i="37"/>
  <c r="M60" i="37"/>
  <c r="M61" i="37" s="1"/>
  <c r="L59" i="37"/>
  <c r="K59" i="37"/>
  <c r="J59" i="37"/>
  <c r="G59" i="37"/>
  <c r="M58" i="37"/>
  <c r="M59" i="37" s="1"/>
  <c r="L57" i="37"/>
  <c r="K57" i="37"/>
  <c r="J57" i="37"/>
  <c r="G57" i="37"/>
  <c r="M56" i="37"/>
  <c r="N56" i="37" s="1"/>
  <c r="N57" i="37" s="1"/>
  <c r="G56" i="37" s="1"/>
  <c r="L55" i="37"/>
  <c r="K55" i="37"/>
  <c r="J55" i="37"/>
  <c r="M54" i="37"/>
  <c r="M55" i="37" s="1"/>
  <c r="L51" i="37"/>
  <c r="K51" i="37"/>
  <c r="M50" i="37"/>
  <c r="M51" i="37" s="1"/>
  <c r="J50" i="37"/>
  <c r="J51" i="37" s="1"/>
  <c r="L48" i="37"/>
  <c r="L49" i="37" s="1"/>
  <c r="K48" i="37"/>
  <c r="J48" i="37"/>
  <c r="J49" i="37" s="1"/>
  <c r="L47" i="37"/>
  <c r="M46" i="37"/>
  <c r="K47" i="37"/>
  <c r="J46" i="37"/>
  <c r="G47" i="37" s="1"/>
  <c r="O30" i="37" s="1"/>
  <c r="G45" i="37"/>
  <c r="O29" i="37" s="1"/>
  <c r="L43" i="37"/>
  <c r="K43" i="37"/>
  <c r="J43" i="37"/>
  <c r="G43" i="37"/>
  <c r="M42" i="37"/>
  <c r="N42" i="37" s="1"/>
  <c r="L40" i="37"/>
  <c r="L41" i="37" s="1"/>
  <c r="K40" i="37"/>
  <c r="J40" i="37"/>
  <c r="J41" i="37" s="1"/>
  <c r="F40" i="37"/>
  <c r="L38" i="37"/>
  <c r="L39" i="37" s="1"/>
  <c r="K38" i="37"/>
  <c r="J38" i="37"/>
  <c r="J39" i="37" s="1"/>
  <c r="F38" i="37"/>
  <c r="L36" i="37"/>
  <c r="K36" i="37"/>
  <c r="J36" i="37"/>
  <c r="F36" i="37"/>
  <c r="D16" i="37"/>
  <c r="J13" i="37"/>
  <c r="K13" i="37" s="1"/>
  <c r="L11" i="37"/>
  <c r="K11" i="37"/>
  <c r="L10" i="37"/>
  <c r="K10" i="37"/>
  <c r="L9" i="37"/>
  <c r="K9" i="37"/>
  <c r="L8" i="37"/>
  <c r="K8" i="37"/>
  <c r="R15" i="36"/>
  <c r="R6" i="36"/>
  <c r="P78" i="36" s="1"/>
  <c r="Q127" i="36"/>
  <c r="P127" i="36"/>
  <c r="O127" i="36"/>
  <c r="N127" i="36"/>
  <c r="Q121" i="36"/>
  <c r="P121" i="36"/>
  <c r="O121" i="36"/>
  <c r="N121" i="36"/>
  <c r="H96" i="36"/>
  <c r="H95" i="36"/>
  <c r="K92" i="36"/>
  <c r="J92" i="36"/>
  <c r="O90" i="36"/>
  <c r="I85" i="36"/>
  <c r="I86" i="36" s="1"/>
  <c r="M84" i="36"/>
  <c r="P83" i="36"/>
  <c r="P84" i="36" s="1"/>
  <c r="O83" i="36"/>
  <c r="K83" i="36"/>
  <c r="K84" i="36" s="1"/>
  <c r="I83" i="36"/>
  <c r="I84" i="36" s="1"/>
  <c r="O79" i="36"/>
  <c r="H76" i="36"/>
  <c r="I59" i="36" s="1"/>
  <c r="L75" i="36"/>
  <c r="K75" i="36"/>
  <c r="J75" i="36"/>
  <c r="G75" i="36"/>
  <c r="M74" i="36"/>
  <c r="M75" i="36" s="1"/>
  <c r="L73" i="36"/>
  <c r="K73" i="36"/>
  <c r="J73" i="36"/>
  <c r="G73" i="36"/>
  <c r="M72" i="36"/>
  <c r="M73" i="36" s="1"/>
  <c r="I72" i="36"/>
  <c r="E72" i="36"/>
  <c r="L71" i="36"/>
  <c r="K71" i="36"/>
  <c r="J71" i="36"/>
  <c r="G71" i="36"/>
  <c r="M70" i="36"/>
  <c r="N70" i="36" s="1"/>
  <c r="L69" i="36"/>
  <c r="K69" i="36"/>
  <c r="J69" i="36"/>
  <c r="G69" i="36"/>
  <c r="M68" i="36"/>
  <c r="M69" i="36" s="1"/>
  <c r="L67" i="36"/>
  <c r="K67" i="36"/>
  <c r="J67" i="36"/>
  <c r="G67" i="36"/>
  <c r="M66" i="36"/>
  <c r="M67" i="36" s="1"/>
  <c r="L65" i="36"/>
  <c r="K65" i="36"/>
  <c r="J65" i="36"/>
  <c r="G65" i="36"/>
  <c r="M64" i="36"/>
  <c r="N64" i="36" s="1"/>
  <c r="N65" i="36" s="1"/>
  <c r="G64" i="36" s="1"/>
  <c r="L63" i="36"/>
  <c r="K63" i="36"/>
  <c r="J63" i="36"/>
  <c r="G63" i="36"/>
  <c r="M62" i="36"/>
  <c r="N62" i="36" s="1"/>
  <c r="L61" i="36"/>
  <c r="K61" i="36"/>
  <c r="J61" i="36"/>
  <c r="G61" i="36"/>
  <c r="M60" i="36"/>
  <c r="M61" i="36" s="1"/>
  <c r="L59" i="36"/>
  <c r="K59" i="36"/>
  <c r="J59" i="36"/>
  <c r="G59" i="36"/>
  <c r="M58" i="36"/>
  <c r="N58" i="36" s="1"/>
  <c r="U58" i="36" s="1"/>
  <c r="L57" i="36"/>
  <c r="K57" i="36"/>
  <c r="J57" i="36"/>
  <c r="G57" i="36"/>
  <c r="M56" i="36"/>
  <c r="N56" i="36" s="1"/>
  <c r="L55" i="36"/>
  <c r="K55" i="36"/>
  <c r="J55" i="36"/>
  <c r="M54" i="36"/>
  <c r="M55" i="36" s="1"/>
  <c r="H52" i="36"/>
  <c r="E42" i="36" s="1"/>
  <c r="L51" i="36"/>
  <c r="K51" i="36"/>
  <c r="M50" i="36"/>
  <c r="M51" i="36" s="1"/>
  <c r="J50" i="36"/>
  <c r="J51" i="36" s="1"/>
  <c r="L48" i="36"/>
  <c r="L49" i="36" s="1"/>
  <c r="K48" i="36"/>
  <c r="M48" i="36" s="1"/>
  <c r="J48" i="36"/>
  <c r="J49" i="36" s="1"/>
  <c r="L47" i="36"/>
  <c r="K47" i="36"/>
  <c r="M46" i="36"/>
  <c r="J46" i="36"/>
  <c r="G47" i="36" s="1"/>
  <c r="O30" i="36" s="1"/>
  <c r="G45" i="36"/>
  <c r="O29" i="36" s="1"/>
  <c r="L43" i="36"/>
  <c r="K43" i="36"/>
  <c r="J43" i="36"/>
  <c r="G43" i="36"/>
  <c r="M42" i="36"/>
  <c r="M43" i="36" s="1"/>
  <c r="L40" i="36"/>
  <c r="L41" i="36" s="1"/>
  <c r="K40" i="36"/>
  <c r="K41" i="36" s="1"/>
  <c r="J40" i="36"/>
  <c r="J41" i="36" s="1"/>
  <c r="F40" i="36"/>
  <c r="L38" i="36"/>
  <c r="L39" i="36" s="1"/>
  <c r="K38" i="36"/>
  <c r="J38" i="36"/>
  <c r="J39" i="36" s="1"/>
  <c r="F38" i="36"/>
  <c r="L36" i="36"/>
  <c r="L37" i="36" s="1"/>
  <c r="K36" i="36"/>
  <c r="K37" i="36" s="1"/>
  <c r="J36" i="36"/>
  <c r="J37" i="36" s="1"/>
  <c r="F36" i="36"/>
  <c r="P31" i="36"/>
  <c r="P30" i="36"/>
  <c r="P29" i="36"/>
  <c r="Q22" i="36"/>
  <c r="Q21" i="36"/>
  <c r="D16" i="36"/>
  <c r="K13" i="36"/>
  <c r="L11" i="36"/>
  <c r="K11" i="36"/>
  <c r="L10" i="36"/>
  <c r="K10" i="36"/>
  <c r="L9" i="36"/>
  <c r="K9" i="36"/>
  <c r="L8" i="36"/>
  <c r="K8" i="36"/>
  <c r="Q140" i="35"/>
  <c r="P140" i="35"/>
  <c r="O140" i="35"/>
  <c r="N140" i="35"/>
  <c r="Q134" i="35"/>
  <c r="P134" i="35"/>
  <c r="O134" i="35"/>
  <c r="N134" i="35"/>
  <c r="H109" i="35"/>
  <c r="H108" i="35"/>
  <c r="K105" i="35"/>
  <c r="J105" i="35"/>
  <c r="O94" i="35"/>
  <c r="M93" i="35"/>
  <c r="Q28" i="35" s="1"/>
  <c r="M92" i="35"/>
  <c r="K91" i="35"/>
  <c r="K91" i="42" s="1"/>
  <c r="K92" i="42" s="1"/>
  <c r="I91" i="35"/>
  <c r="I91" i="42" s="1"/>
  <c r="I92" i="42" s="1"/>
  <c r="M90" i="35"/>
  <c r="K89" i="35"/>
  <c r="I89" i="35"/>
  <c r="I89" i="42" s="1"/>
  <c r="I90" i="42" s="1"/>
  <c r="M88" i="35"/>
  <c r="P87" i="35"/>
  <c r="P88" i="35" s="1"/>
  <c r="O87" i="35"/>
  <c r="Q87" i="35" s="1"/>
  <c r="Q88" i="35" s="1"/>
  <c r="K87" i="35"/>
  <c r="K88" i="35" s="1"/>
  <c r="I87" i="35"/>
  <c r="I88" i="35" s="1"/>
  <c r="O83" i="35"/>
  <c r="L79" i="35"/>
  <c r="K79" i="35"/>
  <c r="J79" i="35"/>
  <c r="M78" i="35"/>
  <c r="M79" i="35" s="1"/>
  <c r="L77" i="35"/>
  <c r="K77" i="35"/>
  <c r="J77" i="35"/>
  <c r="G77" i="35"/>
  <c r="M76" i="35"/>
  <c r="M77" i="35" s="1"/>
  <c r="E76" i="35"/>
  <c r="L75" i="35"/>
  <c r="K75" i="35"/>
  <c r="J75" i="35"/>
  <c r="G75" i="35"/>
  <c r="M74" i="35"/>
  <c r="M75" i="35" s="1"/>
  <c r="L73" i="35"/>
  <c r="K73" i="35"/>
  <c r="J73" i="35"/>
  <c r="G73" i="35"/>
  <c r="M72" i="35"/>
  <c r="L71" i="35"/>
  <c r="K71" i="35"/>
  <c r="J71" i="35"/>
  <c r="G71" i="35"/>
  <c r="M70" i="35"/>
  <c r="N70" i="35" s="1"/>
  <c r="L69" i="35"/>
  <c r="K69" i="35"/>
  <c r="J69" i="35"/>
  <c r="G69" i="35"/>
  <c r="M68" i="35"/>
  <c r="N68" i="35" s="1"/>
  <c r="N69" i="35" s="1"/>
  <c r="G68" i="35" s="1"/>
  <c r="L67" i="35"/>
  <c r="K67" i="35"/>
  <c r="J67" i="35"/>
  <c r="G67" i="35"/>
  <c r="M66" i="35"/>
  <c r="M67" i="35" s="1"/>
  <c r="L65" i="35"/>
  <c r="K65" i="35"/>
  <c r="J65" i="35"/>
  <c r="G65" i="35"/>
  <c r="M64" i="35"/>
  <c r="M65" i="35" s="1"/>
  <c r="L63" i="35"/>
  <c r="K63" i="35"/>
  <c r="J63" i="35"/>
  <c r="G63" i="35"/>
  <c r="M62" i="35"/>
  <c r="N62" i="35" s="1"/>
  <c r="U62" i="35" s="1"/>
  <c r="L61" i="35"/>
  <c r="K61" i="35"/>
  <c r="J61" i="35"/>
  <c r="G61" i="35"/>
  <c r="M60" i="35"/>
  <c r="N60" i="35" s="1"/>
  <c r="L59" i="35"/>
  <c r="K59" i="35"/>
  <c r="J59" i="35"/>
  <c r="M58" i="35"/>
  <c r="M59" i="35" s="1"/>
  <c r="E50" i="35"/>
  <c r="L55" i="35"/>
  <c r="K55" i="35"/>
  <c r="M54" i="35"/>
  <c r="M55" i="35" s="1"/>
  <c r="J55" i="35"/>
  <c r="L52" i="35"/>
  <c r="L53" i="35" s="1"/>
  <c r="K52" i="35"/>
  <c r="J52" i="35"/>
  <c r="G53" i="35" s="1"/>
  <c r="G51" i="35"/>
  <c r="O34" i="35" s="1"/>
  <c r="G49" i="35"/>
  <c r="L47" i="35"/>
  <c r="K47" i="35"/>
  <c r="J47" i="35"/>
  <c r="G47" i="35"/>
  <c r="M46" i="35"/>
  <c r="M47" i="35" s="1"/>
  <c r="F44" i="35"/>
  <c r="F42" i="35"/>
  <c r="F40" i="35"/>
  <c r="P35" i="35"/>
  <c r="P34" i="35"/>
  <c r="D17" i="35"/>
  <c r="L8" i="35"/>
  <c r="K8" i="35"/>
  <c r="M36" i="37" l="1"/>
  <c r="M37" i="37" s="1"/>
  <c r="W22" i="37"/>
  <c r="M48" i="37"/>
  <c r="N46" i="36"/>
  <c r="J47" i="36"/>
  <c r="Q20" i="35"/>
  <c r="M79" i="40"/>
  <c r="M80" i="40" s="1"/>
  <c r="J22" i="39"/>
  <c r="K22" i="39" s="1"/>
  <c r="M71" i="37"/>
  <c r="M40" i="37"/>
  <c r="M52" i="35"/>
  <c r="Q83" i="36"/>
  <c r="Q84" i="36" s="1"/>
  <c r="Q41" i="41"/>
  <c r="Q42" i="41" s="1"/>
  <c r="P41" i="41"/>
  <c r="P42" i="41" s="1"/>
  <c r="O41" i="41"/>
  <c r="Q39" i="41"/>
  <c r="Q40" i="41" s="1"/>
  <c r="P39" i="41"/>
  <c r="P40" i="41" s="1"/>
  <c r="O39" i="41"/>
  <c r="O37" i="41"/>
  <c r="P37" i="41"/>
  <c r="P38" i="41" s="1"/>
  <c r="Q37" i="41"/>
  <c r="Q38" i="41" s="1"/>
  <c r="Q41" i="40"/>
  <c r="Q42" i="40" s="1"/>
  <c r="P41" i="40"/>
  <c r="P42" i="40" s="1"/>
  <c r="O41" i="40"/>
  <c r="Q39" i="40"/>
  <c r="Q40" i="40" s="1"/>
  <c r="P39" i="40"/>
  <c r="P40" i="40" s="1"/>
  <c r="O39" i="40"/>
  <c r="Q39" i="39"/>
  <c r="Q40" i="39" s="1"/>
  <c r="Q41" i="39"/>
  <c r="Q42" i="39" s="1"/>
  <c r="O42" i="39"/>
  <c r="O40" i="39"/>
  <c r="Q45" i="39"/>
  <c r="Q46" i="39" s="1"/>
  <c r="O46" i="39"/>
  <c r="Q37" i="39"/>
  <c r="Q38" i="39" s="1"/>
  <c r="O38" i="39"/>
  <c r="E54" i="35"/>
  <c r="I43" i="35"/>
  <c r="I45" i="35"/>
  <c r="N54" i="37"/>
  <c r="N55" i="37" s="1"/>
  <c r="G54" i="37" s="1"/>
  <c r="Q83" i="37"/>
  <c r="Q84" i="37" s="1"/>
  <c r="M69" i="37"/>
  <c r="M65" i="37"/>
  <c r="M71" i="36"/>
  <c r="N53" i="41"/>
  <c r="N96" i="41" s="1"/>
  <c r="M54" i="41"/>
  <c r="R28" i="35"/>
  <c r="P93" i="35" s="1"/>
  <c r="J21" i="35" s="1"/>
  <c r="K21" i="35" s="1"/>
  <c r="X80" i="35"/>
  <c r="M65" i="36"/>
  <c r="G51" i="36"/>
  <c r="O31" i="36" s="1"/>
  <c r="N72" i="36"/>
  <c r="N73" i="36" s="1"/>
  <c r="G72" i="36" s="1"/>
  <c r="M36" i="36"/>
  <c r="N36" i="36" s="1"/>
  <c r="N37" i="36" s="1"/>
  <c r="G36" i="36" s="1"/>
  <c r="V77" i="34"/>
  <c r="Q19" i="36"/>
  <c r="G51" i="37"/>
  <c r="O31" i="37" s="1"/>
  <c r="N46" i="37"/>
  <c r="U46" i="37" s="1"/>
  <c r="M63" i="37"/>
  <c r="N50" i="36"/>
  <c r="N51" i="36" s="1"/>
  <c r="G50" i="36" s="1"/>
  <c r="N50" i="37"/>
  <c r="U50" i="37" s="1"/>
  <c r="G41" i="37"/>
  <c r="M79" i="39"/>
  <c r="M80" i="39" s="1"/>
  <c r="N53" i="39"/>
  <c r="N54" i="39" s="1"/>
  <c r="M54" i="39"/>
  <c r="E46" i="35"/>
  <c r="X56" i="35"/>
  <c r="F81" i="35"/>
  <c r="F80" i="35"/>
  <c r="I77" i="35"/>
  <c r="W73" i="35"/>
  <c r="W61" i="35"/>
  <c r="I87" i="36"/>
  <c r="I88" i="36" s="1"/>
  <c r="K92" i="35"/>
  <c r="K90" i="35"/>
  <c r="K89" i="42"/>
  <c r="K90" i="42" s="1"/>
  <c r="D34" i="39"/>
  <c r="I79" i="41"/>
  <c r="P53" i="39"/>
  <c r="P54" i="39" s="1"/>
  <c r="P77" i="39"/>
  <c r="P78" i="39" s="1"/>
  <c r="I63" i="35"/>
  <c r="I73" i="35"/>
  <c r="I79" i="35"/>
  <c r="I69" i="35"/>
  <c r="R79" i="41"/>
  <c r="Q80" i="41"/>
  <c r="O49" i="41"/>
  <c r="O63" i="41"/>
  <c r="N79" i="41"/>
  <c r="J17" i="41" s="1"/>
  <c r="P61" i="41"/>
  <c r="P62" i="41" s="1"/>
  <c r="P47" i="41"/>
  <c r="P48" i="41" s="1"/>
  <c r="P75" i="41"/>
  <c r="P76" i="41" s="1"/>
  <c r="P73" i="41" s="1"/>
  <c r="P74" i="41" s="1"/>
  <c r="O57" i="41"/>
  <c r="O55" i="41"/>
  <c r="P71" i="41"/>
  <c r="P72" i="41" s="1"/>
  <c r="O71" i="41"/>
  <c r="O69" i="41"/>
  <c r="P43" i="41"/>
  <c r="P44" i="41" s="1"/>
  <c r="O65" i="41"/>
  <c r="P49" i="41"/>
  <c r="P50" i="41" s="1"/>
  <c r="O43" i="41"/>
  <c r="J80" i="41"/>
  <c r="P51" i="41"/>
  <c r="P52" i="41" s="1"/>
  <c r="O51" i="41"/>
  <c r="P57" i="41"/>
  <c r="P58" i="41" s="1"/>
  <c r="P65" i="41"/>
  <c r="P66" i="41" s="1"/>
  <c r="O59" i="41"/>
  <c r="O47" i="41"/>
  <c r="O75" i="41"/>
  <c r="P67" i="41"/>
  <c r="P68" i="41" s="1"/>
  <c r="O67" i="41"/>
  <c r="O61" i="41"/>
  <c r="P55" i="41"/>
  <c r="P59" i="41"/>
  <c r="P60" i="41" s="1"/>
  <c r="Q65" i="41"/>
  <c r="Q66" i="41" s="1"/>
  <c r="Q47" i="41"/>
  <c r="Q48" i="41" s="1"/>
  <c r="Q75" i="41"/>
  <c r="Q76" i="41" s="1"/>
  <c r="Q73" i="41" s="1"/>
  <c r="Q74" i="41" s="1"/>
  <c r="Q69" i="41"/>
  <c r="Q70" i="41" s="1"/>
  <c r="Q67" i="41"/>
  <c r="Q68" i="41" s="1"/>
  <c r="Q55" i="41"/>
  <c r="Q49" i="41"/>
  <c r="Q50" i="41" s="1"/>
  <c r="Q43" i="41"/>
  <c r="Q44" i="41" s="1"/>
  <c r="Q57" i="41"/>
  <c r="Q58" i="41" s="1"/>
  <c r="Q51" i="41"/>
  <c r="Q52" i="41" s="1"/>
  <c r="Q63" i="41"/>
  <c r="Q64" i="41" s="1"/>
  <c r="P63" i="41"/>
  <c r="P64" i="41" s="1"/>
  <c r="Q61" i="41"/>
  <c r="Q62" i="41" s="1"/>
  <c r="Q71" i="41"/>
  <c r="Q72" i="41" s="1"/>
  <c r="Q59" i="41"/>
  <c r="Q60" i="41" s="1"/>
  <c r="P69" i="41"/>
  <c r="P70" i="41" s="1"/>
  <c r="J53" i="35"/>
  <c r="I79" i="40"/>
  <c r="N54" i="40"/>
  <c r="N96" i="40"/>
  <c r="O49" i="40"/>
  <c r="O63" i="40"/>
  <c r="N79" i="40"/>
  <c r="J17" i="40" s="1"/>
  <c r="O37" i="40"/>
  <c r="O61" i="40"/>
  <c r="O55" i="40"/>
  <c r="P59" i="40"/>
  <c r="P60" i="40" s="1"/>
  <c r="O47" i="40"/>
  <c r="O59" i="40"/>
  <c r="O75" i="40"/>
  <c r="P43" i="40"/>
  <c r="P44" i="40" s="1"/>
  <c r="O71" i="40"/>
  <c r="O69" i="40"/>
  <c r="P57" i="40"/>
  <c r="P58" i="40" s="1"/>
  <c r="P75" i="40"/>
  <c r="P76" i="40" s="1"/>
  <c r="P73" i="40" s="1"/>
  <c r="P74" i="40" s="1"/>
  <c r="O57" i="40"/>
  <c r="O43" i="40"/>
  <c r="P51" i="40"/>
  <c r="P52" i="40" s="1"/>
  <c r="P55" i="40"/>
  <c r="J80" i="40"/>
  <c r="O67" i="40"/>
  <c r="O51" i="40"/>
  <c r="O65" i="40"/>
  <c r="P67" i="40"/>
  <c r="P68" i="40" s="1"/>
  <c r="P71" i="40"/>
  <c r="P72" i="40" s="1"/>
  <c r="P47" i="40"/>
  <c r="P48" i="40" s="1"/>
  <c r="P65" i="40"/>
  <c r="P66" i="40" s="1"/>
  <c r="P63" i="40"/>
  <c r="P64" i="40" s="1"/>
  <c r="P49" i="40"/>
  <c r="P50" i="40" s="1"/>
  <c r="P61" i="40"/>
  <c r="P62" i="40" s="1"/>
  <c r="P69" i="40"/>
  <c r="P70" i="40" s="1"/>
  <c r="P37" i="40"/>
  <c r="Q37" i="40"/>
  <c r="Q61" i="40"/>
  <c r="Q62" i="40" s="1"/>
  <c r="Q47" i="40"/>
  <c r="Q48" i="40" s="1"/>
  <c r="Q55" i="40"/>
  <c r="Q59" i="40"/>
  <c r="Q60" i="40" s="1"/>
  <c r="Q57" i="40"/>
  <c r="Q58" i="40" s="1"/>
  <c r="Q71" i="40"/>
  <c r="Q72" i="40" s="1"/>
  <c r="Q69" i="40"/>
  <c r="Q70" i="40" s="1"/>
  <c r="Q43" i="40"/>
  <c r="Q44" i="40" s="1"/>
  <c r="Q67" i="40"/>
  <c r="Q68" i="40" s="1"/>
  <c r="Q51" i="40"/>
  <c r="Q52" i="40" s="1"/>
  <c r="Q80" i="40"/>
  <c r="Q65" i="40"/>
  <c r="Q66" i="40" s="1"/>
  <c r="Q49" i="40"/>
  <c r="Q50" i="40" s="1"/>
  <c r="Q75" i="40"/>
  <c r="Q76" i="40" s="1"/>
  <c r="Q73" i="40" s="1"/>
  <c r="Q74" i="40" s="1"/>
  <c r="Q63" i="40"/>
  <c r="Q64" i="40" s="1"/>
  <c r="R79" i="40"/>
  <c r="R80" i="40" s="1"/>
  <c r="I79" i="39"/>
  <c r="O74" i="39"/>
  <c r="O77" i="39" s="1"/>
  <c r="Q57" i="39"/>
  <c r="Q61" i="39"/>
  <c r="Q47" i="39"/>
  <c r="Q63" i="39"/>
  <c r="Q59" i="39"/>
  <c r="Q55" i="39"/>
  <c r="Q51" i="39"/>
  <c r="Q49" i="39"/>
  <c r="Q75" i="39"/>
  <c r="Q80" i="39"/>
  <c r="Q71" i="39"/>
  <c r="Q69" i="39"/>
  <c r="Q65" i="39"/>
  <c r="R79" i="39"/>
  <c r="R80" i="39" s="1"/>
  <c r="Q43" i="39"/>
  <c r="Q67" i="39"/>
  <c r="K87" i="37"/>
  <c r="K88" i="37" s="1"/>
  <c r="N54" i="35"/>
  <c r="Q35" i="35" s="1"/>
  <c r="R35" i="35" s="1"/>
  <c r="M69" i="35"/>
  <c r="G55" i="35"/>
  <c r="O35" i="35" s="1"/>
  <c r="N66" i="35"/>
  <c r="I87" i="37"/>
  <c r="I88" i="37" s="1"/>
  <c r="K87" i="36"/>
  <c r="K88" i="36" s="1"/>
  <c r="M88" i="36"/>
  <c r="R6" i="37"/>
  <c r="P78" i="37" s="1"/>
  <c r="P79" i="37" s="1"/>
  <c r="M38" i="37"/>
  <c r="M39" i="37" s="1"/>
  <c r="M57" i="37"/>
  <c r="L76" i="36"/>
  <c r="L77" i="36" s="1"/>
  <c r="M38" i="36"/>
  <c r="M39" i="36" s="1"/>
  <c r="N66" i="36"/>
  <c r="N67" i="36" s="1"/>
  <c r="G66" i="36" s="1"/>
  <c r="L52" i="36"/>
  <c r="L53" i="36" s="1"/>
  <c r="L80" i="35"/>
  <c r="L81" i="35" s="1"/>
  <c r="M71" i="35"/>
  <c r="M63" i="35"/>
  <c r="U66" i="37"/>
  <c r="N67" i="37"/>
  <c r="G66" i="37" s="1"/>
  <c r="M67" i="37"/>
  <c r="K49" i="36"/>
  <c r="J19" i="37"/>
  <c r="K19" i="37" s="1"/>
  <c r="Q19" i="37"/>
  <c r="M89" i="37"/>
  <c r="I89" i="37" s="1"/>
  <c r="I85" i="37"/>
  <c r="I86" i="37" s="1"/>
  <c r="K85" i="37"/>
  <c r="K86" i="37" s="1"/>
  <c r="I93" i="35"/>
  <c r="I94" i="35" s="1"/>
  <c r="K93" i="35"/>
  <c r="K94" i="35" s="1"/>
  <c r="L13" i="36"/>
  <c r="N40" i="37"/>
  <c r="N41" i="37" s="1"/>
  <c r="G40" i="37" s="1"/>
  <c r="M41" i="37"/>
  <c r="K41" i="37"/>
  <c r="N58" i="37"/>
  <c r="N59" i="37" s="1"/>
  <c r="G58" i="37" s="1"/>
  <c r="M59" i="36"/>
  <c r="M40" i="36"/>
  <c r="N40" i="36" s="1"/>
  <c r="N41" i="36" s="1"/>
  <c r="G40" i="36" s="1"/>
  <c r="K53" i="35"/>
  <c r="N60" i="36"/>
  <c r="U60" i="36" s="1"/>
  <c r="K76" i="36"/>
  <c r="K77" i="36" s="1"/>
  <c r="K80" i="35"/>
  <c r="K81" i="35" s="1"/>
  <c r="K39" i="36"/>
  <c r="K52" i="36" s="1"/>
  <c r="K53" i="36" s="1"/>
  <c r="J76" i="36"/>
  <c r="J77" i="36" s="1"/>
  <c r="U56" i="37"/>
  <c r="R15" i="37"/>
  <c r="P29" i="37"/>
  <c r="H52" i="37"/>
  <c r="E42" i="37" s="1"/>
  <c r="T27" i="36"/>
  <c r="L56" i="35"/>
  <c r="M43" i="37"/>
  <c r="M89" i="36"/>
  <c r="K85" i="36"/>
  <c r="K86" i="36" s="1"/>
  <c r="M86" i="36"/>
  <c r="H96" i="37"/>
  <c r="K76" i="37"/>
  <c r="K77" i="37" s="1"/>
  <c r="Q21" i="37"/>
  <c r="J76" i="37"/>
  <c r="J77" i="37" s="1"/>
  <c r="E66" i="35"/>
  <c r="K92" i="37"/>
  <c r="E60" i="35"/>
  <c r="L76" i="37"/>
  <c r="L77" i="37" s="1"/>
  <c r="J92" i="37"/>
  <c r="Q22" i="37"/>
  <c r="H76" i="37"/>
  <c r="E58" i="37" s="1"/>
  <c r="L52" i="37"/>
  <c r="N69" i="37"/>
  <c r="G68" i="37" s="1"/>
  <c r="Q18" i="37"/>
  <c r="N48" i="37"/>
  <c r="M49" i="37"/>
  <c r="N63" i="37"/>
  <c r="G62" i="37" s="1"/>
  <c r="U62" i="37"/>
  <c r="Q29" i="37"/>
  <c r="U42" i="37"/>
  <c r="N43" i="37"/>
  <c r="N60" i="37"/>
  <c r="J14" i="37"/>
  <c r="P84" i="37"/>
  <c r="L13" i="37"/>
  <c r="J37" i="37"/>
  <c r="J47" i="37"/>
  <c r="K37" i="37"/>
  <c r="L37" i="37"/>
  <c r="J52" i="37"/>
  <c r="G39" i="37"/>
  <c r="M47" i="37"/>
  <c r="G49" i="37"/>
  <c r="K39" i="37"/>
  <c r="K49" i="37"/>
  <c r="N72" i="37"/>
  <c r="N74" i="37"/>
  <c r="N36" i="37"/>
  <c r="Q23" i="36"/>
  <c r="E58" i="36"/>
  <c r="I61" i="36"/>
  <c r="E56" i="36"/>
  <c r="K26" i="36"/>
  <c r="Q30" i="36"/>
  <c r="R30" i="36" s="1"/>
  <c r="U46" i="36"/>
  <c r="N47" i="36"/>
  <c r="G46" i="36" s="1"/>
  <c r="N63" i="36"/>
  <c r="G62" i="36" s="1"/>
  <c r="U62" i="36"/>
  <c r="N48" i="36"/>
  <c r="M49" i="36"/>
  <c r="N71" i="36"/>
  <c r="G70" i="36" s="1"/>
  <c r="Q18" i="36"/>
  <c r="Q20" i="36" s="1"/>
  <c r="N57" i="36"/>
  <c r="G56" i="36" s="1"/>
  <c r="U56" i="36"/>
  <c r="J52" i="36"/>
  <c r="E50" i="36"/>
  <c r="I47" i="36"/>
  <c r="M57" i="36"/>
  <c r="I77" i="36"/>
  <c r="O84" i="36"/>
  <c r="M37" i="36"/>
  <c r="G39" i="36"/>
  <c r="M47" i="36"/>
  <c r="G49" i="36"/>
  <c r="N59" i="36"/>
  <c r="G58" i="36" s="1"/>
  <c r="N68" i="36"/>
  <c r="I63" i="36"/>
  <c r="N42" i="36"/>
  <c r="G41" i="36"/>
  <c r="N54" i="36"/>
  <c r="P79" i="36"/>
  <c r="E46" i="36"/>
  <c r="N74" i="36"/>
  <c r="I51" i="36"/>
  <c r="M63" i="36"/>
  <c r="I67" i="36"/>
  <c r="E60" i="36"/>
  <c r="I43" i="36"/>
  <c r="H78" i="36"/>
  <c r="E62" i="36"/>
  <c r="F50" i="36"/>
  <c r="I57" i="36"/>
  <c r="E66" i="36"/>
  <c r="J80" i="35"/>
  <c r="J81" i="35" s="1"/>
  <c r="I67" i="35"/>
  <c r="E62" i="35"/>
  <c r="I65" i="35"/>
  <c r="I47" i="35"/>
  <c r="I55" i="35"/>
  <c r="H82" i="35"/>
  <c r="I51" i="35"/>
  <c r="M94" i="35"/>
  <c r="U60" i="35"/>
  <c r="N61" i="35"/>
  <c r="G60" i="35" s="1"/>
  <c r="U70" i="35"/>
  <c r="N71" i="35"/>
  <c r="G70" i="35" s="1"/>
  <c r="M73" i="35"/>
  <c r="N72" i="35"/>
  <c r="N52" i="35"/>
  <c r="M53" i="35"/>
  <c r="I90" i="35"/>
  <c r="N46" i="35"/>
  <c r="T31" i="35"/>
  <c r="N64" i="35"/>
  <c r="M61" i="35"/>
  <c r="I81" i="35"/>
  <c r="O88" i="35"/>
  <c r="K20" i="35"/>
  <c r="I92" i="35"/>
  <c r="N74" i="35"/>
  <c r="N63" i="35"/>
  <c r="G62" i="35" s="1"/>
  <c r="N78" i="35"/>
  <c r="N58" i="35"/>
  <c r="P83" i="35"/>
  <c r="N76" i="35"/>
  <c r="I71" i="35"/>
  <c r="E64" i="35"/>
  <c r="F54" i="35"/>
  <c r="I61" i="35"/>
  <c r="E70" i="35"/>
  <c r="Y32" i="42" l="1"/>
  <c r="L56" i="42"/>
  <c r="L57" i="42" s="1"/>
  <c r="Q19" i="35"/>
  <c r="Q21" i="35" s="1"/>
  <c r="Q29" i="35" s="1"/>
  <c r="R29" i="37"/>
  <c r="N47" i="37"/>
  <c r="G46" i="37" s="1"/>
  <c r="N38" i="37"/>
  <c r="E52" i="35"/>
  <c r="Q16" i="35"/>
  <c r="Q9" i="35"/>
  <c r="Q10" i="35"/>
  <c r="Q8" i="35"/>
  <c r="O42" i="41"/>
  <c r="R41" i="41"/>
  <c r="O40" i="41"/>
  <c r="R39" i="41"/>
  <c r="O38" i="41"/>
  <c r="R37" i="41"/>
  <c r="Z75" i="41"/>
  <c r="N54" i="41"/>
  <c r="R41" i="40"/>
  <c r="O42" i="40"/>
  <c r="R39" i="40"/>
  <c r="O40" i="40"/>
  <c r="R39" i="39"/>
  <c r="R40" i="39" s="1"/>
  <c r="R41" i="39"/>
  <c r="R42" i="39" s="1"/>
  <c r="R37" i="39"/>
  <c r="R38" i="39" s="1"/>
  <c r="O53" i="39"/>
  <c r="O54" i="39" s="1"/>
  <c r="R45" i="39"/>
  <c r="R46" i="39" s="1"/>
  <c r="I42" i="35"/>
  <c r="I44" i="35"/>
  <c r="I40" i="35"/>
  <c r="U54" i="35"/>
  <c r="N55" i="35"/>
  <c r="G54" i="35" s="1"/>
  <c r="Q30" i="37"/>
  <c r="R30" i="37" s="1"/>
  <c r="U50" i="36"/>
  <c r="Q31" i="36"/>
  <c r="R31" i="36" s="1"/>
  <c r="R19" i="35"/>
  <c r="R29" i="35" s="1"/>
  <c r="Q14" i="35"/>
  <c r="Q6" i="35"/>
  <c r="P13" i="35"/>
  <c r="O6" i="35"/>
  <c r="P14" i="35"/>
  <c r="O87" i="37"/>
  <c r="O88" i="37" s="1"/>
  <c r="Q31" i="37"/>
  <c r="R31" i="37" s="1"/>
  <c r="N51" i="37"/>
  <c r="G50" i="37" s="1"/>
  <c r="N79" i="39"/>
  <c r="AD75" i="39"/>
  <c r="N96" i="39"/>
  <c r="Q93" i="35"/>
  <c r="Q94" i="35" s="1"/>
  <c r="P94" i="35"/>
  <c r="F82" i="35"/>
  <c r="X82" i="35"/>
  <c r="W72" i="35"/>
  <c r="W74" i="35"/>
  <c r="W60" i="35"/>
  <c r="W58" i="35"/>
  <c r="W52" i="35"/>
  <c r="I76" i="35"/>
  <c r="R80" i="41"/>
  <c r="P96" i="39"/>
  <c r="K18" i="41"/>
  <c r="J24" i="41"/>
  <c r="O44" i="41"/>
  <c r="R43" i="41"/>
  <c r="R65" i="41"/>
  <c r="O66" i="41"/>
  <c r="O70" i="41"/>
  <c r="R69" i="41"/>
  <c r="P56" i="41"/>
  <c r="P77" i="41" s="1"/>
  <c r="P78" i="41" s="1"/>
  <c r="O72" i="41"/>
  <c r="R71" i="41"/>
  <c r="R67" i="41"/>
  <c r="O68" i="41"/>
  <c r="R57" i="41"/>
  <c r="O58" i="41"/>
  <c r="Q53" i="41"/>
  <c r="O76" i="41"/>
  <c r="O73" i="41" s="1"/>
  <c r="R75" i="41"/>
  <c r="R47" i="41"/>
  <c r="O48" i="41"/>
  <c r="O60" i="41"/>
  <c r="R59" i="41"/>
  <c r="P53" i="41"/>
  <c r="Q56" i="41"/>
  <c r="Q77" i="41" s="1"/>
  <c r="Q78" i="41" s="1"/>
  <c r="R63" i="41"/>
  <c r="O64" i="41"/>
  <c r="O56" i="41"/>
  <c r="R55" i="41"/>
  <c r="R51" i="41"/>
  <c r="O52" i="41"/>
  <c r="R61" i="41"/>
  <c r="O62" i="41"/>
  <c r="N80" i="41"/>
  <c r="S79" i="41"/>
  <c r="O50" i="41"/>
  <c r="R49" i="41"/>
  <c r="P38" i="40"/>
  <c r="P53" i="40" s="1"/>
  <c r="O70" i="40"/>
  <c r="R69" i="40"/>
  <c r="R71" i="40"/>
  <c r="O72" i="40"/>
  <c r="R75" i="40"/>
  <c r="O76" i="40"/>
  <c r="O73" i="40" s="1"/>
  <c r="R59" i="40"/>
  <c r="O60" i="40"/>
  <c r="R47" i="40"/>
  <c r="O48" i="40"/>
  <c r="O66" i="40"/>
  <c r="R65" i="40"/>
  <c r="R37" i="40"/>
  <c r="O38" i="40"/>
  <c r="O52" i="40"/>
  <c r="R51" i="40"/>
  <c r="N80" i="40"/>
  <c r="S79" i="40"/>
  <c r="S80" i="40" s="1"/>
  <c r="O68" i="40"/>
  <c r="R67" i="40"/>
  <c r="O64" i="40"/>
  <c r="R63" i="40"/>
  <c r="J24" i="40"/>
  <c r="K18" i="40"/>
  <c r="P56" i="40"/>
  <c r="P77" i="40" s="1"/>
  <c r="P78" i="40" s="1"/>
  <c r="R49" i="40"/>
  <c r="O50" i="40"/>
  <c r="Q56" i="40"/>
  <c r="Q77" i="40" s="1"/>
  <c r="Q78" i="40" s="1"/>
  <c r="O56" i="40"/>
  <c r="R55" i="40"/>
  <c r="R61" i="40"/>
  <c r="O62" i="40"/>
  <c r="O44" i="40"/>
  <c r="R43" i="40"/>
  <c r="Q38" i="40"/>
  <c r="Q53" i="40" s="1"/>
  <c r="R57" i="40"/>
  <c r="O58" i="40"/>
  <c r="O78" i="39"/>
  <c r="Q76" i="39"/>
  <c r="Q73" i="39" s="1"/>
  <c r="R75" i="39"/>
  <c r="Q50" i="39"/>
  <c r="R49" i="39"/>
  <c r="Q52" i="39"/>
  <c r="R51" i="39"/>
  <c r="Q56" i="39"/>
  <c r="R55" i="39"/>
  <c r="K18" i="39"/>
  <c r="J24" i="39"/>
  <c r="Q60" i="39"/>
  <c r="R59" i="39"/>
  <c r="Q64" i="39"/>
  <c r="R63" i="39"/>
  <c r="Q72" i="39"/>
  <c r="R71" i="39"/>
  <c r="Q48" i="39"/>
  <c r="R47" i="39"/>
  <c r="Q58" i="39"/>
  <c r="R57" i="39"/>
  <c r="Q62" i="39"/>
  <c r="R61" i="39"/>
  <c r="Q44" i="39"/>
  <c r="R43" i="39"/>
  <c r="Q68" i="39"/>
  <c r="R67" i="39"/>
  <c r="Q66" i="39"/>
  <c r="R65" i="39"/>
  <c r="Q70" i="39"/>
  <c r="R69" i="39"/>
  <c r="K56" i="35"/>
  <c r="N67" i="35"/>
  <c r="G66" i="35" s="1"/>
  <c r="U66" i="35"/>
  <c r="Q20" i="37"/>
  <c r="N38" i="36"/>
  <c r="N39" i="36" s="1"/>
  <c r="G38" i="36" s="1"/>
  <c r="U66" i="36"/>
  <c r="L78" i="36"/>
  <c r="L79" i="36" s="1"/>
  <c r="L82" i="35"/>
  <c r="N61" i="36"/>
  <c r="G60" i="36" s="1"/>
  <c r="P89" i="35"/>
  <c r="P89" i="42" s="1"/>
  <c r="O91" i="35"/>
  <c r="O89" i="35"/>
  <c r="O89" i="42" s="1"/>
  <c r="P91" i="35"/>
  <c r="M90" i="37"/>
  <c r="K89" i="37"/>
  <c r="K90" i="37" s="1"/>
  <c r="Q24" i="37"/>
  <c r="R24" i="37" s="1"/>
  <c r="U58" i="37"/>
  <c r="M41" i="36"/>
  <c r="M80" i="35"/>
  <c r="M81" i="35" s="1"/>
  <c r="M76" i="36"/>
  <c r="M77" i="36" s="1"/>
  <c r="K78" i="36"/>
  <c r="K79" i="36" s="1"/>
  <c r="M52" i="36"/>
  <c r="N52" i="36" s="1"/>
  <c r="K52" i="37"/>
  <c r="K78" i="37" s="1"/>
  <c r="T27" i="37"/>
  <c r="L57" i="35"/>
  <c r="I43" i="37"/>
  <c r="E50" i="37"/>
  <c r="I47" i="37"/>
  <c r="E46" i="37"/>
  <c r="F50" i="37"/>
  <c r="I51" i="37"/>
  <c r="I53" i="36"/>
  <c r="H78" i="37"/>
  <c r="E70" i="37" s="1"/>
  <c r="M90" i="36"/>
  <c r="K89" i="36"/>
  <c r="K90" i="36" s="1"/>
  <c r="Q24" i="36"/>
  <c r="R24" i="36" s="1"/>
  <c r="P89" i="36" s="1"/>
  <c r="I89" i="36"/>
  <c r="I63" i="37"/>
  <c r="I57" i="37"/>
  <c r="Q23" i="37"/>
  <c r="M76" i="37"/>
  <c r="M77" i="37" s="1"/>
  <c r="E62" i="37"/>
  <c r="I67" i="37"/>
  <c r="E60" i="37"/>
  <c r="I77" i="37"/>
  <c r="E56" i="37"/>
  <c r="E66" i="37"/>
  <c r="I59" i="37"/>
  <c r="I61" i="37"/>
  <c r="N75" i="37"/>
  <c r="G74" i="37" s="1"/>
  <c r="P28" i="37"/>
  <c r="Q16" i="37"/>
  <c r="R16" i="37" s="1"/>
  <c r="L14" i="37"/>
  <c r="K14" i="37"/>
  <c r="J53" i="37"/>
  <c r="J78" i="37"/>
  <c r="N61" i="37"/>
  <c r="G60" i="37" s="1"/>
  <c r="U60" i="37"/>
  <c r="N37" i="37"/>
  <c r="G36" i="37" s="1"/>
  <c r="N73" i="37"/>
  <c r="G72" i="37" s="1"/>
  <c r="L78" i="37"/>
  <c r="L79" i="37" s="1"/>
  <c r="L53" i="37"/>
  <c r="G44" i="37"/>
  <c r="G42" i="37"/>
  <c r="N39" i="37"/>
  <c r="G38" i="37" s="1"/>
  <c r="I90" i="37"/>
  <c r="O85" i="37"/>
  <c r="N49" i="37"/>
  <c r="G48" i="37" s="1"/>
  <c r="N69" i="36"/>
  <c r="G68" i="36" s="1"/>
  <c r="N49" i="36"/>
  <c r="G48" i="36" s="1"/>
  <c r="N75" i="36"/>
  <c r="G74" i="36" s="1"/>
  <c r="J78" i="36"/>
  <c r="J53" i="36"/>
  <c r="N55" i="36"/>
  <c r="G54" i="36" s="1"/>
  <c r="I66" i="36"/>
  <c r="Q14" i="36"/>
  <c r="O6" i="36"/>
  <c r="I64" i="36"/>
  <c r="I50" i="36"/>
  <c r="O4" i="36"/>
  <c r="I62" i="36"/>
  <c r="I40" i="36"/>
  <c r="R4" i="36"/>
  <c r="E64" i="36"/>
  <c r="H30" i="36"/>
  <c r="P13" i="36"/>
  <c r="I42" i="36"/>
  <c r="I48" i="36"/>
  <c r="I38" i="36"/>
  <c r="R18" i="36"/>
  <c r="O110" i="36"/>
  <c r="E48" i="36"/>
  <c r="I60" i="36"/>
  <c r="Q11" i="36"/>
  <c r="I36" i="36"/>
  <c r="P11" i="36"/>
  <c r="E36" i="36"/>
  <c r="I58" i="36"/>
  <c r="I56" i="36"/>
  <c r="I46" i="36"/>
  <c r="I54" i="36"/>
  <c r="I74" i="36"/>
  <c r="E10" i="36"/>
  <c r="E54" i="36"/>
  <c r="I44" i="36"/>
  <c r="E74" i="36"/>
  <c r="I70" i="36"/>
  <c r="I68" i="36"/>
  <c r="E70" i="36"/>
  <c r="E68" i="36"/>
  <c r="Q15" i="36"/>
  <c r="Q6" i="36"/>
  <c r="P14" i="36"/>
  <c r="E44" i="36"/>
  <c r="N43" i="36"/>
  <c r="Q29" i="36"/>
  <c r="R29" i="36" s="1"/>
  <c r="S29" i="36" s="1"/>
  <c r="U42" i="36"/>
  <c r="E76" i="36"/>
  <c r="E74" i="35"/>
  <c r="I62" i="35"/>
  <c r="H34" i="35"/>
  <c r="R4" i="35"/>
  <c r="E72" i="35"/>
  <c r="I66" i="35"/>
  <c r="O4" i="35"/>
  <c r="O123" i="35"/>
  <c r="I52" i="35"/>
  <c r="I50" i="35"/>
  <c r="E80" i="35"/>
  <c r="I54" i="35"/>
  <c r="I60" i="35"/>
  <c r="E40" i="35"/>
  <c r="I64" i="35"/>
  <c r="I58" i="35"/>
  <c r="I68" i="35"/>
  <c r="E58" i="35"/>
  <c r="I74" i="35"/>
  <c r="E68" i="35"/>
  <c r="I78" i="35"/>
  <c r="I57" i="35"/>
  <c r="I70" i="35"/>
  <c r="I72" i="35"/>
  <c r="I48" i="35"/>
  <c r="E10" i="35"/>
  <c r="E48" i="35"/>
  <c r="E56" i="35" s="1"/>
  <c r="E78" i="35"/>
  <c r="I46" i="35"/>
  <c r="J22" i="35"/>
  <c r="K22" i="35" s="1"/>
  <c r="N75" i="35"/>
  <c r="G74" i="35" s="1"/>
  <c r="N59" i="35"/>
  <c r="G58" i="35" s="1"/>
  <c r="N47" i="35"/>
  <c r="U46" i="35"/>
  <c r="N79" i="35"/>
  <c r="G78" i="35" s="1"/>
  <c r="N65" i="35"/>
  <c r="G64" i="35" s="1"/>
  <c r="U64" i="35"/>
  <c r="N53" i="35"/>
  <c r="G52" i="35" s="1"/>
  <c r="N73" i="35"/>
  <c r="G72" i="35" s="1"/>
  <c r="J56" i="35"/>
  <c r="N77" i="35"/>
  <c r="G76" i="35" s="1"/>
  <c r="K14" i="35"/>
  <c r="P32" i="35"/>
  <c r="R17" i="42"/>
  <c r="L14" i="35"/>
  <c r="Q34" i="35"/>
  <c r="R34" i="35" s="1"/>
  <c r="G50" i="35"/>
  <c r="U50" i="35"/>
  <c r="J17" i="39" l="1"/>
  <c r="J23" i="39" s="1"/>
  <c r="S29" i="37"/>
  <c r="R42" i="41"/>
  <c r="S41" i="41"/>
  <c r="S42" i="41" s="1"/>
  <c r="R40" i="41"/>
  <c r="S39" i="41"/>
  <c r="S40" i="41" s="1"/>
  <c r="R38" i="41"/>
  <c r="S37" i="41"/>
  <c r="S38" i="41" s="1"/>
  <c r="R42" i="40"/>
  <c r="S41" i="40"/>
  <c r="S42" i="40" s="1"/>
  <c r="R40" i="40"/>
  <c r="S39" i="40"/>
  <c r="S40" i="40" s="1"/>
  <c r="S37" i="39"/>
  <c r="S38" i="39" s="1"/>
  <c r="S39" i="39"/>
  <c r="S40" i="39" s="1"/>
  <c r="S41" i="39"/>
  <c r="S42" i="39" s="1"/>
  <c r="O96" i="39"/>
  <c r="S45" i="39"/>
  <c r="S46" i="39" s="1"/>
  <c r="P90" i="42"/>
  <c r="H35" i="35"/>
  <c r="V91" i="35"/>
  <c r="V89" i="35"/>
  <c r="N80" i="39"/>
  <c r="S79" i="39"/>
  <c r="S80" i="39" s="1"/>
  <c r="W80" i="35"/>
  <c r="W82" i="35" s="1"/>
  <c r="O90" i="35"/>
  <c r="O92" i="35"/>
  <c r="O91" i="42"/>
  <c r="P92" i="35"/>
  <c r="P91" i="42"/>
  <c r="P93" i="42" s="1"/>
  <c r="P94" i="42" s="1"/>
  <c r="I80" i="35"/>
  <c r="E29" i="35"/>
  <c r="D62" i="35"/>
  <c r="K82" i="35"/>
  <c r="K56" i="42"/>
  <c r="K57" i="42" s="1"/>
  <c r="E34" i="35"/>
  <c r="E35" i="35"/>
  <c r="Q82" i="35"/>
  <c r="L83" i="35"/>
  <c r="L82" i="42"/>
  <c r="L83" i="42" s="1"/>
  <c r="S80" i="41"/>
  <c r="O53" i="41"/>
  <c r="K24" i="41"/>
  <c r="E4" i="41"/>
  <c r="I6" i="41" s="1"/>
  <c r="P96" i="41"/>
  <c r="P54" i="41"/>
  <c r="R58" i="41"/>
  <c r="S57" i="41"/>
  <c r="S58" i="41" s="1"/>
  <c r="R52" i="41"/>
  <c r="S51" i="41"/>
  <c r="S52" i="41" s="1"/>
  <c r="R56" i="41"/>
  <c r="S55" i="41"/>
  <c r="S56" i="41" s="1"/>
  <c r="R68" i="41"/>
  <c r="S67" i="41"/>
  <c r="S68" i="41" s="1"/>
  <c r="R72" i="41"/>
  <c r="S71" i="41"/>
  <c r="S72" i="41" s="1"/>
  <c r="R64" i="41"/>
  <c r="S63" i="41"/>
  <c r="S64" i="41" s="1"/>
  <c r="R70" i="41"/>
  <c r="S69" i="41"/>
  <c r="S70" i="41" s="1"/>
  <c r="Q96" i="41"/>
  <c r="Q54" i="41"/>
  <c r="R50" i="41"/>
  <c r="S49" i="41"/>
  <c r="S50" i="41" s="1"/>
  <c r="R60" i="41"/>
  <c r="S59" i="41"/>
  <c r="S60" i="41" s="1"/>
  <c r="S65" i="41"/>
  <c r="S66" i="41" s="1"/>
  <c r="R66" i="41"/>
  <c r="K17" i="41"/>
  <c r="J19" i="41"/>
  <c r="J23" i="41"/>
  <c r="H29" i="41" s="1"/>
  <c r="R44" i="41"/>
  <c r="S43" i="41"/>
  <c r="S44" i="41" s="1"/>
  <c r="R48" i="41"/>
  <c r="S47" i="41"/>
  <c r="S48" i="41" s="1"/>
  <c r="R76" i="41"/>
  <c r="S75" i="41"/>
  <c r="S76" i="41" s="1"/>
  <c r="O74" i="41"/>
  <c r="O77" i="41" s="1"/>
  <c r="R73" i="41"/>
  <c r="R62" i="41"/>
  <c r="S61" i="41"/>
  <c r="S62" i="41" s="1"/>
  <c r="O53" i="40"/>
  <c r="O54" i="40" s="1"/>
  <c r="Q96" i="40"/>
  <c r="Q54" i="40"/>
  <c r="R52" i="40"/>
  <c r="S51" i="40"/>
  <c r="S52" i="40" s="1"/>
  <c r="R38" i="40"/>
  <c r="S37" i="40"/>
  <c r="S38" i="40" s="1"/>
  <c r="R66" i="40"/>
  <c r="S65" i="40"/>
  <c r="S66" i="40" s="1"/>
  <c r="R50" i="40"/>
  <c r="S49" i="40"/>
  <c r="S50" i="40" s="1"/>
  <c r="R48" i="40"/>
  <c r="S47" i="40"/>
  <c r="S48" i="40" s="1"/>
  <c r="E4" i="40"/>
  <c r="K24" i="40"/>
  <c r="R60" i="40"/>
  <c r="S59" i="40"/>
  <c r="S60" i="40" s="1"/>
  <c r="O74" i="40"/>
  <c r="O77" i="40" s="1"/>
  <c r="R73" i="40"/>
  <c r="R76" i="40"/>
  <c r="S75" i="40"/>
  <c r="S76" i="40" s="1"/>
  <c r="R64" i="40"/>
  <c r="S63" i="40"/>
  <c r="S64" i="40" s="1"/>
  <c r="R44" i="40"/>
  <c r="S43" i="40"/>
  <c r="S44" i="40" s="1"/>
  <c r="S71" i="40"/>
  <c r="S72" i="40" s="1"/>
  <c r="R72" i="40"/>
  <c r="R68" i="40"/>
  <c r="S67" i="40"/>
  <c r="S68" i="40" s="1"/>
  <c r="R70" i="40"/>
  <c r="S69" i="40"/>
  <c r="S70" i="40" s="1"/>
  <c r="R58" i="40"/>
  <c r="S57" i="40"/>
  <c r="S58" i="40" s="1"/>
  <c r="R62" i="40"/>
  <c r="S61" i="40"/>
  <c r="S62" i="40" s="1"/>
  <c r="P96" i="40"/>
  <c r="P54" i="40"/>
  <c r="R56" i="40"/>
  <c r="S55" i="40"/>
  <c r="S56" i="40" s="1"/>
  <c r="J23" i="40"/>
  <c r="H29" i="40" s="1"/>
  <c r="K29" i="40" s="1"/>
  <c r="K17" i="40"/>
  <c r="J19" i="40"/>
  <c r="Q53" i="39"/>
  <c r="Q54" i="39" s="1"/>
  <c r="R64" i="39"/>
  <c r="S63" i="39"/>
  <c r="S64" i="39" s="1"/>
  <c r="R60" i="39"/>
  <c r="S59" i="39"/>
  <c r="S60" i="39" s="1"/>
  <c r="R62" i="39"/>
  <c r="S61" i="39"/>
  <c r="S62" i="39" s="1"/>
  <c r="E4" i="39"/>
  <c r="I6" i="39" s="1"/>
  <c r="K24" i="39"/>
  <c r="R44" i="39"/>
  <c r="S43" i="39"/>
  <c r="S44" i="39" s="1"/>
  <c r="R56" i="39"/>
  <c r="S55" i="39"/>
  <c r="S56" i="39" s="1"/>
  <c r="R50" i="39"/>
  <c r="S49" i="39"/>
  <c r="S50" i="39" s="1"/>
  <c r="R70" i="39"/>
  <c r="S69" i="39"/>
  <c r="S70" i="39" s="1"/>
  <c r="R76" i="39"/>
  <c r="S75" i="39"/>
  <c r="S76" i="39" s="1"/>
  <c r="Q74" i="39"/>
  <c r="Q77" i="39" s="1"/>
  <c r="R73" i="39"/>
  <c r="R66" i="39"/>
  <c r="S65" i="39"/>
  <c r="S66" i="39" s="1"/>
  <c r="R52" i="39"/>
  <c r="S51" i="39"/>
  <c r="S52" i="39" s="1"/>
  <c r="R72" i="39"/>
  <c r="S71" i="39"/>
  <c r="S72" i="39" s="1"/>
  <c r="R58" i="39"/>
  <c r="S57" i="39"/>
  <c r="S58" i="39" s="1"/>
  <c r="R48" i="39"/>
  <c r="S47" i="39"/>
  <c r="S48" i="39" s="1"/>
  <c r="R68" i="39"/>
  <c r="S67" i="39"/>
  <c r="S68" i="39" s="1"/>
  <c r="M56" i="35"/>
  <c r="K57" i="35"/>
  <c r="Q89" i="36"/>
  <c r="Q90" i="36" s="1"/>
  <c r="P89" i="37"/>
  <c r="P85" i="37" s="1"/>
  <c r="Q89" i="35"/>
  <c r="Q90" i="35" s="1"/>
  <c r="Q91" i="35"/>
  <c r="Q92" i="35" s="1"/>
  <c r="P105" i="35"/>
  <c r="P90" i="35"/>
  <c r="Q25" i="36"/>
  <c r="Q25" i="37"/>
  <c r="N80" i="35"/>
  <c r="N81" i="35" s="1"/>
  <c r="M95" i="36"/>
  <c r="M53" i="36"/>
  <c r="N76" i="36"/>
  <c r="N77" i="36" s="1"/>
  <c r="M78" i="36"/>
  <c r="M79" i="36" s="1"/>
  <c r="M52" i="37"/>
  <c r="N52" i="37" s="1"/>
  <c r="N53" i="37" s="1"/>
  <c r="K53" i="37"/>
  <c r="S33" i="35"/>
  <c r="I53" i="37"/>
  <c r="E52" i="36"/>
  <c r="I40" i="37"/>
  <c r="E64" i="37"/>
  <c r="O110" i="37"/>
  <c r="Q15" i="37"/>
  <c r="P11" i="37"/>
  <c r="R4" i="37"/>
  <c r="E54" i="37"/>
  <c r="E36" i="37"/>
  <c r="I58" i="37"/>
  <c r="I70" i="37"/>
  <c r="Q14" i="37"/>
  <c r="Q6" i="37"/>
  <c r="I60" i="37"/>
  <c r="Q11" i="37"/>
  <c r="I74" i="37"/>
  <c r="P14" i="37"/>
  <c r="E48" i="37"/>
  <c r="E10" i="37"/>
  <c r="I66" i="37"/>
  <c r="E44" i="37"/>
  <c r="O6" i="37"/>
  <c r="H30" i="37"/>
  <c r="P13" i="37"/>
  <c r="I42" i="37"/>
  <c r="I68" i="37"/>
  <c r="I50" i="37"/>
  <c r="O4" i="37"/>
  <c r="E74" i="37"/>
  <c r="R18" i="37"/>
  <c r="Q78" i="37" s="1"/>
  <c r="Q68" i="37" s="1"/>
  <c r="Q69" i="37" s="1"/>
  <c r="I48" i="37"/>
  <c r="I38" i="37"/>
  <c r="I44" i="37"/>
  <c r="I54" i="37"/>
  <c r="E68" i="37"/>
  <c r="I36" i="37"/>
  <c r="I46" i="37"/>
  <c r="I56" i="37"/>
  <c r="I64" i="37"/>
  <c r="I62" i="37"/>
  <c r="I90" i="36"/>
  <c r="O87" i="36"/>
  <c r="O85" i="36"/>
  <c r="P85" i="36"/>
  <c r="P87" i="36"/>
  <c r="P88" i="36" s="1"/>
  <c r="J20" i="36"/>
  <c r="W23" i="37" s="1"/>
  <c r="W24" i="37" s="1"/>
  <c r="P90" i="36"/>
  <c r="E76" i="37"/>
  <c r="N76" i="37"/>
  <c r="N77" i="37" s="1"/>
  <c r="I108" i="35"/>
  <c r="H27" i="37"/>
  <c r="K26" i="37"/>
  <c r="O86" i="37"/>
  <c r="O48" i="37"/>
  <c r="O38" i="37"/>
  <c r="P60" i="37"/>
  <c r="P61" i="37" s="1"/>
  <c r="P46" i="37"/>
  <c r="P47" i="37" s="1"/>
  <c r="O62" i="37"/>
  <c r="P36" i="37"/>
  <c r="O60" i="37"/>
  <c r="O58" i="37"/>
  <c r="P56" i="37"/>
  <c r="P57" i="37" s="1"/>
  <c r="P54" i="37"/>
  <c r="P74" i="37"/>
  <c r="P75" i="37" s="1"/>
  <c r="P72" i="37" s="1"/>
  <c r="P73" i="37" s="1"/>
  <c r="O56" i="37"/>
  <c r="O54" i="37"/>
  <c r="O74" i="37"/>
  <c r="O68" i="37"/>
  <c r="P42" i="37"/>
  <c r="P43" i="37" s="1"/>
  <c r="P70" i="37"/>
  <c r="P71" i="37" s="1"/>
  <c r="O70" i="37"/>
  <c r="P68" i="37"/>
  <c r="P69" i="37" s="1"/>
  <c r="O42" i="37"/>
  <c r="P40" i="37"/>
  <c r="P41" i="37" s="1"/>
  <c r="P66" i="37"/>
  <c r="P67" i="37" s="1"/>
  <c r="P50" i="37"/>
  <c r="P51" i="37" s="1"/>
  <c r="O40" i="37"/>
  <c r="O50" i="37"/>
  <c r="J79" i="37"/>
  <c r="O66" i="37"/>
  <c r="P64" i="37"/>
  <c r="P65" i="37" s="1"/>
  <c r="O64" i="37"/>
  <c r="P48" i="37"/>
  <c r="P49" i="37" s="1"/>
  <c r="P38" i="37"/>
  <c r="P39" i="37" s="1"/>
  <c r="O36" i="37"/>
  <c r="P58" i="37"/>
  <c r="P59" i="37" s="1"/>
  <c r="O46" i="37"/>
  <c r="P62" i="37"/>
  <c r="P63" i="37" s="1"/>
  <c r="M78" i="37"/>
  <c r="M79" i="37" s="1"/>
  <c r="K79" i="37"/>
  <c r="I95" i="36"/>
  <c r="I52" i="36"/>
  <c r="N53" i="36"/>
  <c r="Q78" i="36"/>
  <c r="R25" i="36"/>
  <c r="H31" i="36" s="1"/>
  <c r="L31" i="36"/>
  <c r="O48" i="36"/>
  <c r="O38" i="36"/>
  <c r="O62" i="36"/>
  <c r="P46" i="36"/>
  <c r="P47" i="36" s="1"/>
  <c r="P64" i="36"/>
  <c r="P65" i="36" s="1"/>
  <c r="P60" i="36"/>
  <c r="P61" i="36" s="1"/>
  <c r="O36" i="36"/>
  <c r="O46" i="36"/>
  <c r="O58" i="36"/>
  <c r="O56" i="36"/>
  <c r="O54" i="36"/>
  <c r="O70" i="36"/>
  <c r="O66" i="36"/>
  <c r="O74" i="36"/>
  <c r="P70" i="36"/>
  <c r="P71" i="36" s="1"/>
  <c r="P68" i="36"/>
  <c r="P69" i="36" s="1"/>
  <c r="O40" i="36"/>
  <c r="O64" i="36"/>
  <c r="O68" i="36"/>
  <c r="O42" i="36"/>
  <c r="P40" i="36"/>
  <c r="P41" i="36" s="1"/>
  <c r="P66" i="36"/>
  <c r="P67" i="36" s="1"/>
  <c r="P50" i="36"/>
  <c r="P51" i="36" s="1"/>
  <c r="O50" i="36"/>
  <c r="O60" i="36"/>
  <c r="J79" i="36"/>
  <c r="P56" i="36"/>
  <c r="P57" i="36" s="1"/>
  <c r="P42" i="36"/>
  <c r="P43" i="36" s="1"/>
  <c r="P62" i="36"/>
  <c r="P63" i="36" s="1"/>
  <c r="P38" i="36"/>
  <c r="P39" i="36" s="1"/>
  <c r="P58" i="36"/>
  <c r="P59" i="36" s="1"/>
  <c r="P48" i="36"/>
  <c r="P49" i="36" s="1"/>
  <c r="P74" i="36"/>
  <c r="P75" i="36" s="1"/>
  <c r="P72" i="36" s="1"/>
  <c r="P73" i="36" s="1"/>
  <c r="P54" i="36"/>
  <c r="P36" i="36"/>
  <c r="G44" i="36"/>
  <c r="G42" i="36"/>
  <c r="I76" i="36"/>
  <c r="L35" i="35"/>
  <c r="I56" i="35"/>
  <c r="E28" i="35" s="1"/>
  <c r="H31" i="35"/>
  <c r="K30" i="35"/>
  <c r="G46" i="35"/>
  <c r="G48" i="35"/>
  <c r="J82" i="35"/>
  <c r="J57" i="35"/>
  <c r="Q127" i="34"/>
  <c r="P127" i="34"/>
  <c r="O127" i="34"/>
  <c r="N127" i="34"/>
  <c r="Q121" i="34"/>
  <c r="P121" i="34"/>
  <c r="O121" i="34"/>
  <c r="N121" i="34"/>
  <c r="H96" i="34"/>
  <c r="H95" i="34"/>
  <c r="K92" i="34"/>
  <c r="J92" i="34"/>
  <c r="O90" i="34"/>
  <c r="M89" i="34"/>
  <c r="I89" i="34" s="1"/>
  <c r="M88" i="34"/>
  <c r="K87" i="34"/>
  <c r="K88" i="34" s="1"/>
  <c r="I87" i="34"/>
  <c r="M86" i="34"/>
  <c r="K85" i="34"/>
  <c r="K86" i="34" s="1"/>
  <c r="I85" i="34"/>
  <c r="I86" i="34" s="1"/>
  <c r="M84" i="34"/>
  <c r="P83" i="34"/>
  <c r="P84" i="34" s="1"/>
  <c r="O83" i="34"/>
  <c r="O84" i="34" s="1"/>
  <c r="K83" i="34"/>
  <c r="K84" i="34" s="1"/>
  <c r="I83" i="34"/>
  <c r="I84" i="34" s="1"/>
  <c r="O79" i="34"/>
  <c r="P78" i="34"/>
  <c r="P79" i="34" s="1"/>
  <c r="H76" i="34"/>
  <c r="L75" i="34"/>
  <c r="K75" i="34"/>
  <c r="J75" i="34"/>
  <c r="G75" i="34"/>
  <c r="M74" i="34"/>
  <c r="M75" i="34" s="1"/>
  <c r="L73" i="34"/>
  <c r="K73" i="34"/>
  <c r="J73" i="34"/>
  <c r="G73" i="34"/>
  <c r="M72" i="34"/>
  <c r="M73" i="34" s="1"/>
  <c r="I72" i="34"/>
  <c r="E72" i="34"/>
  <c r="L71" i="34"/>
  <c r="K71" i="34"/>
  <c r="J71" i="34"/>
  <c r="G71" i="34"/>
  <c r="M70" i="34"/>
  <c r="N70" i="34" s="1"/>
  <c r="L69" i="34"/>
  <c r="K69" i="34"/>
  <c r="J69" i="34"/>
  <c r="G69" i="34"/>
  <c r="M68" i="34"/>
  <c r="N68" i="34" s="1"/>
  <c r="N69" i="34" s="1"/>
  <c r="G68" i="34" s="1"/>
  <c r="L67" i="34"/>
  <c r="K67" i="34"/>
  <c r="J67" i="34"/>
  <c r="G67" i="34"/>
  <c r="M66" i="34"/>
  <c r="N66" i="34" s="1"/>
  <c r="L65" i="34"/>
  <c r="K65" i="34"/>
  <c r="J65" i="34"/>
  <c r="G65" i="34"/>
  <c r="M64" i="34"/>
  <c r="M65" i="34" s="1"/>
  <c r="L63" i="34"/>
  <c r="K63" i="34"/>
  <c r="J63" i="34"/>
  <c r="G63" i="34"/>
  <c r="M62" i="34"/>
  <c r="M63" i="34" s="1"/>
  <c r="L61" i="34"/>
  <c r="K61" i="34"/>
  <c r="J61" i="34"/>
  <c r="G61" i="34"/>
  <c r="M60" i="34"/>
  <c r="N60" i="34" s="1"/>
  <c r="U60" i="34" s="1"/>
  <c r="L59" i="34"/>
  <c r="K59" i="34"/>
  <c r="J59" i="34"/>
  <c r="G59" i="34"/>
  <c r="M58" i="34"/>
  <c r="N58" i="34" s="1"/>
  <c r="U58" i="34" s="1"/>
  <c r="L57" i="34"/>
  <c r="K57" i="34"/>
  <c r="J57" i="34"/>
  <c r="G57" i="34"/>
  <c r="M56" i="34"/>
  <c r="N56" i="34" s="1"/>
  <c r="U56" i="34" s="1"/>
  <c r="L55" i="34"/>
  <c r="K55" i="34"/>
  <c r="J55" i="34"/>
  <c r="M54" i="34"/>
  <c r="N54" i="34" s="1"/>
  <c r="H52" i="34"/>
  <c r="F50" i="34" s="1"/>
  <c r="L51" i="34"/>
  <c r="K51" i="34"/>
  <c r="M50" i="34"/>
  <c r="M51" i="34" s="1"/>
  <c r="J50" i="34"/>
  <c r="J51" i="34" s="1"/>
  <c r="L48" i="34"/>
  <c r="L49" i="34" s="1"/>
  <c r="K48" i="34"/>
  <c r="K49" i="34" s="1"/>
  <c r="J48" i="34"/>
  <c r="J49" i="34" s="1"/>
  <c r="L47" i="34"/>
  <c r="K46" i="34"/>
  <c r="M46" i="34" s="1"/>
  <c r="J46" i="34"/>
  <c r="J47" i="34" s="1"/>
  <c r="G45" i="34"/>
  <c r="O29" i="34" s="1"/>
  <c r="L43" i="34"/>
  <c r="K43" i="34"/>
  <c r="J43" i="34"/>
  <c r="G43" i="34"/>
  <c r="M42" i="34"/>
  <c r="N42" i="34" s="1"/>
  <c r="U42" i="34" s="1"/>
  <c r="L40" i="34"/>
  <c r="L41" i="34" s="1"/>
  <c r="K40" i="34"/>
  <c r="K41" i="34" s="1"/>
  <c r="J40" i="34"/>
  <c r="G41" i="34" s="1"/>
  <c r="F40" i="34"/>
  <c r="L38" i="34"/>
  <c r="L39" i="34" s="1"/>
  <c r="K38" i="34"/>
  <c r="K39" i="34" s="1"/>
  <c r="J38" i="34"/>
  <c r="G39" i="34" s="1"/>
  <c r="F38" i="34"/>
  <c r="L36" i="34"/>
  <c r="L37" i="34" s="1"/>
  <c r="K36" i="34"/>
  <c r="K37" i="34" s="1"/>
  <c r="J36" i="34"/>
  <c r="J37" i="34" s="1"/>
  <c r="F36" i="34"/>
  <c r="P31" i="34"/>
  <c r="P30" i="34"/>
  <c r="P29" i="34"/>
  <c r="Q22" i="34"/>
  <c r="Q21" i="34"/>
  <c r="J19" i="34"/>
  <c r="D16" i="34"/>
  <c r="R15" i="34"/>
  <c r="L10" i="34"/>
  <c r="K10" i="34"/>
  <c r="L9" i="34"/>
  <c r="K9" i="34"/>
  <c r="L8" i="34"/>
  <c r="K8" i="34"/>
  <c r="O87" i="34" l="1"/>
  <c r="K82" i="42"/>
  <c r="K83" i="42" s="1"/>
  <c r="K17" i="39"/>
  <c r="J19" i="39"/>
  <c r="K19" i="39" s="1"/>
  <c r="H29" i="39"/>
  <c r="H30" i="39" s="1"/>
  <c r="K23" i="39"/>
  <c r="L23" i="39"/>
  <c r="L20" i="39"/>
  <c r="L17" i="39"/>
  <c r="P50" i="35"/>
  <c r="P51" i="35" s="1"/>
  <c r="O50" i="35"/>
  <c r="Q50" i="35"/>
  <c r="Q51" i="35" s="1"/>
  <c r="O42" i="35"/>
  <c r="P42" i="35"/>
  <c r="P43" i="35" s="1"/>
  <c r="Q42" i="35"/>
  <c r="Q43" i="35" s="1"/>
  <c r="Q44" i="35"/>
  <c r="Q45" i="35" s="1"/>
  <c r="P44" i="35"/>
  <c r="P45" i="35" s="1"/>
  <c r="O44" i="35"/>
  <c r="Q40" i="35"/>
  <c r="Q41" i="35" s="1"/>
  <c r="P40" i="35"/>
  <c r="P41" i="35" s="1"/>
  <c r="O40" i="35"/>
  <c r="Q83" i="35"/>
  <c r="N74" i="34"/>
  <c r="N75" i="34" s="1"/>
  <c r="G74" i="34" s="1"/>
  <c r="L76" i="34"/>
  <c r="L77" i="34" s="1"/>
  <c r="M59" i="34"/>
  <c r="K89" i="34"/>
  <c r="K90" i="34" s="1"/>
  <c r="M55" i="34"/>
  <c r="P106" i="42"/>
  <c r="M38" i="34"/>
  <c r="M57" i="34"/>
  <c r="G47" i="34"/>
  <c r="O30" i="34" s="1"/>
  <c r="Q24" i="34"/>
  <c r="R24" i="34" s="1"/>
  <c r="P89" i="34" s="1"/>
  <c r="Q89" i="34" s="1"/>
  <c r="N72" i="34"/>
  <c r="N73" i="34" s="1"/>
  <c r="G72" i="34" s="1"/>
  <c r="G49" i="34"/>
  <c r="M40" i="34"/>
  <c r="N40" i="34" s="1"/>
  <c r="N41" i="34" s="1"/>
  <c r="G40" i="34" s="1"/>
  <c r="G51" i="34"/>
  <c r="O31" i="34" s="1"/>
  <c r="N57" i="34"/>
  <c r="G56" i="34" s="1"/>
  <c r="L52" i="34"/>
  <c r="L53" i="34" s="1"/>
  <c r="M36" i="34"/>
  <c r="M67" i="34"/>
  <c r="M90" i="34"/>
  <c r="P92" i="42"/>
  <c r="V87" i="36"/>
  <c r="V85" i="36"/>
  <c r="E30" i="35"/>
  <c r="K83" i="35"/>
  <c r="M82" i="35"/>
  <c r="X34" i="42"/>
  <c r="M57" i="35"/>
  <c r="M56" i="42"/>
  <c r="Q78" i="35"/>
  <c r="Q79" i="35" s="1"/>
  <c r="Q76" i="35" s="1"/>
  <c r="Q77" i="35" s="1"/>
  <c r="J82" i="42"/>
  <c r="L35" i="42"/>
  <c r="Q82" i="42"/>
  <c r="R82" i="35"/>
  <c r="J18" i="35"/>
  <c r="O54" i="41"/>
  <c r="P90" i="37"/>
  <c r="P87" i="37"/>
  <c r="P88" i="37" s="1"/>
  <c r="J20" i="37"/>
  <c r="J21" i="37" s="1"/>
  <c r="K21" i="37" s="1"/>
  <c r="R53" i="41"/>
  <c r="N56" i="35"/>
  <c r="M108" i="35"/>
  <c r="R77" i="41"/>
  <c r="O78" i="41"/>
  <c r="O96" i="41"/>
  <c r="L23" i="41"/>
  <c r="K23" i="41"/>
  <c r="L20" i="41"/>
  <c r="K19" i="41"/>
  <c r="J25" i="41"/>
  <c r="K25" i="41" s="1"/>
  <c r="L17" i="41"/>
  <c r="R74" i="41"/>
  <c r="S73" i="41"/>
  <c r="S74" i="41" s="1"/>
  <c r="O96" i="40"/>
  <c r="R53" i="40"/>
  <c r="R54" i="40" s="1"/>
  <c r="J25" i="40"/>
  <c r="K25" i="40" s="1"/>
  <c r="K19" i="40"/>
  <c r="L20" i="40"/>
  <c r="K23" i="40"/>
  <c r="L23" i="40"/>
  <c r="L17" i="40"/>
  <c r="R74" i="40"/>
  <c r="S73" i="40"/>
  <c r="S74" i="40" s="1"/>
  <c r="R77" i="40"/>
  <c r="O78" i="40"/>
  <c r="R53" i="39"/>
  <c r="Q78" i="39"/>
  <c r="R77" i="39"/>
  <c r="Q96" i="39"/>
  <c r="R28" i="39"/>
  <c r="Q29" i="39" s="1"/>
  <c r="R29" i="39" s="1"/>
  <c r="S28" i="39" s="1"/>
  <c r="V30" i="39" s="1"/>
  <c r="R74" i="39"/>
  <c r="S73" i="39"/>
  <c r="S74" i="39" s="1"/>
  <c r="Q89" i="37"/>
  <c r="Q90" i="37" s="1"/>
  <c r="P86" i="37"/>
  <c r="Q85" i="37"/>
  <c r="Q86" i="37" s="1"/>
  <c r="M95" i="37"/>
  <c r="N95" i="36"/>
  <c r="V74" i="36"/>
  <c r="M53" i="37"/>
  <c r="N78" i="36"/>
  <c r="N79" i="36" s="1"/>
  <c r="E52" i="37"/>
  <c r="I76" i="37"/>
  <c r="I95" i="37"/>
  <c r="I52" i="37"/>
  <c r="Q38" i="37"/>
  <c r="Q39" i="37" s="1"/>
  <c r="J17" i="37"/>
  <c r="K17" i="37" s="1"/>
  <c r="Q70" i="37"/>
  <c r="Q71" i="37" s="1"/>
  <c r="Q36" i="37"/>
  <c r="R36" i="37" s="1"/>
  <c r="Q54" i="37"/>
  <c r="R54" i="37" s="1"/>
  <c r="Q48" i="37"/>
  <c r="Q49" i="37" s="1"/>
  <c r="Q74" i="37"/>
  <c r="Q75" i="37" s="1"/>
  <c r="Q72" i="37" s="1"/>
  <c r="Q73" i="37" s="1"/>
  <c r="Q46" i="37"/>
  <c r="Q47" i="37" s="1"/>
  <c r="Q58" i="37"/>
  <c r="Q59" i="37" s="1"/>
  <c r="Q60" i="37"/>
  <c r="Q61" i="37" s="1"/>
  <c r="Q40" i="37"/>
  <c r="Q41" i="37" s="1"/>
  <c r="Q62" i="37"/>
  <c r="Q63" i="37" s="1"/>
  <c r="R25" i="37"/>
  <c r="H31" i="37" s="1"/>
  <c r="R78" i="37"/>
  <c r="R79" i="37" s="1"/>
  <c r="Q64" i="37"/>
  <c r="Q65" i="37" s="1"/>
  <c r="Q56" i="37"/>
  <c r="Q57" i="37" s="1"/>
  <c r="Q50" i="37"/>
  <c r="Q51" i="37" s="1"/>
  <c r="Q42" i="37"/>
  <c r="Q43" i="37" s="1"/>
  <c r="Q79" i="37"/>
  <c r="Q66" i="37"/>
  <c r="Q67" i="37" s="1"/>
  <c r="L31" i="37"/>
  <c r="K20" i="36"/>
  <c r="J21" i="36"/>
  <c r="K21" i="36" s="1"/>
  <c r="P86" i="36"/>
  <c r="P92" i="36"/>
  <c r="Q85" i="36"/>
  <c r="Q86" i="36" s="1"/>
  <c r="O86" i="36"/>
  <c r="Q87" i="36"/>
  <c r="Q88" i="36" s="1"/>
  <c r="O88" i="36"/>
  <c r="V74" i="37"/>
  <c r="N95" i="37"/>
  <c r="O59" i="37"/>
  <c r="O67" i="37"/>
  <c r="O61" i="37"/>
  <c r="P37" i="37"/>
  <c r="P52" i="37" s="1"/>
  <c r="O41" i="37"/>
  <c r="N78" i="37"/>
  <c r="O39" i="37"/>
  <c r="O43" i="37"/>
  <c r="O49" i="37"/>
  <c r="O71" i="37"/>
  <c r="O69" i="37"/>
  <c r="R68" i="37"/>
  <c r="O63" i="37"/>
  <c r="O47" i="37"/>
  <c r="O75" i="37"/>
  <c r="O72" i="37" s="1"/>
  <c r="O55" i="37"/>
  <c r="O51" i="37"/>
  <c r="P55" i="37"/>
  <c r="P76" i="37" s="1"/>
  <c r="P77" i="37" s="1"/>
  <c r="O37" i="37"/>
  <c r="O57" i="37"/>
  <c r="O65" i="37"/>
  <c r="O55" i="36"/>
  <c r="O57" i="36"/>
  <c r="O59" i="36"/>
  <c r="O47" i="36"/>
  <c r="O37" i="36"/>
  <c r="O61" i="36"/>
  <c r="O51" i="36"/>
  <c r="O63" i="36"/>
  <c r="O39" i="36"/>
  <c r="O43" i="36"/>
  <c r="O49" i="36"/>
  <c r="O69" i="36"/>
  <c r="O41" i="36"/>
  <c r="Q36" i="36"/>
  <c r="R36" i="36" s="1"/>
  <c r="Q60" i="36"/>
  <c r="Q61" i="36" s="1"/>
  <c r="Q58" i="36"/>
  <c r="Q59" i="36" s="1"/>
  <c r="Q56" i="36"/>
  <c r="Q57" i="36" s="1"/>
  <c r="Q54" i="36"/>
  <c r="Q74" i="36"/>
  <c r="Q75" i="36" s="1"/>
  <c r="Q72" i="36" s="1"/>
  <c r="Q73" i="36" s="1"/>
  <c r="Q42" i="36"/>
  <c r="Q43" i="36" s="1"/>
  <c r="Q48" i="36"/>
  <c r="Q49" i="36" s="1"/>
  <c r="Q79" i="36"/>
  <c r="Q68" i="36"/>
  <c r="Q69" i="36" s="1"/>
  <c r="Q70" i="36"/>
  <c r="Q71" i="36" s="1"/>
  <c r="J17" i="36"/>
  <c r="Q64" i="36"/>
  <c r="Q65" i="36" s="1"/>
  <c r="Q38" i="36"/>
  <c r="Q39" i="36" s="1"/>
  <c r="Q40" i="36"/>
  <c r="Q41" i="36" s="1"/>
  <c r="Q66" i="36"/>
  <c r="Q67" i="36" s="1"/>
  <c r="Q50" i="36"/>
  <c r="Q51" i="36" s="1"/>
  <c r="Q62" i="36"/>
  <c r="Q63" i="36" s="1"/>
  <c r="Q46" i="36"/>
  <c r="Q47" i="36" s="1"/>
  <c r="R78" i="36"/>
  <c r="R79" i="36" s="1"/>
  <c r="O65" i="36"/>
  <c r="P37" i="36"/>
  <c r="P52" i="36" s="1"/>
  <c r="P55" i="36"/>
  <c r="P76" i="36" s="1"/>
  <c r="P77" i="36" s="1"/>
  <c r="O75" i="36"/>
  <c r="O72" i="36" s="1"/>
  <c r="O67" i="36"/>
  <c r="O71" i="36"/>
  <c r="I78" i="36"/>
  <c r="I82" i="35"/>
  <c r="Q68" i="35"/>
  <c r="Q69" i="35" s="1"/>
  <c r="Q66" i="35"/>
  <c r="Q67" i="35" s="1"/>
  <c r="Q52" i="35"/>
  <c r="Q53" i="35" s="1"/>
  <c r="Q72" i="35"/>
  <c r="Q73" i="35" s="1"/>
  <c r="Q74" i="35"/>
  <c r="Q75" i="35" s="1"/>
  <c r="Q46" i="35"/>
  <c r="Q47" i="35" s="1"/>
  <c r="Q70" i="35"/>
  <c r="Q71" i="35" s="1"/>
  <c r="Q60" i="35"/>
  <c r="Q61" i="35" s="1"/>
  <c r="Q54" i="35"/>
  <c r="Q55" i="35" s="1"/>
  <c r="O52" i="35"/>
  <c r="O66" i="35"/>
  <c r="O64" i="35"/>
  <c r="P62" i="35"/>
  <c r="P63" i="35" s="1"/>
  <c r="P60" i="35"/>
  <c r="P61" i="35" s="1"/>
  <c r="P58" i="35"/>
  <c r="O72" i="35"/>
  <c r="P46" i="35"/>
  <c r="P47" i="35" s="1"/>
  <c r="P78" i="35"/>
  <c r="P79" i="35" s="1"/>
  <c r="P76" i="35" s="1"/>
  <c r="P77" i="35" s="1"/>
  <c r="O60" i="35"/>
  <c r="O58" i="35"/>
  <c r="P72" i="35"/>
  <c r="P73" i="35" s="1"/>
  <c r="O78" i="35"/>
  <c r="P74" i="35"/>
  <c r="P75" i="35" s="1"/>
  <c r="O46" i="35"/>
  <c r="O74" i="35"/>
  <c r="J83" i="35"/>
  <c r="O68" i="35"/>
  <c r="O62" i="35"/>
  <c r="P52" i="35"/>
  <c r="P53" i="35" s="1"/>
  <c r="O70" i="35"/>
  <c r="P70" i="35"/>
  <c r="P71" i="35" s="1"/>
  <c r="P54" i="35"/>
  <c r="P55" i="35" s="1"/>
  <c r="P68" i="35"/>
  <c r="P69" i="35" s="1"/>
  <c r="O54" i="35"/>
  <c r="P64" i="35"/>
  <c r="P65" i="35" s="1"/>
  <c r="P66" i="35"/>
  <c r="P67" i="35" s="1"/>
  <c r="Q62" i="35"/>
  <c r="Q63" i="35" s="1"/>
  <c r="Q58" i="35"/>
  <c r="Q64" i="35"/>
  <c r="Q65" i="35" s="1"/>
  <c r="E50" i="34"/>
  <c r="E42" i="34"/>
  <c r="I47" i="34"/>
  <c r="H78" i="34"/>
  <c r="I44" i="34" s="1"/>
  <c r="I43" i="34"/>
  <c r="I51" i="34"/>
  <c r="E46" i="34"/>
  <c r="Q23" i="34"/>
  <c r="E58" i="34"/>
  <c r="E60" i="34"/>
  <c r="I59" i="34"/>
  <c r="I63" i="34"/>
  <c r="E56" i="34"/>
  <c r="E66" i="34"/>
  <c r="Q19" i="34"/>
  <c r="N71" i="34"/>
  <c r="G70" i="34" s="1"/>
  <c r="N55" i="34"/>
  <c r="G54" i="34" s="1"/>
  <c r="M47" i="34"/>
  <c r="N46" i="34"/>
  <c r="M37" i="34"/>
  <c r="N36" i="34"/>
  <c r="Q29" i="34"/>
  <c r="R29" i="34" s="1"/>
  <c r="K76" i="34"/>
  <c r="N67" i="34"/>
  <c r="G66" i="34" s="1"/>
  <c r="J41" i="34"/>
  <c r="J76" i="34"/>
  <c r="T27" i="34"/>
  <c r="K47" i="34"/>
  <c r="K52" i="34" s="1"/>
  <c r="M61" i="34"/>
  <c r="N62" i="34"/>
  <c r="N64" i="34"/>
  <c r="M71" i="34"/>
  <c r="K19" i="34"/>
  <c r="M43" i="34"/>
  <c r="M48" i="34"/>
  <c r="N59" i="34"/>
  <c r="G58" i="34" s="1"/>
  <c r="N61" i="34"/>
  <c r="G60" i="34" s="1"/>
  <c r="U66" i="34"/>
  <c r="Q83" i="34"/>
  <c r="Q84" i="34" s="1"/>
  <c r="M69" i="34"/>
  <c r="N43" i="34"/>
  <c r="J39" i="34"/>
  <c r="Q18" i="34" s="1"/>
  <c r="N50" i="34"/>
  <c r="I90" i="34"/>
  <c r="O85" i="34"/>
  <c r="O88" i="34"/>
  <c r="I88" i="34"/>
  <c r="I61" i="34"/>
  <c r="I57" i="34"/>
  <c r="I77" i="34"/>
  <c r="E62" i="34"/>
  <c r="I67" i="34"/>
  <c r="I72" i="33"/>
  <c r="J25" i="39" l="1"/>
  <c r="K25" i="39" s="1"/>
  <c r="K29" i="39"/>
  <c r="R82" i="42"/>
  <c r="N82" i="35"/>
  <c r="Z78" i="35"/>
  <c r="J17" i="35"/>
  <c r="J26" i="35" s="1"/>
  <c r="H32" i="35" s="1"/>
  <c r="M41" i="34"/>
  <c r="O51" i="35"/>
  <c r="R50" i="35"/>
  <c r="O43" i="35"/>
  <c r="R42" i="35"/>
  <c r="R44" i="35"/>
  <c r="O45" i="35"/>
  <c r="O41" i="35"/>
  <c r="R40" i="35"/>
  <c r="P87" i="34"/>
  <c r="P88" i="34" s="1"/>
  <c r="P90" i="34"/>
  <c r="P85" i="34"/>
  <c r="Q85" i="34" s="1"/>
  <c r="Q86" i="34" s="1"/>
  <c r="K18" i="35"/>
  <c r="J27" i="35"/>
  <c r="E4" i="35" s="1"/>
  <c r="I6" i="35" s="1"/>
  <c r="J20" i="34"/>
  <c r="K20" i="34" s="1"/>
  <c r="L78" i="34"/>
  <c r="L79" i="34" s="1"/>
  <c r="M39" i="34"/>
  <c r="N38" i="34"/>
  <c r="N39" i="34" s="1"/>
  <c r="G38" i="34" s="1"/>
  <c r="AD76" i="39"/>
  <c r="K20" i="37"/>
  <c r="R54" i="39"/>
  <c r="M82" i="42"/>
  <c r="M83" i="42" s="1"/>
  <c r="M83" i="35"/>
  <c r="W20" i="37"/>
  <c r="M57" i="42"/>
  <c r="M109" i="42"/>
  <c r="N108" i="35"/>
  <c r="N56" i="42"/>
  <c r="Y78" i="42" s="1"/>
  <c r="Q83" i="42"/>
  <c r="J18" i="42"/>
  <c r="J83" i="42"/>
  <c r="R54" i="41"/>
  <c r="O109" i="42"/>
  <c r="N57" i="35"/>
  <c r="Q87" i="37"/>
  <c r="Q88" i="37" s="1"/>
  <c r="P92" i="37"/>
  <c r="V85" i="37"/>
  <c r="V87" i="37"/>
  <c r="S53" i="41"/>
  <c r="Z76" i="41"/>
  <c r="R96" i="41"/>
  <c r="R96" i="40"/>
  <c r="S53" i="40"/>
  <c r="S54" i="40" s="1"/>
  <c r="H30" i="41"/>
  <c r="R28" i="41" s="1"/>
  <c r="Q29" i="41" s="1"/>
  <c r="R29" i="41" s="1"/>
  <c r="S28" i="41" s="1"/>
  <c r="V30" i="41" s="1"/>
  <c r="K29" i="41"/>
  <c r="R78" i="41"/>
  <c r="S77" i="41"/>
  <c r="S78" i="41" s="1"/>
  <c r="S53" i="39"/>
  <c r="R96" i="39"/>
  <c r="H30" i="40"/>
  <c r="R28" i="40" s="1"/>
  <c r="Q29" i="40" s="1"/>
  <c r="R29" i="40" s="1"/>
  <c r="S28" i="40" s="1"/>
  <c r="V30" i="40" s="1"/>
  <c r="R78" i="40"/>
  <c r="S77" i="40"/>
  <c r="S78" i="40" s="1"/>
  <c r="R78" i="39"/>
  <c r="S77" i="39"/>
  <c r="S78" i="39" s="1"/>
  <c r="J16" i="36"/>
  <c r="K16" i="36" s="1"/>
  <c r="R40" i="37"/>
  <c r="S40" i="37" s="1"/>
  <c r="S41" i="37" s="1"/>
  <c r="R60" i="37"/>
  <c r="S60" i="37" s="1"/>
  <c r="S61" i="37" s="1"/>
  <c r="J23" i="37"/>
  <c r="E4" i="37" s="1"/>
  <c r="I6" i="37" s="1"/>
  <c r="R38" i="37"/>
  <c r="R39" i="37" s="1"/>
  <c r="R46" i="37"/>
  <c r="R47" i="37" s="1"/>
  <c r="R62" i="37"/>
  <c r="R63" i="37" s="1"/>
  <c r="R48" i="37"/>
  <c r="S48" i="37" s="1"/>
  <c r="S49" i="37" s="1"/>
  <c r="Q55" i="37"/>
  <c r="Q76" i="37" s="1"/>
  <c r="Q77" i="37" s="1"/>
  <c r="R70" i="37"/>
  <c r="R71" i="37" s="1"/>
  <c r="I78" i="37"/>
  <c r="Q37" i="37"/>
  <c r="Q52" i="37" s="1"/>
  <c r="Q53" i="37" s="1"/>
  <c r="R64" i="36"/>
  <c r="S64" i="36" s="1"/>
  <c r="S65" i="36" s="1"/>
  <c r="R58" i="37"/>
  <c r="S58" i="37" s="1"/>
  <c r="S59" i="37" s="1"/>
  <c r="R64" i="37"/>
  <c r="R65" i="37" s="1"/>
  <c r="R56" i="37"/>
  <c r="R57" i="37" s="1"/>
  <c r="R66" i="37"/>
  <c r="R67" i="37" s="1"/>
  <c r="R40" i="36"/>
  <c r="R41" i="36" s="1"/>
  <c r="R50" i="37"/>
  <c r="S50" i="37" s="1"/>
  <c r="S51" i="37" s="1"/>
  <c r="R42" i="37"/>
  <c r="R43" i="37" s="1"/>
  <c r="R74" i="37"/>
  <c r="R75" i="37" s="1"/>
  <c r="O52" i="37"/>
  <c r="O53" i="37" s="1"/>
  <c r="P95" i="37"/>
  <c r="P53" i="37"/>
  <c r="O73" i="37"/>
  <c r="O76" i="37" s="1"/>
  <c r="R72" i="37"/>
  <c r="N79" i="37"/>
  <c r="J16" i="37"/>
  <c r="S78" i="37"/>
  <c r="S79" i="37" s="1"/>
  <c r="R69" i="37"/>
  <c r="S68" i="37"/>
  <c r="S69" i="37" s="1"/>
  <c r="S54" i="37"/>
  <c r="S55" i="37" s="1"/>
  <c r="R55" i="37"/>
  <c r="R37" i="37"/>
  <c r="S36" i="37"/>
  <c r="S37" i="37" s="1"/>
  <c r="O52" i="36"/>
  <c r="O53" i="36" s="1"/>
  <c r="R68" i="36"/>
  <c r="R69" i="36" s="1"/>
  <c r="R50" i="36"/>
  <c r="S50" i="36" s="1"/>
  <c r="S51" i="36" s="1"/>
  <c r="R66" i="36"/>
  <c r="R67" i="36" s="1"/>
  <c r="R74" i="36"/>
  <c r="R75" i="36" s="1"/>
  <c r="S78" i="36"/>
  <c r="S79" i="36" s="1"/>
  <c r="O73" i="36"/>
  <c r="O76" i="36" s="1"/>
  <c r="R72" i="36"/>
  <c r="Q55" i="36"/>
  <c r="Q76" i="36" s="1"/>
  <c r="Q77" i="36" s="1"/>
  <c r="Q37" i="36"/>
  <c r="Q52" i="36" s="1"/>
  <c r="R60" i="36"/>
  <c r="R46" i="36"/>
  <c r="R48" i="36"/>
  <c r="R58" i="36"/>
  <c r="R42" i="36"/>
  <c r="R37" i="36"/>
  <c r="S36" i="36"/>
  <c r="S37" i="36" s="1"/>
  <c r="R56" i="36"/>
  <c r="R70" i="36"/>
  <c r="K17" i="36"/>
  <c r="J23" i="36"/>
  <c r="R38" i="36"/>
  <c r="R54" i="36"/>
  <c r="P95" i="36"/>
  <c r="P53" i="36"/>
  <c r="R62" i="36"/>
  <c r="R62" i="35"/>
  <c r="O63" i="35"/>
  <c r="O53" i="35"/>
  <c r="R52" i="35"/>
  <c r="P59" i="35"/>
  <c r="P80" i="35" s="1"/>
  <c r="P81" i="35" s="1"/>
  <c r="R64" i="35"/>
  <c r="O65" i="35"/>
  <c r="R66" i="35"/>
  <c r="O67" i="35"/>
  <c r="O73" i="35"/>
  <c r="R72" i="35"/>
  <c r="R68" i="35"/>
  <c r="O69" i="35"/>
  <c r="O75" i="35"/>
  <c r="R74" i="35"/>
  <c r="R78" i="35"/>
  <c r="O79" i="35"/>
  <c r="O76" i="35" s="1"/>
  <c r="R46" i="35"/>
  <c r="O47" i="35"/>
  <c r="P56" i="35"/>
  <c r="O59" i="35"/>
  <c r="R58" i="35"/>
  <c r="O71" i="35"/>
  <c r="R70" i="35"/>
  <c r="Q59" i="35"/>
  <c r="Q80" i="35" s="1"/>
  <c r="Q81" i="35" s="1"/>
  <c r="O55" i="35"/>
  <c r="R54" i="35"/>
  <c r="R60" i="35"/>
  <c r="O61" i="35"/>
  <c r="I74" i="34"/>
  <c r="E68" i="34"/>
  <c r="I42" i="34"/>
  <c r="I56" i="34"/>
  <c r="E64" i="34"/>
  <c r="E36" i="34"/>
  <c r="P13" i="34"/>
  <c r="I38" i="34"/>
  <c r="I46" i="34"/>
  <c r="E70" i="34"/>
  <c r="I70" i="34"/>
  <c r="E74" i="34"/>
  <c r="E44" i="34"/>
  <c r="P14" i="34"/>
  <c r="I66" i="34"/>
  <c r="J13" i="34"/>
  <c r="I54" i="34"/>
  <c r="O110" i="34"/>
  <c r="I60" i="34"/>
  <c r="I36" i="34"/>
  <c r="Q11" i="34"/>
  <c r="I50" i="34"/>
  <c r="R18" i="34"/>
  <c r="Q78" i="34" s="1"/>
  <c r="I58" i="34"/>
  <c r="O4" i="34"/>
  <c r="I62" i="34"/>
  <c r="Q6" i="34"/>
  <c r="I48" i="34"/>
  <c r="P11" i="34"/>
  <c r="I40" i="34"/>
  <c r="O6" i="34"/>
  <c r="I68" i="34"/>
  <c r="E48" i="34"/>
  <c r="E54" i="34"/>
  <c r="E10" i="34"/>
  <c r="I64" i="34"/>
  <c r="Q14" i="34"/>
  <c r="R4" i="34"/>
  <c r="I53" i="34"/>
  <c r="Q15" i="34"/>
  <c r="H30" i="34"/>
  <c r="E76" i="34"/>
  <c r="Q20" i="34"/>
  <c r="Q25" i="34" s="1"/>
  <c r="K78" i="34"/>
  <c r="M52" i="34"/>
  <c r="K53" i="34"/>
  <c r="M49" i="34"/>
  <c r="N48" i="34"/>
  <c r="N47" i="34"/>
  <c r="G46" i="34" s="1"/>
  <c r="Q30" i="34"/>
  <c r="R30" i="34" s="1"/>
  <c r="Q90" i="34"/>
  <c r="V87" i="34"/>
  <c r="V85" i="34"/>
  <c r="G42" i="34"/>
  <c r="G44" i="34"/>
  <c r="N51" i="34"/>
  <c r="G50" i="34" s="1"/>
  <c r="U50" i="34"/>
  <c r="Q31" i="34"/>
  <c r="R31" i="34" s="1"/>
  <c r="S29" i="34" s="1"/>
  <c r="U46" i="34"/>
  <c r="N65" i="34"/>
  <c r="G64" i="34" s="1"/>
  <c r="J52" i="34"/>
  <c r="O86" i="34"/>
  <c r="M76" i="34"/>
  <c r="M77" i="34" s="1"/>
  <c r="K77" i="34"/>
  <c r="N63" i="34"/>
  <c r="G62" i="34" s="1"/>
  <c r="U62" i="34"/>
  <c r="J77" i="34"/>
  <c r="N37" i="34"/>
  <c r="G36" i="34" s="1"/>
  <c r="J19" i="33"/>
  <c r="L57" i="33"/>
  <c r="Q127" i="33"/>
  <c r="P127" i="33"/>
  <c r="O127" i="33"/>
  <c r="N127" i="33"/>
  <c r="Q121" i="33"/>
  <c r="P121" i="33"/>
  <c r="O121" i="33"/>
  <c r="N121" i="33"/>
  <c r="H96" i="33"/>
  <c r="H95" i="33"/>
  <c r="J92" i="33"/>
  <c r="O90" i="33"/>
  <c r="M89" i="33"/>
  <c r="M90" i="33" s="1"/>
  <c r="M88" i="33"/>
  <c r="K87" i="33"/>
  <c r="K88" i="33" s="1"/>
  <c r="I87" i="33"/>
  <c r="I88" i="33" s="1"/>
  <c r="M86" i="33"/>
  <c r="K85" i="33"/>
  <c r="K86" i="33" s="1"/>
  <c r="I85" i="33"/>
  <c r="M84" i="33"/>
  <c r="P83" i="33"/>
  <c r="P84" i="33" s="1"/>
  <c r="O83" i="33"/>
  <c r="K83" i="33"/>
  <c r="K84" i="33" s="1"/>
  <c r="I83" i="33"/>
  <c r="I84" i="33" s="1"/>
  <c r="O79" i="33"/>
  <c r="P78" i="33"/>
  <c r="H76" i="33"/>
  <c r="L75" i="33"/>
  <c r="K75" i="33"/>
  <c r="J75" i="33"/>
  <c r="G75" i="33"/>
  <c r="M74" i="33"/>
  <c r="N74" i="33" s="1"/>
  <c r="N75" i="33" s="1"/>
  <c r="G74" i="33" s="1"/>
  <c r="L73" i="33"/>
  <c r="K73" i="33"/>
  <c r="J73" i="33"/>
  <c r="G73" i="33"/>
  <c r="M72" i="33"/>
  <c r="N72" i="33" s="1"/>
  <c r="E72" i="33"/>
  <c r="L71" i="33"/>
  <c r="K71" i="33"/>
  <c r="J71" i="33"/>
  <c r="G71" i="33"/>
  <c r="M70" i="33"/>
  <c r="M71" i="33" s="1"/>
  <c r="L69" i="33"/>
  <c r="K69" i="33"/>
  <c r="J69" i="33"/>
  <c r="G69" i="33"/>
  <c r="M68" i="33"/>
  <c r="N68" i="33" s="1"/>
  <c r="N69" i="33" s="1"/>
  <c r="G68" i="33" s="1"/>
  <c r="L67" i="33"/>
  <c r="K67" i="33"/>
  <c r="J67" i="33"/>
  <c r="G67" i="33"/>
  <c r="M66" i="33"/>
  <c r="N66" i="33" s="1"/>
  <c r="U66" i="33" s="1"/>
  <c r="L65" i="33"/>
  <c r="K65" i="33"/>
  <c r="J65" i="33"/>
  <c r="G65" i="33"/>
  <c r="M64" i="33"/>
  <c r="L63" i="33"/>
  <c r="K63" i="33"/>
  <c r="J63" i="33"/>
  <c r="G63" i="33"/>
  <c r="M62" i="33"/>
  <c r="N62" i="33" s="1"/>
  <c r="N63" i="33" s="1"/>
  <c r="G62" i="33" s="1"/>
  <c r="L61" i="33"/>
  <c r="K61" i="33"/>
  <c r="J61" i="33"/>
  <c r="G61" i="33"/>
  <c r="M60" i="33"/>
  <c r="N60" i="33" s="1"/>
  <c r="U60" i="33" s="1"/>
  <c r="L59" i="33"/>
  <c r="J59" i="33"/>
  <c r="G59" i="33"/>
  <c r="K57" i="33"/>
  <c r="J57" i="33"/>
  <c r="G57" i="33"/>
  <c r="M56" i="33"/>
  <c r="N56" i="33" s="1"/>
  <c r="N57" i="33" s="1"/>
  <c r="G56" i="33" s="1"/>
  <c r="L55" i="33"/>
  <c r="K55" i="33"/>
  <c r="J55" i="33"/>
  <c r="M54" i="33"/>
  <c r="N54" i="33" s="1"/>
  <c r="N55" i="33" s="1"/>
  <c r="G54" i="33" s="1"/>
  <c r="H52" i="33"/>
  <c r="L51" i="33"/>
  <c r="K51" i="33"/>
  <c r="J50" i="33"/>
  <c r="L48" i="33"/>
  <c r="L49" i="33" s="1"/>
  <c r="K48" i="33"/>
  <c r="K49" i="33" s="1"/>
  <c r="J48" i="33"/>
  <c r="G49" i="33" s="1"/>
  <c r="L47" i="33"/>
  <c r="J46" i="33"/>
  <c r="G47" i="33" s="1"/>
  <c r="O30" i="33" s="1"/>
  <c r="G43" i="33"/>
  <c r="L43" i="33"/>
  <c r="J43" i="33"/>
  <c r="J40" i="33"/>
  <c r="F40" i="33"/>
  <c r="L38" i="33"/>
  <c r="L39" i="33" s="1"/>
  <c r="K38" i="33"/>
  <c r="J38" i="33"/>
  <c r="J39" i="33" s="1"/>
  <c r="F38" i="33"/>
  <c r="L36" i="33"/>
  <c r="L37" i="33" s="1"/>
  <c r="K36" i="33"/>
  <c r="J36" i="33"/>
  <c r="F36" i="33"/>
  <c r="P31" i="33"/>
  <c r="P30" i="33"/>
  <c r="P29" i="33"/>
  <c r="Q22" i="33"/>
  <c r="Q21" i="33"/>
  <c r="D16" i="33"/>
  <c r="R15" i="33"/>
  <c r="L10" i="33"/>
  <c r="K10" i="33"/>
  <c r="L9" i="33"/>
  <c r="K9" i="33"/>
  <c r="L8" i="33"/>
  <c r="K8" i="33"/>
  <c r="J47" i="33" l="1"/>
  <c r="J21" i="34"/>
  <c r="K21" i="34" s="1"/>
  <c r="M75" i="33"/>
  <c r="P86" i="34"/>
  <c r="P92" i="34"/>
  <c r="Q87" i="34"/>
  <c r="Q88" i="34" s="1"/>
  <c r="R51" i="35"/>
  <c r="S50" i="35"/>
  <c r="S51" i="35" s="1"/>
  <c r="R43" i="35"/>
  <c r="S42" i="35"/>
  <c r="S43" i="35" s="1"/>
  <c r="R45" i="35"/>
  <c r="S44" i="35"/>
  <c r="S45" i="35" s="1"/>
  <c r="Q56" i="35"/>
  <c r="Q108" i="35" s="1"/>
  <c r="R41" i="35"/>
  <c r="S40" i="35"/>
  <c r="S41" i="35" s="1"/>
  <c r="M61" i="33"/>
  <c r="M69" i="33"/>
  <c r="M73" i="33"/>
  <c r="T27" i="33"/>
  <c r="J49" i="33"/>
  <c r="S54" i="39"/>
  <c r="AD77" i="39"/>
  <c r="K27" i="35"/>
  <c r="W26" i="37"/>
  <c r="N57" i="42"/>
  <c r="N109" i="42"/>
  <c r="K18" i="42"/>
  <c r="P109" i="42"/>
  <c r="Q109" i="42"/>
  <c r="S54" i="41"/>
  <c r="S96" i="41"/>
  <c r="Z77" i="41"/>
  <c r="S96" i="40"/>
  <c r="S96" i="39"/>
  <c r="J22" i="36"/>
  <c r="L22" i="36" s="1"/>
  <c r="J18" i="36"/>
  <c r="K18" i="36" s="1"/>
  <c r="R41" i="37"/>
  <c r="S46" i="37"/>
  <c r="S47" i="37" s="1"/>
  <c r="S66" i="37"/>
  <c r="S67" i="37" s="1"/>
  <c r="R61" i="37"/>
  <c r="S38" i="37"/>
  <c r="S39" i="37" s="1"/>
  <c r="K23" i="37"/>
  <c r="R51" i="37"/>
  <c r="S62" i="37"/>
  <c r="S63" i="37" s="1"/>
  <c r="R65" i="36"/>
  <c r="R49" i="37"/>
  <c r="S40" i="36"/>
  <c r="S41" i="36" s="1"/>
  <c r="R59" i="37"/>
  <c r="S42" i="37"/>
  <c r="S43" i="37" s="1"/>
  <c r="S70" i="37"/>
  <c r="S71" i="37" s="1"/>
  <c r="S56" i="37"/>
  <c r="S57" i="37" s="1"/>
  <c r="Q95" i="37"/>
  <c r="S74" i="37"/>
  <c r="S75" i="37" s="1"/>
  <c r="R51" i="36"/>
  <c r="S64" i="37"/>
  <c r="S65" i="37" s="1"/>
  <c r="S74" i="36"/>
  <c r="S75" i="36" s="1"/>
  <c r="R52" i="37"/>
  <c r="J18" i="37"/>
  <c r="J22" i="37"/>
  <c r="K16" i="37"/>
  <c r="R73" i="37"/>
  <c r="S72" i="37"/>
  <c r="S73" i="37" s="1"/>
  <c r="O77" i="37"/>
  <c r="R76" i="37"/>
  <c r="O95" i="37"/>
  <c r="S68" i="36"/>
  <c r="S69" i="36" s="1"/>
  <c r="S66" i="36"/>
  <c r="S67" i="36" s="1"/>
  <c r="Q95" i="36"/>
  <c r="Q53" i="36"/>
  <c r="R52" i="36"/>
  <c r="R76" i="36"/>
  <c r="O77" i="36"/>
  <c r="O95" i="36"/>
  <c r="R47" i="36"/>
  <c r="S46" i="36"/>
  <c r="S47" i="36" s="1"/>
  <c r="R61" i="36"/>
  <c r="S60" i="36"/>
  <c r="S61" i="36" s="1"/>
  <c r="K23" i="36"/>
  <c r="R71" i="36"/>
  <c r="S70" i="36"/>
  <c r="S71" i="36" s="1"/>
  <c r="R57" i="36"/>
  <c r="S56" i="36"/>
  <c r="S57" i="36" s="1"/>
  <c r="R43" i="36"/>
  <c r="S42" i="36"/>
  <c r="S43" i="36" s="1"/>
  <c r="R59" i="36"/>
  <c r="S58" i="36"/>
  <c r="S59" i="36" s="1"/>
  <c r="R73" i="36"/>
  <c r="S72" i="36"/>
  <c r="S73" i="36" s="1"/>
  <c r="R49" i="36"/>
  <c r="S48" i="36"/>
  <c r="S49" i="36" s="1"/>
  <c r="R39" i="36"/>
  <c r="S38" i="36"/>
  <c r="S39" i="36" s="1"/>
  <c r="R55" i="36"/>
  <c r="S54" i="36"/>
  <c r="S55" i="36" s="1"/>
  <c r="R63" i="36"/>
  <c r="S62" i="36"/>
  <c r="S63" i="36" s="1"/>
  <c r="O56" i="35"/>
  <c r="O57" i="35" s="1"/>
  <c r="P108" i="35"/>
  <c r="P57" i="35"/>
  <c r="R73" i="35"/>
  <c r="S72" i="35"/>
  <c r="S73" i="35" s="1"/>
  <c r="R65" i="35"/>
  <c r="S64" i="35"/>
  <c r="S65" i="35" s="1"/>
  <c r="R53" i="35"/>
  <c r="S52" i="35"/>
  <c r="S53" i="35" s="1"/>
  <c r="R47" i="35"/>
  <c r="S46" i="35"/>
  <c r="S47" i="35" s="1"/>
  <c r="R61" i="35"/>
  <c r="S60" i="35"/>
  <c r="S61" i="35" s="1"/>
  <c r="O77" i="35"/>
  <c r="O80" i="35" s="1"/>
  <c r="R76" i="35"/>
  <c r="R55" i="35"/>
  <c r="S54" i="35"/>
  <c r="S55" i="35" s="1"/>
  <c r="R79" i="35"/>
  <c r="S78" i="35"/>
  <c r="S79" i="35" s="1"/>
  <c r="R59" i="35"/>
  <c r="S58" i="35"/>
  <c r="S59" i="35" s="1"/>
  <c r="R75" i="35"/>
  <c r="S74" i="35"/>
  <c r="S75" i="35" s="1"/>
  <c r="R63" i="35"/>
  <c r="S62" i="35"/>
  <c r="S63" i="35" s="1"/>
  <c r="R67" i="35"/>
  <c r="S66" i="35"/>
  <c r="S67" i="35" s="1"/>
  <c r="R69" i="35"/>
  <c r="S68" i="35"/>
  <c r="S69" i="35" s="1"/>
  <c r="R71" i="35"/>
  <c r="S70" i="35"/>
  <c r="S71" i="35" s="1"/>
  <c r="E52" i="34"/>
  <c r="L11" i="34"/>
  <c r="I52" i="34"/>
  <c r="I95" i="34"/>
  <c r="K11" i="34"/>
  <c r="L31" i="34"/>
  <c r="R25" i="34"/>
  <c r="H31" i="34" s="1"/>
  <c r="I76" i="34"/>
  <c r="N76" i="34"/>
  <c r="N77" i="34" s="1"/>
  <c r="M78" i="34"/>
  <c r="M79" i="34" s="1"/>
  <c r="K79" i="34"/>
  <c r="J53" i="34"/>
  <c r="J78" i="34"/>
  <c r="Q64" i="34" s="1"/>
  <c r="Q65" i="34" s="1"/>
  <c r="N52" i="34"/>
  <c r="J17" i="34"/>
  <c r="Q79" i="34"/>
  <c r="R78" i="34"/>
  <c r="R79" i="34" s="1"/>
  <c r="K13" i="34"/>
  <c r="J14" i="34"/>
  <c r="J14" i="36" s="1"/>
  <c r="E4" i="36" s="1"/>
  <c r="I6" i="36" s="1"/>
  <c r="L13" i="34"/>
  <c r="N49" i="34"/>
  <c r="G48" i="34" s="1"/>
  <c r="M95" i="34"/>
  <c r="M53" i="34"/>
  <c r="K89" i="33"/>
  <c r="K90" i="33" s="1"/>
  <c r="E50" i="33"/>
  <c r="I51" i="33"/>
  <c r="I47" i="33"/>
  <c r="I43" i="33"/>
  <c r="U56" i="33"/>
  <c r="E66" i="33"/>
  <c r="I67" i="33"/>
  <c r="I57" i="33"/>
  <c r="I77" i="33"/>
  <c r="I63" i="33"/>
  <c r="I61" i="33"/>
  <c r="I59" i="33"/>
  <c r="I89" i="33"/>
  <c r="I90" i="33" s="1"/>
  <c r="E56" i="33"/>
  <c r="E62" i="33"/>
  <c r="E46" i="33"/>
  <c r="Q24" i="33"/>
  <c r="R24" i="33" s="1"/>
  <c r="P89" i="33" s="1"/>
  <c r="I86" i="33"/>
  <c r="E58" i="33"/>
  <c r="Q23" i="33"/>
  <c r="H78" i="33"/>
  <c r="J11" i="33" s="1"/>
  <c r="U62" i="33"/>
  <c r="M63" i="33"/>
  <c r="L40" i="33"/>
  <c r="L41" i="33" s="1"/>
  <c r="M48" i="33"/>
  <c r="M49" i="33" s="1"/>
  <c r="M57" i="33"/>
  <c r="G39" i="33"/>
  <c r="M67" i="33"/>
  <c r="M42" i="33"/>
  <c r="K43" i="33"/>
  <c r="M55" i="33"/>
  <c r="N67" i="33"/>
  <c r="G66" i="33" s="1"/>
  <c r="J51" i="33"/>
  <c r="G51" i="33"/>
  <c r="O31" i="33" s="1"/>
  <c r="M65" i="33"/>
  <c r="N64" i="33"/>
  <c r="N73" i="33"/>
  <c r="G72" i="33" s="1"/>
  <c r="K37" i="33"/>
  <c r="M36" i="33"/>
  <c r="J41" i="33"/>
  <c r="G41" i="33"/>
  <c r="E42" i="33"/>
  <c r="J76" i="33"/>
  <c r="Q19" i="33"/>
  <c r="Q83" i="33"/>
  <c r="Q84" i="33" s="1"/>
  <c r="O84" i="33"/>
  <c r="K39" i="33"/>
  <c r="M38" i="33"/>
  <c r="G45" i="33"/>
  <c r="O29" i="33" s="1"/>
  <c r="L76" i="33"/>
  <c r="L77" i="33" s="1"/>
  <c r="N61" i="33"/>
  <c r="G60" i="33" s="1"/>
  <c r="J37" i="33"/>
  <c r="M50" i="33"/>
  <c r="N70" i="33"/>
  <c r="P79" i="33"/>
  <c r="E60" i="33"/>
  <c r="H52" i="30"/>
  <c r="E50" i="30" s="1"/>
  <c r="E72" i="31"/>
  <c r="E72" i="30"/>
  <c r="H52" i="31"/>
  <c r="E42" i="31" s="1"/>
  <c r="I72" i="31"/>
  <c r="I72" i="30"/>
  <c r="E72" i="32"/>
  <c r="H52" i="32"/>
  <c r="E50" i="32" s="1"/>
  <c r="Q127" i="32"/>
  <c r="P127" i="32"/>
  <c r="O127" i="32"/>
  <c r="N127" i="32"/>
  <c r="Q121" i="32"/>
  <c r="P121" i="32"/>
  <c r="O121" i="32"/>
  <c r="N121" i="32"/>
  <c r="H96" i="32"/>
  <c r="H95" i="32"/>
  <c r="K92" i="32"/>
  <c r="J92" i="32"/>
  <c r="O90" i="32"/>
  <c r="M89" i="32"/>
  <c r="Q24" i="32" s="1"/>
  <c r="R24" i="32" s="1"/>
  <c r="P87" i="32" s="1"/>
  <c r="M88" i="32"/>
  <c r="O87" i="32"/>
  <c r="O88" i="32" s="1"/>
  <c r="K87" i="32"/>
  <c r="K88" i="32" s="1"/>
  <c r="I87" i="32"/>
  <c r="I88" i="32" s="1"/>
  <c r="P86" i="32"/>
  <c r="O86" i="32"/>
  <c r="M86" i="32"/>
  <c r="Q85" i="32"/>
  <c r="Q86" i="32" s="1"/>
  <c r="K85" i="32"/>
  <c r="K86" i="32" s="1"/>
  <c r="I85" i="32"/>
  <c r="I86" i="32" s="1"/>
  <c r="M84" i="32"/>
  <c r="P83" i="32"/>
  <c r="O83" i="32"/>
  <c r="O84" i="32" s="1"/>
  <c r="K83" i="32"/>
  <c r="K84" i="32" s="1"/>
  <c r="I83" i="32"/>
  <c r="I84" i="32" s="1"/>
  <c r="O79" i="32"/>
  <c r="P78" i="32"/>
  <c r="P79" i="32" s="1"/>
  <c r="H76" i="32"/>
  <c r="E56" i="32" s="1"/>
  <c r="L75" i="32"/>
  <c r="K75" i="32"/>
  <c r="J75" i="32"/>
  <c r="G75" i="32"/>
  <c r="M74" i="32"/>
  <c r="M75" i="32" s="1"/>
  <c r="L73" i="32"/>
  <c r="K73" i="32"/>
  <c r="J73" i="32"/>
  <c r="G73" i="32"/>
  <c r="M72" i="32"/>
  <c r="M73" i="32" s="1"/>
  <c r="I72" i="32"/>
  <c r="L71" i="32"/>
  <c r="K71" i="32"/>
  <c r="J71" i="32"/>
  <c r="G71" i="32"/>
  <c r="M70" i="32"/>
  <c r="M71" i="32" s="1"/>
  <c r="L69" i="32"/>
  <c r="K69" i="32"/>
  <c r="J69" i="32"/>
  <c r="G69" i="32"/>
  <c r="M68" i="32"/>
  <c r="N68" i="32" s="1"/>
  <c r="L67" i="32"/>
  <c r="K67" i="32"/>
  <c r="J67" i="32"/>
  <c r="G67" i="32"/>
  <c r="M66" i="32"/>
  <c r="M67" i="32" s="1"/>
  <c r="L65" i="32"/>
  <c r="K65" i="32"/>
  <c r="J65" i="32"/>
  <c r="G65" i="32"/>
  <c r="M64" i="32"/>
  <c r="M65" i="32" s="1"/>
  <c r="L63" i="32"/>
  <c r="K63" i="32"/>
  <c r="J63" i="32"/>
  <c r="G63" i="32"/>
  <c r="M62" i="32"/>
  <c r="M63" i="32" s="1"/>
  <c r="M61" i="32"/>
  <c r="L61" i="32"/>
  <c r="K61" i="32"/>
  <c r="J61" i="32"/>
  <c r="G61" i="32"/>
  <c r="M60" i="32"/>
  <c r="N60" i="32" s="1"/>
  <c r="L59" i="32"/>
  <c r="K59" i="32"/>
  <c r="J59" i="32"/>
  <c r="G59" i="32"/>
  <c r="M58" i="32"/>
  <c r="M59" i="32" s="1"/>
  <c r="L57" i="32"/>
  <c r="K57" i="32"/>
  <c r="J57" i="32"/>
  <c r="G57" i="32"/>
  <c r="M56" i="32"/>
  <c r="N56" i="32" s="1"/>
  <c r="L55" i="32"/>
  <c r="K55" i="32"/>
  <c r="J55" i="32"/>
  <c r="M54" i="32"/>
  <c r="M55" i="32" s="1"/>
  <c r="L50" i="32"/>
  <c r="K50" i="32"/>
  <c r="K51" i="32" s="1"/>
  <c r="J50" i="32"/>
  <c r="G51" i="32" s="1"/>
  <c r="O31" i="32" s="1"/>
  <c r="L48" i="32"/>
  <c r="L49" i="32" s="1"/>
  <c r="K48" i="32"/>
  <c r="J48" i="32"/>
  <c r="G49" i="32" s="1"/>
  <c r="L46" i="32"/>
  <c r="L47" i="32" s="1"/>
  <c r="K46" i="32"/>
  <c r="K47" i="32" s="1"/>
  <c r="J46" i="32"/>
  <c r="L42" i="32"/>
  <c r="K42" i="32"/>
  <c r="K43" i="32" s="1"/>
  <c r="J42" i="32"/>
  <c r="G45" i="32" s="1"/>
  <c r="O29" i="32" s="1"/>
  <c r="L40" i="32"/>
  <c r="L41" i="32" s="1"/>
  <c r="K40" i="32"/>
  <c r="J40" i="32"/>
  <c r="J41" i="32" s="1"/>
  <c r="F40" i="32"/>
  <c r="L38" i="32"/>
  <c r="L39" i="32" s="1"/>
  <c r="K38" i="32"/>
  <c r="J38" i="32"/>
  <c r="G39" i="32" s="1"/>
  <c r="F38" i="32"/>
  <c r="L36" i="32"/>
  <c r="K36" i="32"/>
  <c r="J36" i="32"/>
  <c r="F36" i="32"/>
  <c r="P31" i="32"/>
  <c r="P30" i="32"/>
  <c r="P29" i="32"/>
  <c r="Q22" i="32"/>
  <c r="Q21" i="32"/>
  <c r="D16" i="32"/>
  <c r="R15" i="32"/>
  <c r="L10" i="32"/>
  <c r="K10" i="32"/>
  <c r="L9" i="32"/>
  <c r="K9" i="32"/>
  <c r="L8" i="32"/>
  <c r="K8" i="32"/>
  <c r="Q83" i="32" l="1"/>
  <c r="Q84" i="32" s="1"/>
  <c r="G41" i="32"/>
  <c r="I63" i="32"/>
  <c r="I57" i="32"/>
  <c r="Q57" i="35"/>
  <c r="Q19" i="32"/>
  <c r="I59" i="32"/>
  <c r="J51" i="32"/>
  <c r="I67" i="32"/>
  <c r="N72" i="32"/>
  <c r="I77" i="32"/>
  <c r="J76" i="32"/>
  <c r="J39" i="32"/>
  <c r="E46" i="31"/>
  <c r="E50" i="31"/>
  <c r="J49" i="32"/>
  <c r="N54" i="32"/>
  <c r="N55" i="32" s="1"/>
  <c r="G54" i="32" s="1"/>
  <c r="J43" i="32"/>
  <c r="L76" i="32"/>
  <c r="L77" i="32" s="1"/>
  <c r="N62" i="32"/>
  <c r="N63" i="32" s="1"/>
  <c r="G62" i="32" s="1"/>
  <c r="N74" i="32"/>
  <c r="N75" i="32" s="1"/>
  <c r="G74" i="32" s="1"/>
  <c r="P84" i="32"/>
  <c r="M90" i="32"/>
  <c r="K76" i="32"/>
  <c r="K77" i="32" s="1"/>
  <c r="Q16" i="36"/>
  <c r="R16" i="36" s="1"/>
  <c r="L14" i="36"/>
  <c r="H27" i="36"/>
  <c r="K14" i="36"/>
  <c r="P28" i="36"/>
  <c r="M57" i="32"/>
  <c r="N64" i="32"/>
  <c r="N70" i="32"/>
  <c r="N71" i="32" s="1"/>
  <c r="G70" i="32" s="1"/>
  <c r="M69" i="32"/>
  <c r="J19" i="32"/>
  <c r="K19" i="32" s="1"/>
  <c r="G43" i="32"/>
  <c r="N66" i="32"/>
  <c r="N67" i="32" s="1"/>
  <c r="G66" i="32" s="1"/>
  <c r="K22" i="36"/>
  <c r="L16" i="36"/>
  <c r="L19" i="36"/>
  <c r="H28" i="36"/>
  <c r="H29" i="36" s="1"/>
  <c r="O27" i="36" s="1"/>
  <c r="R27" i="36" s="1"/>
  <c r="Q28" i="36" s="1"/>
  <c r="J24" i="36"/>
  <c r="K24" i="36" s="1"/>
  <c r="R95" i="37"/>
  <c r="S52" i="37"/>
  <c r="S53" i="37" s="1"/>
  <c r="R53" i="37"/>
  <c r="V75" i="37"/>
  <c r="R77" i="37"/>
  <c r="S76" i="37"/>
  <c r="S77" i="37" s="1"/>
  <c r="L22" i="37"/>
  <c r="K22" i="37"/>
  <c r="H28" i="37"/>
  <c r="L19" i="37"/>
  <c r="L16" i="37"/>
  <c r="J24" i="37"/>
  <c r="K24" i="37" s="1"/>
  <c r="K18" i="37"/>
  <c r="R77" i="36"/>
  <c r="S76" i="36"/>
  <c r="S77" i="36" s="1"/>
  <c r="R53" i="36"/>
  <c r="R95" i="36"/>
  <c r="V75" i="36"/>
  <c r="S52" i="36"/>
  <c r="O108" i="35"/>
  <c r="R56" i="35"/>
  <c r="R77" i="35"/>
  <c r="S76" i="35"/>
  <c r="S77" i="35" s="1"/>
  <c r="R80" i="35"/>
  <c r="O81" i="35"/>
  <c r="I78" i="34"/>
  <c r="Q48" i="34"/>
  <c r="Q49" i="34" s="1"/>
  <c r="Q46" i="34"/>
  <c r="Q47" i="34" s="1"/>
  <c r="Q74" i="34"/>
  <c r="Q75" i="34" s="1"/>
  <c r="Q72" i="34" s="1"/>
  <c r="Q73" i="34" s="1"/>
  <c r="Q38" i="34"/>
  <c r="Q39" i="34" s="1"/>
  <c r="Q68" i="34"/>
  <c r="Q69" i="34" s="1"/>
  <c r="Q54" i="34"/>
  <c r="Q40" i="34"/>
  <c r="Q41" i="34" s="1"/>
  <c r="N95" i="34"/>
  <c r="V74" i="34"/>
  <c r="N53" i="34"/>
  <c r="Q58" i="34"/>
  <c r="Q59" i="34" s="1"/>
  <c r="Q66" i="34"/>
  <c r="Q67" i="34" s="1"/>
  <c r="Q50" i="34"/>
  <c r="Q51" i="34" s="1"/>
  <c r="H26" i="34"/>
  <c r="L14" i="34"/>
  <c r="Q16" i="34"/>
  <c r="R16" i="34" s="1"/>
  <c r="P28" i="34"/>
  <c r="K14" i="34"/>
  <c r="Q62" i="34"/>
  <c r="Q63" i="34" s="1"/>
  <c r="Q70" i="34"/>
  <c r="Q71" i="34" s="1"/>
  <c r="Q42" i="34"/>
  <c r="Q43" i="34" s="1"/>
  <c r="K17" i="34"/>
  <c r="J23" i="34"/>
  <c r="N78" i="34"/>
  <c r="O68" i="34"/>
  <c r="O56" i="34"/>
  <c r="O42" i="34"/>
  <c r="O48" i="34"/>
  <c r="O74" i="34"/>
  <c r="O58" i="34"/>
  <c r="J79" i="34"/>
  <c r="O70" i="34"/>
  <c r="O62" i="34"/>
  <c r="O50" i="34"/>
  <c r="O46" i="34"/>
  <c r="P70" i="34"/>
  <c r="P71" i="34" s="1"/>
  <c r="O54" i="34"/>
  <c r="O64" i="34"/>
  <c r="P62" i="34"/>
  <c r="P63" i="34" s="1"/>
  <c r="P40" i="34"/>
  <c r="P41" i="34" s="1"/>
  <c r="P50" i="34"/>
  <c r="P51" i="34" s="1"/>
  <c r="P46" i="34"/>
  <c r="P47" i="34" s="1"/>
  <c r="O60" i="34"/>
  <c r="O40" i="34"/>
  <c r="P38" i="34"/>
  <c r="P39" i="34" s="1"/>
  <c r="O38" i="34"/>
  <c r="O36" i="34"/>
  <c r="O66" i="34"/>
  <c r="P56" i="34"/>
  <c r="P57" i="34" s="1"/>
  <c r="P42" i="34"/>
  <c r="P43" i="34" s="1"/>
  <c r="P68" i="34"/>
  <c r="P69" i="34" s="1"/>
  <c r="P64" i="34"/>
  <c r="P65" i="34" s="1"/>
  <c r="P74" i="34"/>
  <c r="P75" i="34" s="1"/>
  <c r="P72" i="34" s="1"/>
  <c r="P73" i="34" s="1"/>
  <c r="P60" i="34"/>
  <c r="P61" i="34" s="1"/>
  <c r="P54" i="34"/>
  <c r="P36" i="34"/>
  <c r="P66" i="34"/>
  <c r="P67" i="34" s="1"/>
  <c r="P58" i="34"/>
  <c r="P59" i="34" s="1"/>
  <c r="P48" i="34"/>
  <c r="P49" i="34" s="1"/>
  <c r="Q56" i="34"/>
  <c r="Q57" i="34" s="1"/>
  <c r="Q36" i="34"/>
  <c r="Q60" i="34"/>
  <c r="Q61" i="34" s="1"/>
  <c r="I53" i="33"/>
  <c r="P85" i="33"/>
  <c r="P86" i="33" s="1"/>
  <c r="O87" i="33"/>
  <c r="O88" i="33" s="1"/>
  <c r="O85" i="33"/>
  <c r="O86" i="33" s="1"/>
  <c r="E74" i="33"/>
  <c r="I58" i="33"/>
  <c r="I46" i="33"/>
  <c r="I66" i="33"/>
  <c r="I44" i="33"/>
  <c r="I64" i="33"/>
  <c r="I56" i="33"/>
  <c r="I54" i="33"/>
  <c r="I42" i="33"/>
  <c r="I74" i="33"/>
  <c r="I62" i="33"/>
  <c r="I50" i="33"/>
  <c r="I70" i="33"/>
  <c r="I60" i="33"/>
  <c r="I48" i="33"/>
  <c r="I68" i="33"/>
  <c r="P87" i="33"/>
  <c r="K19" i="33"/>
  <c r="E76" i="33"/>
  <c r="P14" i="33"/>
  <c r="O110" i="33"/>
  <c r="E48" i="33"/>
  <c r="I36" i="33"/>
  <c r="Q6" i="33"/>
  <c r="E44" i="33"/>
  <c r="I40" i="33"/>
  <c r="R18" i="33"/>
  <c r="Q78" i="33" s="1"/>
  <c r="E64" i="33"/>
  <c r="J13" i="33"/>
  <c r="R4" i="33"/>
  <c r="E54" i="33"/>
  <c r="Q14" i="33"/>
  <c r="E70" i="33"/>
  <c r="E68" i="33"/>
  <c r="P13" i="33"/>
  <c r="O4" i="33"/>
  <c r="H30" i="33"/>
  <c r="Q11" i="33"/>
  <c r="I38" i="33"/>
  <c r="E10" i="33"/>
  <c r="Q15" i="33"/>
  <c r="O6" i="33"/>
  <c r="P11" i="33"/>
  <c r="E36" i="33"/>
  <c r="L52" i="33"/>
  <c r="L78" i="33" s="1"/>
  <c r="L79" i="33" s="1"/>
  <c r="N48" i="33"/>
  <c r="N49" i="33" s="1"/>
  <c r="G48" i="33" s="1"/>
  <c r="N50" i="33"/>
  <c r="U50" i="33" s="1"/>
  <c r="M51" i="33"/>
  <c r="Q18" i="33"/>
  <c r="Q20" i="33" s="1"/>
  <c r="Q25" i="33" s="1"/>
  <c r="N38" i="33"/>
  <c r="M39" i="33"/>
  <c r="N65" i="33"/>
  <c r="G64" i="33" s="1"/>
  <c r="M43" i="33"/>
  <c r="N42" i="33"/>
  <c r="U42" i="33" s="1"/>
  <c r="J52" i="33"/>
  <c r="J77" i="33"/>
  <c r="N36" i="33"/>
  <c r="M37" i="33"/>
  <c r="N71" i="33"/>
  <c r="G70" i="33" s="1"/>
  <c r="I61" i="32"/>
  <c r="E46" i="30"/>
  <c r="E42" i="30"/>
  <c r="I43" i="32"/>
  <c r="I47" i="32"/>
  <c r="I51" i="32"/>
  <c r="E42" i="32"/>
  <c r="E46" i="32"/>
  <c r="Q23" i="32"/>
  <c r="E58" i="32"/>
  <c r="E60" i="32"/>
  <c r="E62" i="32"/>
  <c r="E66" i="32"/>
  <c r="H78" i="32"/>
  <c r="I46" i="32" s="1"/>
  <c r="P89" i="32"/>
  <c r="P90" i="32" s="1"/>
  <c r="P88" i="32"/>
  <c r="K39" i="32"/>
  <c r="M38" i="32"/>
  <c r="K41" i="32"/>
  <c r="M40" i="32"/>
  <c r="L43" i="32"/>
  <c r="M42" i="32"/>
  <c r="J37" i="32"/>
  <c r="K49" i="32"/>
  <c r="M48" i="32"/>
  <c r="M50" i="32"/>
  <c r="L51" i="32"/>
  <c r="N57" i="32"/>
  <c r="G56" i="32" s="1"/>
  <c r="J47" i="32"/>
  <c r="G47" i="32"/>
  <c r="O30" i="32" s="1"/>
  <c r="N61" i="32"/>
  <c r="G60" i="32" s="1"/>
  <c r="I89" i="32"/>
  <c r="I90" i="32" s="1"/>
  <c r="M36" i="32"/>
  <c r="M37" i="32" s="1"/>
  <c r="K37" i="32"/>
  <c r="M46" i="32"/>
  <c r="N58" i="32"/>
  <c r="N65" i="32"/>
  <c r="G64" i="32" s="1"/>
  <c r="N69" i="32"/>
  <c r="G68" i="32" s="1"/>
  <c r="N73" i="32"/>
  <c r="G72" i="32" s="1"/>
  <c r="Q87" i="32"/>
  <c r="K89" i="32"/>
  <c r="K90" i="32" s="1"/>
  <c r="J77" i="32"/>
  <c r="T27" i="32"/>
  <c r="L37" i="32"/>
  <c r="Q127" i="31"/>
  <c r="P127" i="31"/>
  <c r="O127" i="31"/>
  <c r="N127" i="31"/>
  <c r="Q121" i="31"/>
  <c r="P121" i="31"/>
  <c r="O121" i="31"/>
  <c r="N121" i="31"/>
  <c r="H96" i="31"/>
  <c r="H95" i="31"/>
  <c r="K92" i="31"/>
  <c r="J92" i="31"/>
  <c r="O90" i="31"/>
  <c r="M89" i="31"/>
  <c r="K89" i="31" s="1"/>
  <c r="K90" i="31" s="1"/>
  <c r="M88" i="31"/>
  <c r="O87" i="31"/>
  <c r="O88" i="31" s="1"/>
  <c r="K87" i="31"/>
  <c r="K88" i="31" s="1"/>
  <c r="I87" i="31"/>
  <c r="I88" i="31" s="1"/>
  <c r="P86" i="31"/>
  <c r="O86" i="31"/>
  <c r="M86" i="31"/>
  <c r="Q85" i="31"/>
  <c r="Q86" i="31" s="1"/>
  <c r="K85" i="31"/>
  <c r="K86" i="31" s="1"/>
  <c r="I85" i="31"/>
  <c r="I86" i="31" s="1"/>
  <c r="M84" i="31"/>
  <c r="P83" i="31"/>
  <c r="P84" i="31" s="1"/>
  <c r="O83" i="31"/>
  <c r="O84" i="31" s="1"/>
  <c r="K83" i="31"/>
  <c r="K84" i="31" s="1"/>
  <c r="I83" i="31"/>
  <c r="I84" i="31" s="1"/>
  <c r="O79" i="31"/>
  <c r="P78" i="31"/>
  <c r="P79" i="31" s="1"/>
  <c r="H76" i="31"/>
  <c r="L75" i="31"/>
  <c r="K75" i="31"/>
  <c r="J75" i="31"/>
  <c r="G75" i="31"/>
  <c r="M74" i="31"/>
  <c r="N74" i="31" s="1"/>
  <c r="L73" i="31"/>
  <c r="K73" i="31"/>
  <c r="J73" i="31"/>
  <c r="G73" i="31"/>
  <c r="M72" i="31"/>
  <c r="N72" i="31" s="1"/>
  <c r="L71" i="31"/>
  <c r="K71" i="31"/>
  <c r="J71" i="31"/>
  <c r="G71" i="31"/>
  <c r="M70" i="31"/>
  <c r="M71" i="31" s="1"/>
  <c r="L69" i="31"/>
  <c r="K69" i="31"/>
  <c r="J69" i="31"/>
  <c r="G69" i="31"/>
  <c r="M68" i="31"/>
  <c r="N68" i="31" s="1"/>
  <c r="L67" i="31"/>
  <c r="K67" i="31"/>
  <c r="J67" i="31"/>
  <c r="G67" i="31"/>
  <c r="M66" i="31"/>
  <c r="N66" i="31" s="1"/>
  <c r="L65" i="31"/>
  <c r="K65" i="31"/>
  <c r="J65" i="31"/>
  <c r="G65" i="31"/>
  <c r="M64" i="31"/>
  <c r="M65" i="31" s="1"/>
  <c r="L63" i="31"/>
  <c r="K63" i="31"/>
  <c r="J63" i="31"/>
  <c r="G63" i="31"/>
  <c r="M62" i="31"/>
  <c r="N62" i="31" s="1"/>
  <c r="L61" i="31"/>
  <c r="K61" i="31"/>
  <c r="J61" i="31"/>
  <c r="G61" i="31"/>
  <c r="M60" i="31"/>
  <c r="N60" i="31" s="1"/>
  <c r="L59" i="31"/>
  <c r="K59" i="31"/>
  <c r="J59" i="31"/>
  <c r="G59" i="31"/>
  <c r="M58" i="31"/>
  <c r="N58" i="31" s="1"/>
  <c r="L57" i="31"/>
  <c r="K57" i="31"/>
  <c r="J57" i="31"/>
  <c r="G57" i="31"/>
  <c r="M56" i="31"/>
  <c r="N56" i="31" s="1"/>
  <c r="L55" i="31"/>
  <c r="K55" i="31"/>
  <c r="J55" i="31"/>
  <c r="M54" i="31"/>
  <c r="N54" i="31" s="1"/>
  <c r="L50" i="31"/>
  <c r="K50" i="31"/>
  <c r="K51" i="31" s="1"/>
  <c r="J50" i="31"/>
  <c r="J51" i="31" s="1"/>
  <c r="L48" i="31"/>
  <c r="L49" i="31" s="1"/>
  <c r="K48" i="31"/>
  <c r="J48" i="31"/>
  <c r="J49" i="31" s="1"/>
  <c r="L46" i="31"/>
  <c r="L47" i="31" s="1"/>
  <c r="K46" i="31"/>
  <c r="J46" i="31"/>
  <c r="J47" i="31" s="1"/>
  <c r="L42" i="31"/>
  <c r="K42" i="31"/>
  <c r="K43" i="31" s="1"/>
  <c r="J42" i="31"/>
  <c r="J43" i="31" s="1"/>
  <c r="L40" i="31"/>
  <c r="L41" i="31" s="1"/>
  <c r="K40" i="31"/>
  <c r="J40" i="31"/>
  <c r="J41" i="31" s="1"/>
  <c r="F40" i="31"/>
  <c r="L38" i="31"/>
  <c r="L39" i="31" s="1"/>
  <c r="K38" i="31"/>
  <c r="J38" i="31"/>
  <c r="J39" i="31" s="1"/>
  <c r="F38" i="31"/>
  <c r="L36" i="31"/>
  <c r="L37" i="31" s="1"/>
  <c r="K36" i="31"/>
  <c r="J36" i="31"/>
  <c r="F36" i="31"/>
  <c r="P31" i="31"/>
  <c r="P30" i="31"/>
  <c r="P29" i="31"/>
  <c r="Q22" i="31"/>
  <c r="Q21" i="31"/>
  <c r="D16" i="31"/>
  <c r="R15" i="31"/>
  <c r="L10" i="31"/>
  <c r="K10" i="31"/>
  <c r="L9" i="31"/>
  <c r="K9" i="31"/>
  <c r="L8" i="31"/>
  <c r="K8" i="31"/>
  <c r="M48" i="31" l="1"/>
  <c r="M40" i="31"/>
  <c r="N70" i="31"/>
  <c r="M36" i="31"/>
  <c r="M37" i="31" s="1"/>
  <c r="M46" i="31"/>
  <c r="M38" i="31"/>
  <c r="M76" i="32"/>
  <c r="M77" i="32" s="1"/>
  <c r="M50" i="31"/>
  <c r="G41" i="31"/>
  <c r="M57" i="31"/>
  <c r="G45" i="31"/>
  <c r="O29" i="31" s="1"/>
  <c r="Q19" i="31"/>
  <c r="G39" i="31"/>
  <c r="R28" i="36"/>
  <c r="S27" i="36" s="1"/>
  <c r="V29" i="36" s="1"/>
  <c r="M59" i="31"/>
  <c r="L52" i="32"/>
  <c r="L78" i="32" s="1"/>
  <c r="L79" i="32" s="1"/>
  <c r="G51" i="31"/>
  <c r="O31" i="31" s="1"/>
  <c r="M73" i="31"/>
  <c r="Q18" i="32"/>
  <c r="Q20" i="32" s="1"/>
  <c r="Q25" i="32" s="1"/>
  <c r="J76" i="31"/>
  <c r="J77" i="31" s="1"/>
  <c r="M42" i="31"/>
  <c r="N42" i="31" s="1"/>
  <c r="G43" i="31"/>
  <c r="K76" i="31"/>
  <c r="K77" i="31" s="1"/>
  <c r="M61" i="31"/>
  <c r="G49" i="31"/>
  <c r="M67" i="31"/>
  <c r="L76" i="31"/>
  <c r="L77" i="31" s="1"/>
  <c r="M69" i="31"/>
  <c r="P92" i="33"/>
  <c r="N64" i="31"/>
  <c r="N65" i="31" s="1"/>
  <c r="G64" i="31" s="1"/>
  <c r="K47" i="31"/>
  <c r="M63" i="31"/>
  <c r="K52" i="32"/>
  <c r="K53" i="32" s="1"/>
  <c r="Z79" i="35"/>
  <c r="R57" i="35"/>
  <c r="K28" i="36"/>
  <c r="S56" i="35"/>
  <c r="H29" i="37"/>
  <c r="O27" i="37" s="1"/>
  <c r="R27" i="37" s="1"/>
  <c r="Q28" i="37" s="1"/>
  <c r="R28" i="37" s="1"/>
  <c r="S27" i="37" s="1"/>
  <c r="V29" i="37" s="1"/>
  <c r="K28" i="37"/>
  <c r="S95" i="37"/>
  <c r="V76" i="37"/>
  <c r="V76" i="36"/>
  <c r="S95" i="36"/>
  <c r="S53" i="36"/>
  <c r="R81" i="35"/>
  <c r="S80" i="35"/>
  <c r="S81" i="35" s="1"/>
  <c r="R108" i="35"/>
  <c r="P37" i="34"/>
  <c r="P52" i="34" s="1"/>
  <c r="O71" i="34"/>
  <c r="R70" i="34"/>
  <c r="R50" i="34"/>
  <c r="O51" i="34"/>
  <c r="O57" i="34"/>
  <c r="R56" i="34"/>
  <c r="R62" i="34"/>
  <c r="O63" i="34"/>
  <c r="R68" i="34"/>
  <c r="O69" i="34"/>
  <c r="K23" i="34"/>
  <c r="E4" i="34"/>
  <c r="I6" i="34" s="1"/>
  <c r="R38" i="34"/>
  <c r="O39" i="34"/>
  <c r="Q37" i="34"/>
  <c r="Q52" i="34" s="1"/>
  <c r="R54" i="34"/>
  <c r="O55" i="34"/>
  <c r="R74" i="34"/>
  <c r="O75" i="34"/>
  <c r="O72" i="34" s="1"/>
  <c r="Q55" i="34"/>
  <c r="Q76" i="34" s="1"/>
  <c r="Q77" i="34" s="1"/>
  <c r="O65" i="34"/>
  <c r="R64" i="34"/>
  <c r="O59" i="34"/>
  <c r="R58" i="34"/>
  <c r="H27" i="34"/>
  <c r="K26" i="34"/>
  <c r="R40" i="34"/>
  <c r="O41" i="34"/>
  <c r="O49" i="34"/>
  <c r="R48" i="34"/>
  <c r="O67" i="34"/>
  <c r="R66" i="34"/>
  <c r="S78" i="34"/>
  <c r="S79" i="34" s="1"/>
  <c r="N79" i="34"/>
  <c r="J16" i="34"/>
  <c r="P55" i="34"/>
  <c r="P76" i="34" s="1"/>
  <c r="P77" i="34" s="1"/>
  <c r="R36" i="34"/>
  <c r="O37" i="34"/>
  <c r="O61" i="34"/>
  <c r="R60" i="34"/>
  <c r="R46" i="34"/>
  <c r="O47" i="34"/>
  <c r="O43" i="34"/>
  <c r="R42" i="34"/>
  <c r="I76" i="33"/>
  <c r="Q85" i="33"/>
  <c r="Q86" i="33" s="1"/>
  <c r="I52" i="33"/>
  <c r="K11" i="33"/>
  <c r="E52" i="33"/>
  <c r="L11" i="33"/>
  <c r="L31" i="33"/>
  <c r="R25" i="33"/>
  <c r="H31" i="33" s="1"/>
  <c r="I95" i="33"/>
  <c r="L53" i="33"/>
  <c r="J53" i="33"/>
  <c r="J78" i="33"/>
  <c r="Q66" i="33" s="1"/>
  <c r="Q67" i="33" s="1"/>
  <c r="Q29" i="33"/>
  <c r="R29" i="33" s="1"/>
  <c r="N43" i="33"/>
  <c r="N39" i="33"/>
  <c r="G38" i="33" s="1"/>
  <c r="L13" i="33"/>
  <c r="J14" i="33"/>
  <c r="K13" i="33"/>
  <c r="J17" i="33"/>
  <c r="Q79" i="33"/>
  <c r="R78" i="33"/>
  <c r="R79" i="33" s="1"/>
  <c r="N37" i="33"/>
  <c r="G36" i="33" s="1"/>
  <c r="Q31" i="33"/>
  <c r="R31" i="33" s="1"/>
  <c r="N51" i="33"/>
  <c r="G50" i="33" s="1"/>
  <c r="E66" i="31"/>
  <c r="E62" i="31"/>
  <c r="E60" i="31"/>
  <c r="E58" i="31"/>
  <c r="E56" i="31"/>
  <c r="I53" i="32"/>
  <c r="E76" i="32"/>
  <c r="R18" i="32"/>
  <c r="Q78" i="32" s="1"/>
  <c r="E64" i="32"/>
  <c r="I50" i="32"/>
  <c r="E54" i="32"/>
  <c r="E48" i="32"/>
  <c r="I66" i="32"/>
  <c r="I42" i="32"/>
  <c r="E44" i="32"/>
  <c r="I62" i="32"/>
  <c r="E74" i="32"/>
  <c r="I60" i="32"/>
  <c r="I58" i="32"/>
  <c r="E70" i="32"/>
  <c r="I56" i="32"/>
  <c r="E68" i="32"/>
  <c r="I68" i="32"/>
  <c r="I36" i="32"/>
  <c r="Q11" i="32"/>
  <c r="H30" i="32"/>
  <c r="I54" i="32"/>
  <c r="R4" i="32"/>
  <c r="O110" i="32"/>
  <c r="Q15" i="32"/>
  <c r="I48" i="32"/>
  <c r="I64" i="32"/>
  <c r="I70" i="32"/>
  <c r="Q6" i="32"/>
  <c r="I74" i="32"/>
  <c r="E36" i="32"/>
  <c r="E10" i="32"/>
  <c r="P14" i="32"/>
  <c r="Q14" i="32"/>
  <c r="I44" i="32"/>
  <c r="P13" i="32"/>
  <c r="O4" i="32"/>
  <c r="O6" i="32"/>
  <c r="I38" i="32"/>
  <c r="P11" i="32"/>
  <c r="J11" i="32"/>
  <c r="L11" i="32" s="1"/>
  <c r="I40" i="32"/>
  <c r="N76" i="32"/>
  <c r="N36" i="32"/>
  <c r="J20" i="32"/>
  <c r="Q88" i="32"/>
  <c r="J52" i="32"/>
  <c r="M43" i="32"/>
  <c r="N42" i="32"/>
  <c r="M51" i="32"/>
  <c r="N50" i="32"/>
  <c r="M49" i="32"/>
  <c r="N48" i="32"/>
  <c r="M41" i="32"/>
  <c r="N40" i="32"/>
  <c r="N59" i="32"/>
  <c r="G58" i="32" s="1"/>
  <c r="Q89" i="32"/>
  <c r="Q90" i="32" s="1"/>
  <c r="M39" i="32"/>
  <c r="N38" i="32"/>
  <c r="M47" i="32"/>
  <c r="N46" i="32"/>
  <c r="T27" i="31"/>
  <c r="J19" i="31"/>
  <c r="K19" i="31" s="1"/>
  <c r="M90" i="31"/>
  <c r="Q24" i="31"/>
  <c r="R24" i="31" s="1"/>
  <c r="P87" i="31" s="1"/>
  <c r="Q87" i="31" s="1"/>
  <c r="Q23" i="31"/>
  <c r="H78" i="31"/>
  <c r="Q14" i="31" s="1"/>
  <c r="N73" i="31"/>
  <c r="G72" i="31" s="1"/>
  <c r="N38" i="31"/>
  <c r="M39" i="31"/>
  <c r="N75" i="31"/>
  <c r="G74" i="31" s="1"/>
  <c r="N48" i="31"/>
  <c r="M49" i="31"/>
  <c r="N67" i="31"/>
  <c r="G66" i="31" s="1"/>
  <c r="N57" i="31"/>
  <c r="G56" i="31" s="1"/>
  <c r="N55" i="31"/>
  <c r="G54" i="31" s="1"/>
  <c r="N40" i="31"/>
  <c r="M41" i="31"/>
  <c r="N63" i="31"/>
  <c r="G62" i="31" s="1"/>
  <c r="M51" i="31"/>
  <c r="N50" i="31"/>
  <c r="N61" i="31"/>
  <c r="G60" i="31" s="1"/>
  <c r="N46" i="31"/>
  <c r="M47" i="31"/>
  <c r="N69" i="31"/>
  <c r="G68" i="31" s="1"/>
  <c r="J37" i="31"/>
  <c r="Q18" i="31" s="1"/>
  <c r="G47" i="31"/>
  <c r="O30" i="31" s="1"/>
  <c r="N59" i="31"/>
  <c r="G58" i="31" s="1"/>
  <c r="K37" i="31"/>
  <c r="K39" i="31"/>
  <c r="K41" i="31"/>
  <c r="L43" i="31"/>
  <c r="K49" i="31"/>
  <c r="L51" i="31"/>
  <c r="N71" i="31"/>
  <c r="G70" i="31" s="1"/>
  <c r="Q83" i="31"/>
  <c r="Q84" i="31" s="1"/>
  <c r="I89" i="31"/>
  <c r="I90" i="31" s="1"/>
  <c r="M75" i="31"/>
  <c r="M55" i="31"/>
  <c r="K92" i="30"/>
  <c r="J92" i="30"/>
  <c r="M43" i="31" l="1"/>
  <c r="N36" i="31"/>
  <c r="N37" i="31" s="1"/>
  <c r="G36" i="31" s="1"/>
  <c r="L52" i="31"/>
  <c r="L53" i="32"/>
  <c r="M76" i="31"/>
  <c r="M77" i="31" s="1"/>
  <c r="Q20" i="31"/>
  <c r="E52" i="32"/>
  <c r="K52" i="31"/>
  <c r="M52" i="32"/>
  <c r="M95" i="32" s="1"/>
  <c r="K78" i="32"/>
  <c r="Z80" i="35"/>
  <c r="S57" i="35"/>
  <c r="R109" i="42"/>
  <c r="S108" i="35"/>
  <c r="O52" i="34"/>
  <c r="O53" i="34" s="1"/>
  <c r="R37" i="34"/>
  <c r="S36" i="34"/>
  <c r="S37" i="34" s="1"/>
  <c r="R61" i="34"/>
  <c r="S60" i="34"/>
  <c r="S61" i="34" s="1"/>
  <c r="O73" i="34"/>
  <c r="O76" i="34" s="1"/>
  <c r="R72" i="34"/>
  <c r="R39" i="34"/>
  <c r="S38" i="34"/>
  <c r="S39" i="34" s="1"/>
  <c r="R57" i="34"/>
  <c r="S56" i="34"/>
  <c r="S57" i="34" s="1"/>
  <c r="R59" i="34"/>
  <c r="S58" i="34"/>
  <c r="S59" i="34" s="1"/>
  <c r="R51" i="34"/>
  <c r="S50" i="34"/>
  <c r="S51" i="34" s="1"/>
  <c r="R43" i="34"/>
  <c r="S42" i="34"/>
  <c r="S43" i="34" s="1"/>
  <c r="R49" i="34"/>
  <c r="S48" i="34"/>
  <c r="S49" i="34" s="1"/>
  <c r="R65" i="34"/>
  <c r="S64" i="34"/>
  <c r="S65" i="34" s="1"/>
  <c r="R55" i="34"/>
  <c r="S54" i="34"/>
  <c r="S55" i="34" s="1"/>
  <c r="R71" i="34"/>
  <c r="S70" i="34"/>
  <c r="S71" i="34" s="1"/>
  <c r="R75" i="34"/>
  <c r="S74" i="34"/>
  <c r="S75" i="34" s="1"/>
  <c r="Q95" i="34"/>
  <c r="Q53" i="34"/>
  <c r="R69" i="34"/>
  <c r="S68" i="34"/>
  <c r="S69" i="34" s="1"/>
  <c r="R67" i="34"/>
  <c r="S66" i="34"/>
  <c r="S67" i="34" s="1"/>
  <c r="R47" i="34"/>
  <c r="S46" i="34"/>
  <c r="S47" i="34" s="1"/>
  <c r="J22" i="34"/>
  <c r="L16" i="34" s="1"/>
  <c r="J18" i="34"/>
  <c r="K16" i="34"/>
  <c r="R41" i="34"/>
  <c r="S40" i="34"/>
  <c r="S41" i="34" s="1"/>
  <c r="R63" i="34"/>
  <c r="S62" i="34"/>
  <c r="S63" i="34" s="1"/>
  <c r="P95" i="34"/>
  <c r="P53" i="34"/>
  <c r="Q40" i="33"/>
  <c r="Q41" i="33" s="1"/>
  <c r="Q64" i="33"/>
  <c r="Q65" i="33" s="1"/>
  <c r="I78" i="33"/>
  <c r="Q48" i="33"/>
  <c r="Q49" i="33" s="1"/>
  <c r="Q38" i="33"/>
  <c r="Q39" i="33" s="1"/>
  <c r="Q54" i="33"/>
  <c r="Q55" i="33" s="1"/>
  <c r="Q42" i="33"/>
  <c r="Q43" i="33" s="1"/>
  <c r="Q50" i="33"/>
  <c r="Q51" i="33" s="1"/>
  <c r="Q46" i="33"/>
  <c r="Q47" i="33" s="1"/>
  <c r="Q56" i="33"/>
  <c r="Q57" i="33" s="1"/>
  <c r="Q58" i="33"/>
  <c r="Q59" i="33" s="1"/>
  <c r="Q62" i="33"/>
  <c r="Q63" i="33" s="1"/>
  <c r="Q70" i="33"/>
  <c r="Q71" i="33" s="1"/>
  <c r="Q36" i="33"/>
  <c r="Q37" i="33" s="1"/>
  <c r="Q60" i="33"/>
  <c r="Q61" i="33" s="1"/>
  <c r="Q68" i="33"/>
  <c r="Q69" i="33" s="1"/>
  <c r="Q74" i="33"/>
  <c r="Q75" i="33" s="1"/>
  <c r="Q72" i="33" s="1"/>
  <c r="Q73" i="33" s="1"/>
  <c r="K17" i="33"/>
  <c r="G44" i="33"/>
  <c r="G42" i="33"/>
  <c r="K14" i="33"/>
  <c r="P28" i="33"/>
  <c r="L14" i="33"/>
  <c r="Q16" i="33"/>
  <c r="R16" i="33" s="1"/>
  <c r="H26" i="33"/>
  <c r="O74" i="33"/>
  <c r="O56" i="33"/>
  <c r="O58" i="33"/>
  <c r="O64" i="33"/>
  <c r="O50" i="33"/>
  <c r="O48" i="33"/>
  <c r="O70" i="33"/>
  <c r="P60" i="33"/>
  <c r="P61" i="33" s="1"/>
  <c r="P54" i="33"/>
  <c r="P40" i="33"/>
  <c r="P41" i="33" s="1"/>
  <c r="P66" i="33"/>
  <c r="P67" i="33" s="1"/>
  <c r="O60" i="33"/>
  <c r="O54" i="33"/>
  <c r="P42" i="33"/>
  <c r="P43" i="33" s="1"/>
  <c r="O40" i="33"/>
  <c r="O66" i="33"/>
  <c r="J79" i="33"/>
  <c r="P68" i="33"/>
  <c r="P69" i="33" s="1"/>
  <c r="O62" i="33"/>
  <c r="O68" i="33"/>
  <c r="P56" i="33"/>
  <c r="P57" i="33" s="1"/>
  <c r="P38" i="33"/>
  <c r="P39" i="33" s="1"/>
  <c r="P74" i="33"/>
  <c r="P75" i="33" s="1"/>
  <c r="P72" i="33" s="1"/>
  <c r="P73" i="33" s="1"/>
  <c r="O38" i="33"/>
  <c r="P62" i="33"/>
  <c r="P63" i="33" s="1"/>
  <c r="O42" i="33"/>
  <c r="P36" i="33"/>
  <c r="O46" i="33"/>
  <c r="O36" i="33"/>
  <c r="P46" i="33"/>
  <c r="P47" i="33" s="1"/>
  <c r="P64" i="33"/>
  <c r="P65" i="33" s="1"/>
  <c r="P58" i="33"/>
  <c r="P59" i="33" s="1"/>
  <c r="P50" i="33"/>
  <c r="P51" i="33" s="1"/>
  <c r="P48" i="33"/>
  <c r="P49" i="33" s="1"/>
  <c r="P70" i="33"/>
  <c r="P71" i="33" s="1"/>
  <c r="E76" i="31"/>
  <c r="E74" i="31"/>
  <c r="E70" i="31"/>
  <c r="E54" i="31"/>
  <c r="E68" i="31"/>
  <c r="E48" i="31"/>
  <c r="E64" i="31"/>
  <c r="E44" i="31"/>
  <c r="I70" i="31"/>
  <c r="I54" i="31"/>
  <c r="I48" i="31"/>
  <c r="I46" i="31"/>
  <c r="I60" i="31"/>
  <c r="I74" i="31"/>
  <c r="I68" i="31"/>
  <c r="I50" i="31"/>
  <c r="I66" i="31"/>
  <c r="I64" i="31"/>
  <c r="I62" i="31"/>
  <c r="I44" i="31"/>
  <c r="I42" i="31"/>
  <c r="I58" i="31"/>
  <c r="I56" i="31"/>
  <c r="R25" i="32"/>
  <c r="H31" i="32" s="1"/>
  <c r="L31" i="32"/>
  <c r="I76" i="32"/>
  <c r="I95" i="32"/>
  <c r="I52" i="32"/>
  <c r="J13" i="32"/>
  <c r="J14" i="32" s="1"/>
  <c r="K11" i="32"/>
  <c r="N41" i="32"/>
  <c r="G40" i="32" s="1"/>
  <c r="J53" i="32"/>
  <c r="J78" i="32"/>
  <c r="Q74" i="32" s="1"/>
  <c r="Q75" i="32" s="1"/>
  <c r="Q72" i="32" s="1"/>
  <c r="Q73" i="32" s="1"/>
  <c r="N52" i="32"/>
  <c r="M78" i="32"/>
  <c r="M79" i="32" s="1"/>
  <c r="K79" i="32"/>
  <c r="N47" i="32"/>
  <c r="G46" i="32" s="1"/>
  <c r="Q30" i="32"/>
  <c r="R30" i="32" s="1"/>
  <c r="R78" i="32"/>
  <c r="R79" i="32" s="1"/>
  <c r="Q79" i="32"/>
  <c r="J17" i="32"/>
  <c r="N49" i="32"/>
  <c r="G48" i="32" s="1"/>
  <c r="K20" i="32"/>
  <c r="J21" i="32"/>
  <c r="K21" i="32" s="1"/>
  <c r="N39" i="32"/>
  <c r="G38" i="32" s="1"/>
  <c r="N51" i="32"/>
  <c r="G50" i="32" s="1"/>
  <c r="Q31" i="32"/>
  <c r="R31" i="32" s="1"/>
  <c r="N37" i="32"/>
  <c r="G36" i="32" s="1"/>
  <c r="N77" i="32"/>
  <c r="Q29" i="32"/>
  <c r="R29" i="32" s="1"/>
  <c r="N43" i="32"/>
  <c r="Q25" i="31"/>
  <c r="P88" i="31"/>
  <c r="P89" i="31"/>
  <c r="P90" i="31" s="1"/>
  <c r="I40" i="31"/>
  <c r="O6" i="31"/>
  <c r="Q15" i="31"/>
  <c r="I36" i="31"/>
  <c r="P11" i="31"/>
  <c r="R18" i="31"/>
  <c r="L31" i="31" s="1"/>
  <c r="Q6" i="31"/>
  <c r="Q11" i="31"/>
  <c r="R4" i="31"/>
  <c r="O110" i="31"/>
  <c r="J11" i="31"/>
  <c r="J13" i="31" s="1"/>
  <c r="O4" i="31"/>
  <c r="E10" i="31"/>
  <c r="P13" i="31"/>
  <c r="H30" i="31"/>
  <c r="E36" i="31"/>
  <c r="I38" i="31"/>
  <c r="P14" i="31"/>
  <c r="L78" i="31"/>
  <c r="L79" i="31" s="1"/>
  <c r="L53" i="31"/>
  <c r="N76" i="31"/>
  <c r="J52" i="31"/>
  <c r="N39" i="31"/>
  <c r="G38" i="31" s="1"/>
  <c r="K53" i="31"/>
  <c r="M52" i="31"/>
  <c r="K78" i="31"/>
  <c r="N41" i="31"/>
  <c r="G40" i="31" s="1"/>
  <c r="N43" i="31"/>
  <c r="Q29" i="31"/>
  <c r="R29" i="31" s="1"/>
  <c r="N47" i="31"/>
  <c r="G46" i="31" s="1"/>
  <c r="Q30" i="31"/>
  <c r="R30" i="31" s="1"/>
  <c r="Q31" i="31"/>
  <c r="R31" i="31" s="1"/>
  <c r="N51" i="31"/>
  <c r="G50" i="31" s="1"/>
  <c r="J20" i="31"/>
  <c r="Q88" i="31"/>
  <c r="N49" i="31"/>
  <c r="G48" i="31" s="1"/>
  <c r="P29" i="30"/>
  <c r="M53" i="32" l="1"/>
  <c r="S109" i="42"/>
  <c r="R52" i="34"/>
  <c r="S52" i="34" s="1"/>
  <c r="O77" i="34"/>
  <c r="R76" i="34"/>
  <c r="O95" i="34"/>
  <c r="L22" i="34"/>
  <c r="K22" i="34"/>
  <c r="H28" i="34"/>
  <c r="L19" i="34"/>
  <c r="R73" i="34"/>
  <c r="S72" i="34"/>
  <c r="S73" i="34" s="1"/>
  <c r="J24" i="34"/>
  <c r="K24" i="34" s="1"/>
  <c r="K18" i="34"/>
  <c r="Q52" i="33"/>
  <c r="Q53" i="33" s="1"/>
  <c r="Q76" i="33"/>
  <c r="Q77" i="33" s="1"/>
  <c r="O71" i="33"/>
  <c r="R70" i="33"/>
  <c r="H27" i="33"/>
  <c r="K26" i="33"/>
  <c r="R48" i="33"/>
  <c r="O49" i="33"/>
  <c r="R36" i="33"/>
  <c r="O37" i="33"/>
  <c r="R54" i="33"/>
  <c r="O55" i="33"/>
  <c r="O51" i="33"/>
  <c r="R50" i="33"/>
  <c r="R46" i="33"/>
  <c r="O47" i="33"/>
  <c r="O61" i="33"/>
  <c r="R60" i="33"/>
  <c r="R64" i="33"/>
  <c r="O65" i="33"/>
  <c r="P37" i="33"/>
  <c r="P52" i="33" s="1"/>
  <c r="R62" i="33"/>
  <c r="O63" i="33"/>
  <c r="O59" i="33"/>
  <c r="R58" i="33"/>
  <c r="R42" i="33"/>
  <c r="O43" i="33"/>
  <c r="R56" i="33"/>
  <c r="O57" i="33"/>
  <c r="O41" i="33"/>
  <c r="R40" i="33"/>
  <c r="O69" i="33"/>
  <c r="R68" i="33"/>
  <c r="P55" i="33"/>
  <c r="P76" i="33" s="1"/>
  <c r="P77" i="33" s="1"/>
  <c r="R74" i="33"/>
  <c r="O75" i="33"/>
  <c r="O72" i="33" s="1"/>
  <c r="R38" i="33"/>
  <c r="O39" i="33"/>
  <c r="O67" i="33"/>
  <c r="R66" i="33"/>
  <c r="I95" i="31"/>
  <c r="E52" i="31"/>
  <c r="I59" i="31"/>
  <c r="I47" i="31"/>
  <c r="I63" i="31"/>
  <c r="I51" i="31"/>
  <c r="I43" i="31"/>
  <c r="I57" i="31" s="1"/>
  <c r="I52" i="31"/>
  <c r="I76" i="31"/>
  <c r="I78" i="32"/>
  <c r="K13" i="32"/>
  <c r="L13" i="32"/>
  <c r="Q56" i="32"/>
  <c r="Q57" i="32" s="1"/>
  <c r="Q60" i="32"/>
  <c r="Q61" i="32" s="1"/>
  <c r="Q48" i="32"/>
  <c r="Q49" i="32" s="1"/>
  <c r="Q58" i="32"/>
  <c r="Q59" i="32" s="1"/>
  <c r="Q64" i="32"/>
  <c r="Q65" i="32" s="1"/>
  <c r="Q36" i="32"/>
  <c r="Q37" i="32" s="1"/>
  <c r="Q68" i="32"/>
  <c r="Q69" i="32" s="1"/>
  <c r="Q46" i="32"/>
  <c r="Q47" i="32" s="1"/>
  <c r="Q42" i="32"/>
  <c r="Q43" i="32" s="1"/>
  <c r="Q62" i="32"/>
  <c r="Q63" i="32" s="1"/>
  <c r="Q66" i="32"/>
  <c r="Q67" i="32" s="1"/>
  <c r="Q38" i="32"/>
  <c r="Q39" i="32" s="1"/>
  <c r="Q70" i="32"/>
  <c r="Q71" i="32" s="1"/>
  <c r="Q40" i="32"/>
  <c r="Q41" i="32" s="1"/>
  <c r="G42" i="32"/>
  <c r="G44" i="32"/>
  <c r="J23" i="32"/>
  <c r="K17" i="32"/>
  <c r="S29" i="32"/>
  <c r="N53" i="32"/>
  <c r="N95" i="32"/>
  <c r="V74" i="32"/>
  <c r="O58" i="32"/>
  <c r="P50" i="32"/>
  <c r="P51" i="32" s="1"/>
  <c r="P74" i="32"/>
  <c r="P75" i="32" s="1"/>
  <c r="P72" i="32" s="1"/>
  <c r="P73" i="32" s="1"/>
  <c r="P70" i="32"/>
  <c r="P71" i="32" s="1"/>
  <c r="P66" i="32"/>
  <c r="P67" i="32" s="1"/>
  <c r="P62" i="32"/>
  <c r="P63" i="32" s="1"/>
  <c r="P54" i="32"/>
  <c r="P46" i="32"/>
  <c r="P47" i="32" s="1"/>
  <c r="P36" i="32"/>
  <c r="O48" i="32"/>
  <c r="O40" i="32"/>
  <c r="O38" i="32"/>
  <c r="O68" i="32"/>
  <c r="O74" i="32"/>
  <c r="O70" i="32"/>
  <c r="O66" i="32"/>
  <c r="O62" i="32"/>
  <c r="P58" i="32"/>
  <c r="P59" i="32" s="1"/>
  <c r="O54" i="32"/>
  <c r="P48" i="32"/>
  <c r="P49" i="32" s="1"/>
  <c r="O46" i="32"/>
  <c r="P40" i="32"/>
  <c r="P41" i="32" s="1"/>
  <c r="P38" i="32"/>
  <c r="P39" i="32" s="1"/>
  <c r="O36" i="32"/>
  <c r="P42" i="32"/>
  <c r="P43" i="32" s="1"/>
  <c r="N78" i="32"/>
  <c r="P56" i="32"/>
  <c r="P57" i="32" s="1"/>
  <c r="O50" i="32"/>
  <c r="O42" i="32"/>
  <c r="O64" i="32"/>
  <c r="O60" i="32"/>
  <c r="P68" i="32"/>
  <c r="P69" i="32" s="1"/>
  <c r="P64" i="32"/>
  <c r="P65" i="32" s="1"/>
  <c r="P60" i="32"/>
  <c r="P61" i="32" s="1"/>
  <c r="J79" i="32"/>
  <c r="O56" i="32"/>
  <c r="Q50" i="32"/>
  <c r="Q51" i="32" s="1"/>
  <c r="Q54" i="32"/>
  <c r="H26" i="32"/>
  <c r="L14" i="32"/>
  <c r="K14" i="32"/>
  <c r="P28" i="32"/>
  <c r="Q16" i="32"/>
  <c r="R16" i="32" s="1"/>
  <c r="Q89" i="31"/>
  <c r="Q90" i="31" s="1"/>
  <c r="K11" i="31"/>
  <c r="L11" i="31"/>
  <c r="R25" i="31"/>
  <c r="H31" i="31" s="1"/>
  <c r="Q78" i="31"/>
  <c r="J17" i="31" s="1"/>
  <c r="N77" i="31"/>
  <c r="M78" i="31"/>
  <c r="M79" i="31" s="1"/>
  <c r="K79" i="31"/>
  <c r="M95" i="31"/>
  <c r="M53" i="31"/>
  <c r="K13" i="31"/>
  <c r="J14" i="31"/>
  <c r="L13" i="31"/>
  <c r="S29" i="31"/>
  <c r="G42" i="31"/>
  <c r="G44" i="31"/>
  <c r="J53" i="31"/>
  <c r="N52" i="31"/>
  <c r="J78" i="31"/>
  <c r="J21" i="31"/>
  <c r="K21" i="31" s="1"/>
  <c r="K20" i="31"/>
  <c r="Q22" i="30"/>
  <c r="R53" i="34" l="1"/>
  <c r="R95" i="34"/>
  <c r="V75" i="34"/>
  <c r="K28" i="34"/>
  <c r="H29" i="34"/>
  <c r="O27" i="34" s="1"/>
  <c r="R27" i="34" s="1"/>
  <c r="Q28" i="34" s="1"/>
  <c r="R28" i="34" s="1"/>
  <c r="S27" i="34" s="1"/>
  <c r="V29" i="34" s="1"/>
  <c r="S53" i="34"/>
  <c r="R77" i="34"/>
  <c r="S76" i="34"/>
  <c r="S77" i="34" s="1"/>
  <c r="Q95" i="33"/>
  <c r="O52" i="33"/>
  <c r="R52" i="33" s="1"/>
  <c r="P53" i="33"/>
  <c r="P95" i="33"/>
  <c r="R57" i="33"/>
  <c r="S56" i="33"/>
  <c r="S57" i="33" s="1"/>
  <c r="R49" i="33"/>
  <c r="S48" i="33"/>
  <c r="S49" i="33" s="1"/>
  <c r="R67" i="33"/>
  <c r="S66" i="33"/>
  <c r="S67" i="33" s="1"/>
  <c r="R69" i="33"/>
  <c r="S68" i="33"/>
  <c r="S69" i="33" s="1"/>
  <c r="R43" i="33"/>
  <c r="S42" i="33"/>
  <c r="S43" i="33" s="1"/>
  <c r="R65" i="33"/>
  <c r="S64" i="33"/>
  <c r="S65" i="33" s="1"/>
  <c r="R59" i="33"/>
  <c r="R61" i="33"/>
  <c r="S60" i="33"/>
  <c r="S61" i="33" s="1"/>
  <c r="R55" i="33"/>
  <c r="S54" i="33"/>
  <c r="S55" i="33" s="1"/>
  <c r="R39" i="33"/>
  <c r="S38" i="33"/>
  <c r="S39" i="33" s="1"/>
  <c r="R41" i="33"/>
  <c r="O73" i="33"/>
  <c r="O76" i="33" s="1"/>
  <c r="R72" i="33"/>
  <c r="R37" i="33"/>
  <c r="S36" i="33"/>
  <c r="S37" i="33" s="1"/>
  <c r="R71" i="33"/>
  <c r="S70" i="33"/>
  <c r="S71" i="33" s="1"/>
  <c r="R75" i="33"/>
  <c r="S74" i="33"/>
  <c r="S75" i="33" s="1"/>
  <c r="R63" i="33"/>
  <c r="S62" i="33"/>
  <c r="S63" i="33" s="1"/>
  <c r="R47" i="33"/>
  <c r="R51" i="33"/>
  <c r="S50" i="33"/>
  <c r="S51" i="33" s="1"/>
  <c r="I78" i="31"/>
  <c r="Q52" i="32"/>
  <c r="Q53" i="32" s="1"/>
  <c r="O51" i="32"/>
  <c r="R50" i="32"/>
  <c r="O55" i="32"/>
  <c r="R54" i="32"/>
  <c r="O41" i="32"/>
  <c r="R40" i="32"/>
  <c r="H27" i="32"/>
  <c r="K26" i="32"/>
  <c r="O61" i="32"/>
  <c r="R60" i="32"/>
  <c r="R70" i="32"/>
  <c r="O71" i="32"/>
  <c r="P55" i="32"/>
  <c r="P76" i="32" s="1"/>
  <c r="P77" i="32" s="1"/>
  <c r="Q55" i="32"/>
  <c r="Q76" i="32" s="1"/>
  <c r="Q77" i="32" s="1"/>
  <c r="O65" i="32"/>
  <c r="R64" i="32"/>
  <c r="R74" i="32"/>
  <c r="O75" i="32"/>
  <c r="O72" i="32" s="1"/>
  <c r="O43" i="32"/>
  <c r="R42" i="32"/>
  <c r="O47" i="32"/>
  <c r="R46" i="32"/>
  <c r="O69" i="32"/>
  <c r="R68" i="32"/>
  <c r="O57" i="32"/>
  <c r="R56" i="32"/>
  <c r="O39" i="32"/>
  <c r="R38" i="32"/>
  <c r="S78" i="32"/>
  <c r="S79" i="32" s="1"/>
  <c r="N79" i="32"/>
  <c r="J16" i="32"/>
  <c r="O49" i="32"/>
  <c r="R48" i="32"/>
  <c r="O63" i="32"/>
  <c r="R62" i="32"/>
  <c r="P37" i="32"/>
  <c r="P52" i="32" s="1"/>
  <c r="O59" i="32"/>
  <c r="R58" i="32"/>
  <c r="O37" i="32"/>
  <c r="R36" i="32"/>
  <c r="R66" i="32"/>
  <c r="O67" i="32"/>
  <c r="K23" i="32"/>
  <c r="E4" i="32"/>
  <c r="I6" i="32" s="1"/>
  <c r="Q79" i="31"/>
  <c r="R78" i="31"/>
  <c r="R79" i="31" s="1"/>
  <c r="Q64" i="31"/>
  <c r="Q65" i="31" s="1"/>
  <c r="Q68" i="31"/>
  <c r="Q69" i="31" s="1"/>
  <c r="Q40" i="31"/>
  <c r="Q41" i="31" s="1"/>
  <c r="O74" i="31"/>
  <c r="O68" i="31"/>
  <c r="O62" i="31"/>
  <c r="P56" i="31"/>
  <c r="P57" i="31" s="1"/>
  <c r="P48" i="31"/>
  <c r="P49" i="31" s="1"/>
  <c r="O46" i="31"/>
  <c r="P40" i="31"/>
  <c r="P41" i="31" s="1"/>
  <c r="P38" i="31"/>
  <c r="P39" i="31" s="1"/>
  <c r="O36" i="31"/>
  <c r="O58" i="31"/>
  <c r="P74" i="31"/>
  <c r="P75" i="31" s="1"/>
  <c r="P72" i="31" s="1"/>
  <c r="P73" i="31" s="1"/>
  <c r="N78" i="31"/>
  <c r="O56" i="31"/>
  <c r="P50" i="31"/>
  <c r="P51" i="31" s="1"/>
  <c r="O48" i="31"/>
  <c r="P42" i="31"/>
  <c r="P43" i="31" s="1"/>
  <c r="O40" i="31"/>
  <c r="O38" i="31"/>
  <c r="P62" i="31"/>
  <c r="P63" i="31" s="1"/>
  <c r="O50" i="31"/>
  <c r="O42" i="31"/>
  <c r="O70" i="31"/>
  <c r="O64" i="31"/>
  <c r="P58" i="31"/>
  <c r="P59" i="31" s="1"/>
  <c r="P68" i="31"/>
  <c r="P69" i="31" s="1"/>
  <c r="P46" i="31"/>
  <c r="P47" i="31" s="1"/>
  <c r="J79" i="31"/>
  <c r="O66" i="31"/>
  <c r="O60" i="31"/>
  <c r="O54" i="31"/>
  <c r="P36" i="31"/>
  <c r="P54" i="31"/>
  <c r="P60" i="31"/>
  <c r="P61" i="31" s="1"/>
  <c r="P66" i="31"/>
  <c r="P67" i="31" s="1"/>
  <c r="P64" i="31"/>
  <c r="P65" i="31" s="1"/>
  <c r="P70" i="31"/>
  <c r="P71" i="31" s="1"/>
  <c r="N95" i="31"/>
  <c r="N53" i="31"/>
  <c r="V74" i="31"/>
  <c r="Q70" i="31"/>
  <c r="Q71" i="31" s="1"/>
  <c r="Q56" i="31"/>
  <c r="Q57" i="31" s="1"/>
  <c r="Q50" i="31"/>
  <c r="Q51" i="31" s="1"/>
  <c r="J23" i="31"/>
  <c r="K17" i="31"/>
  <c r="Q48" i="31"/>
  <c r="Q49" i="31" s="1"/>
  <c r="Q74" i="31"/>
  <c r="Q75" i="31" s="1"/>
  <c r="Q72" i="31" s="1"/>
  <c r="Q73" i="31" s="1"/>
  <c r="Q58" i="31"/>
  <c r="Q59" i="31" s="1"/>
  <c r="Q16" i="31"/>
  <c r="R16" i="31" s="1"/>
  <c r="H26" i="31"/>
  <c r="P28" i="31"/>
  <c r="L14" i="31"/>
  <c r="K14" i="31"/>
  <c r="Q42" i="31"/>
  <c r="Q43" i="31" s="1"/>
  <c r="Q38" i="31"/>
  <c r="Q39" i="31" s="1"/>
  <c r="Q54" i="31"/>
  <c r="Q36" i="31"/>
  <c r="Q60" i="31"/>
  <c r="Q61" i="31" s="1"/>
  <c r="Q46" i="31"/>
  <c r="Q47" i="31" s="1"/>
  <c r="Q66" i="31"/>
  <c r="Q67" i="31" s="1"/>
  <c r="Q62" i="31"/>
  <c r="Q63" i="31" s="1"/>
  <c r="P31" i="30"/>
  <c r="P30" i="30"/>
  <c r="Q21" i="30"/>
  <c r="L42" i="30"/>
  <c r="L43" i="30" s="1"/>
  <c r="K42" i="30"/>
  <c r="J42" i="30"/>
  <c r="L48" i="30"/>
  <c r="L49" i="30" s="1"/>
  <c r="K48" i="30"/>
  <c r="K49" i="30" s="1"/>
  <c r="J48" i="30"/>
  <c r="J49" i="30" s="1"/>
  <c r="S95" i="34" l="1"/>
  <c r="O53" i="33"/>
  <c r="R76" i="33"/>
  <c r="O77" i="33"/>
  <c r="R73" i="33"/>
  <c r="S72" i="33"/>
  <c r="S73" i="33" s="1"/>
  <c r="O95" i="33"/>
  <c r="R53" i="33"/>
  <c r="O52" i="32"/>
  <c r="O53" i="32" s="1"/>
  <c r="R37" i="32"/>
  <c r="S36" i="32"/>
  <c r="S37" i="32" s="1"/>
  <c r="R59" i="32"/>
  <c r="S58" i="32"/>
  <c r="S59" i="32" s="1"/>
  <c r="R51" i="32"/>
  <c r="S50" i="32"/>
  <c r="S51" i="32" s="1"/>
  <c r="R49" i="32"/>
  <c r="S48" i="32"/>
  <c r="S49" i="32" s="1"/>
  <c r="R57" i="32"/>
  <c r="S56" i="32"/>
  <c r="S57" i="32" s="1"/>
  <c r="S54" i="32"/>
  <c r="S55" i="32" s="1"/>
  <c r="R55" i="32"/>
  <c r="S74" i="32"/>
  <c r="S75" i="32" s="1"/>
  <c r="R75" i="32"/>
  <c r="S70" i="32"/>
  <c r="S71" i="32" s="1"/>
  <c r="R71" i="32"/>
  <c r="K16" i="32"/>
  <c r="J18" i="32"/>
  <c r="J22" i="32"/>
  <c r="L16" i="32" s="1"/>
  <c r="R69" i="32"/>
  <c r="S68" i="32"/>
  <c r="S69" i="32" s="1"/>
  <c r="R65" i="32"/>
  <c r="S64" i="32"/>
  <c r="S65" i="32" s="1"/>
  <c r="R61" i="32"/>
  <c r="S60" i="32"/>
  <c r="S61" i="32" s="1"/>
  <c r="R47" i="32"/>
  <c r="S46" i="32"/>
  <c r="S47" i="32" s="1"/>
  <c r="O73" i="32"/>
  <c r="O76" i="32" s="1"/>
  <c r="R72" i="32"/>
  <c r="P53" i="32"/>
  <c r="P95" i="32"/>
  <c r="Q95" i="32"/>
  <c r="R67" i="32"/>
  <c r="S66" i="32"/>
  <c r="S67" i="32" s="1"/>
  <c r="S62" i="32"/>
  <c r="S63" i="32" s="1"/>
  <c r="R63" i="32"/>
  <c r="R39" i="32"/>
  <c r="S38" i="32"/>
  <c r="S39" i="32" s="1"/>
  <c r="R43" i="32"/>
  <c r="S42" i="32"/>
  <c r="S43" i="32" s="1"/>
  <c r="R41" i="32"/>
  <c r="S40" i="32"/>
  <c r="S41" i="32" s="1"/>
  <c r="Q37" i="31"/>
  <c r="Q52" i="31" s="1"/>
  <c r="S78" i="31"/>
  <c r="S79" i="31" s="1"/>
  <c r="J16" i="31"/>
  <c r="N79" i="31"/>
  <c r="R58" i="31"/>
  <c r="O59" i="31"/>
  <c r="O43" i="31"/>
  <c r="R42" i="31"/>
  <c r="O55" i="31"/>
  <c r="R54" i="31"/>
  <c r="R38" i="31"/>
  <c r="O39" i="31"/>
  <c r="R46" i="31"/>
  <c r="O47" i="31"/>
  <c r="Q55" i="31"/>
  <c r="Q76" i="31" s="1"/>
  <c r="Q77" i="31" s="1"/>
  <c r="O41" i="31"/>
  <c r="R40" i="31"/>
  <c r="R70" i="31"/>
  <c r="O71" i="31"/>
  <c r="R36" i="31"/>
  <c r="O37" i="31"/>
  <c r="K23" i="31"/>
  <c r="E4" i="31"/>
  <c r="I6" i="31" s="1"/>
  <c r="O61" i="31"/>
  <c r="R60" i="31"/>
  <c r="R48" i="31"/>
  <c r="O49" i="31"/>
  <c r="R62" i="31"/>
  <c r="O63" i="31"/>
  <c r="R56" i="31"/>
  <c r="O57" i="31"/>
  <c r="R74" i="31"/>
  <c r="O75" i="31"/>
  <c r="O72" i="31" s="1"/>
  <c r="R64" i="31"/>
  <c r="O65" i="31"/>
  <c r="P55" i="31"/>
  <c r="P76" i="31"/>
  <c r="P77" i="31" s="1"/>
  <c r="O51" i="31"/>
  <c r="R50" i="31"/>
  <c r="P37" i="31"/>
  <c r="P52" i="31" s="1"/>
  <c r="O67" i="31"/>
  <c r="R66" i="31"/>
  <c r="H27" i="31"/>
  <c r="K26" i="31"/>
  <c r="R68" i="31"/>
  <c r="O69" i="31"/>
  <c r="G45" i="30"/>
  <c r="O29" i="30" s="1"/>
  <c r="G43" i="30"/>
  <c r="J43" i="30"/>
  <c r="M42" i="30"/>
  <c r="K43" i="30"/>
  <c r="Q23" i="30"/>
  <c r="T27" i="30"/>
  <c r="M43" i="30"/>
  <c r="N42" i="30"/>
  <c r="Q29" i="30" s="1"/>
  <c r="R29" i="30" s="1"/>
  <c r="M48" i="30"/>
  <c r="M49" i="30" s="1"/>
  <c r="G49" i="30"/>
  <c r="R77" i="33" l="1"/>
  <c r="V75" i="33"/>
  <c r="R95" i="33"/>
  <c r="R52" i="32"/>
  <c r="S52" i="32" s="1"/>
  <c r="O77" i="32"/>
  <c r="R76" i="32"/>
  <c r="O95" i="32"/>
  <c r="H28" i="32"/>
  <c r="L22" i="32"/>
  <c r="K22" i="32"/>
  <c r="L19" i="32"/>
  <c r="K18" i="32"/>
  <c r="J24" i="32"/>
  <c r="K24" i="32" s="1"/>
  <c r="R73" i="32"/>
  <c r="S72" i="32"/>
  <c r="S73" i="32" s="1"/>
  <c r="O52" i="31"/>
  <c r="O53" i="31" s="1"/>
  <c r="Q53" i="31"/>
  <c r="Q95" i="31"/>
  <c r="R39" i="31"/>
  <c r="S38" i="31"/>
  <c r="S39" i="31" s="1"/>
  <c r="R75" i="31"/>
  <c r="S74" i="31"/>
  <c r="S75" i="31" s="1"/>
  <c r="R37" i="31"/>
  <c r="S36" i="31"/>
  <c r="S37" i="31" s="1"/>
  <c r="R55" i="31"/>
  <c r="S54" i="31"/>
  <c r="S55" i="31" s="1"/>
  <c r="R67" i="31"/>
  <c r="S66" i="31"/>
  <c r="S67" i="31" s="1"/>
  <c r="R63" i="31"/>
  <c r="S62" i="31"/>
  <c r="S63" i="31" s="1"/>
  <c r="R71" i="31"/>
  <c r="S70" i="31"/>
  <c r="S71" i="31" s="1"/>
  <c r="R49" i="31"/>
  <c r="S48" i="31"/>
  <c r="S49" i="31" s="1"/>
  <c r="R59" i="31"/>
  <c r="S58" i="31"/>
  <c r="S59" i="31" s="1"/>
  <c r="P95" i="31"/>
  <c r="P53" i="31"/>
  <c r="R43" i="31"/>
  <c r="S42" i="31"/>
  <c r="S43" i="31" s="1"/>
  <c r="R61" i="31"/>
  <c r="S60" i="31"/>
  <c r="S61" i="31" s="1"/>
  <c r="J18" i="31"/>
  <c r="J22" i="31"/>
  <c r="L16" i="31" s="1"/>
  <c r="K16" i="31"/>
  <c r="R57" i="31"/>
  <c r="S56" i="31"/>
  <c r="S57" i="31" s="1"/>
  <c r="R41" i="31"/>
  <c r="S40" i="31"/>
  <c r="S41" i="31" s="1"/>
  <c r="R51" i="31"/>
  <c r="S50" i="31"/>
  <c r="S51" i="31" s="1"/>
  <c r="R69" i="31"/>
  <c r="S68" i="31"/>
  <c r="S69" i="31" s="1"/>
  <c r="R47" i="31"/>
  <c r="S46" i="31"/>
  <c r="S47" i="31" s="1"/>
  <c r="O73" i="31"/>
  <c r="O76" i="31" s="1"/>
  <c r="R72" i="31"/>
  <c r="R65" i="31"/>
  <c r="S64" i="31"/>
  <c r="S65" i="31" s="1"/>
  <c r="N48" i="30"/>
  <c r="N49" i="30" s="1"/>
  <c r="G48" i="30" s="1"/>
  <c r="N43" i="30"/>
  <c r="R53" i="32" l="1"/>
  <c r="K28" i="32"/>
  <c r="H29" i="32"/>
  <c r="O27" i="32" s="1"/>
  <c r="R27" i="32" s="1"/>
  <c r="Q28" i="32" s="1"/>
  <c r="R28" i="32" s="1"/>
  <c r="S27" i="32" s="1"/>
  <c r="V29" i="32" s="1"/>
  <c r="S53" i="32"/>
  <c r="R77" i="32"/>
  <c r="S76" i="32"/>
  <c r="S77" i="32" s="1"/>
  <c r="V75" i="32"/>
  <c r="R95" i="32"/>
  <c r="R52" i="31"/>
  <c r="S52" i="31" s="1"/>
  <c r="O77" i="31"/>
  <c r="R76" i="31"/>
  <c r="K18" i="31"/>
  <c r="J24" i="31"/>
  <c r="K24" i="31" s="1"/>
  <c r="O95" i="31"/>
  <c r="R73" i="31"/>
  <c r="S72" i="31"/>
  <c r="S73" i="31" s="1"/>
  <c r="L22" i="31"/>
  <c r="K22" i="31"/>
  <c r="H28" i="31"/>
  <c r="L19" i="31"/>
  <c r="G44" i="30"/>
  <c r="G42" i="30"/>
  <c r="L75" i="30"/>
  <c r="K75" i="30"/>
  <c r="J75" i="30"/>
  <c r="G75" i="30"/>
  <c r="M74" i="30"/>
  <c r="M75" i="30" s="1"/>
  <c r="L73" i="30"/>
  <c r="K73" i="30"/>
  <c r="J73" i="30"/>
  <c r="G73" i="30"/>
  <c r="M72" i="30"/>
  <c r="M73" i="30" s="1"/>
  <c r="L71" i="30"/>
  <c r="K71" i="30"/>
  <c r="J71" i="30"/>
  <c r="G71" i="30"/>
  <c r="M70" i="30"/>
  <c r="N70" i="30" s="1"/>
  <c r="N71" i="30" s="1"/>
  <c r="G70" i="30" s="1"/>
  <c r="L69" i="30"/>
  <c r="K69" i="30"/>
  <c r="J69" i="30"/>
  <c r="G69" i="30"/>
  <c r="M68" i="30"/>
  <c r="M69" i="30" s="1"/>
  <c r="L67" i="30"/>
  <c r="K67" i="30"/>
  <c r="J67" i="30"/>
  <c r="G67" i="30"/>
  <c r="M66" i="30"/>
  <c r="M67" i="30" s="1"/>
  <c r="L65" i="30"/>
  <c r="K65" i="30"/>
  <c r="J65" i="30"/>
  <c r="G65" i="30"/>
  <c r="M64" i="30"/>
  <c r="M65" i="30" s="1"/>
  <c r="L63" i="30"/>
  <c r="K63" i="30"/>
  <c r="J63" i="30"/>
  <c r="G63" i="30"/>
  <c r="M62" i="30"/>
  <c r="M63" i="30" s="1"/>
  <c r="L61" i="30"/>
  <c r="K61" i="30"/>
  <c r="J61" i="30"/>
  <c r="G61" i="30"/>
  <c r="M60" i="30"/>
  <c r="M61" i="30" s="1"/>
  <c r="L59" i="30"/>
  <c r="K59" i="30"/>
  <c r="J59" i="30"/>
  <c r="G59" i="30"/>
  <c r="M58" i="30"/>
  <c r="M59" i="30" s="1"/>
  <c r="H95" i="30"/>
  <c r="L57" i="30"/>
  <c r="K57" i="30"/>
  <c r="J57" i="30"/>
  <c r="G57" i="30"/>
  <c r="M56" i="30"/>
  <c r="N56" i="30" s="1"/>
  <c r="L55" i="30"/>
  <c r="K55" i="30"/>
  <c r="J55" i="30"/>
  <c r="M54" i="30"/>
  <c r="N54" i="30" s="1"/>
  <c r="Q127" i="30"/>
  <c r="P127" i="30"/>
  <c r="O127" i="30"/>
  <c r="N127" i="30"/>
  <c r="Q121" i="30"/>
  <c r="P121" i="30"/>
  <c r="O121" i="30"/>
  <c r="N121" i="30"/>
  <c r="M89" i="30"/>
  <c r="M88" i="30"/>
  <c r="K87" i="30"/>
  <c r="K88" i="30" s="1"/>
  <c r="I87" i="30"/>
  <c r="I88" i="30" s="1"/>
  <c r="P86" i="30"/>
  <c r="O86" i="30"/>
  <c r="M86" i="30"/>
  <c r="Q85" i="30"/>
  <c r="J19" i="30" s="1"/>
  <c r="K19" i="30" s="1"/>
  <c r="K85" i="30"/>
  <c r="K86" i="30" s="1"/>
  <c r="I85" i="30"/>
  <c r="I86" i="30" s="1"/>
  <c r="M84" i="30"/>
  <c r="P83" i="30"/>
  <c r="P84" i="30" s="1"/>
  <c r="O83" i="30"/>
  <c r="O84" i="30" s="1"/>
  <c r="K83" i="30"/>
  <c r="K84" i="30" s="1"/>
  <c r="I83" i="30"/>
  <c r="I84" i="30" s="1"/>
  <c r="O79" i="30"/>
  <c r="P78" i="30"/>
  <c r="P79" i="30" s="1"/>
  <c r="L50" i="30"/>
  <c r="L51" i="30" s="1"/>
  <c r="K50" i="30"/>
  <c r="K51" i="30" s="1"/>
  <c r="J50" i="30"/>
  <c r="L46" i="30"/>
  <c r="L47" i="30" s="1"/>
  <c r="K46" i="30"/>
  <c r="K47" i="30" s="1"/>
  <c r="J46" i="30"/>
  <c r="J47" i="30" s="1"/>
  <c r="L40" i="30"/>
  <c r="L41" i="30" s="1"/>
  <c r="K40" i="30"/>
  <c r="K41" i="30" s="1"/>
  <c r="J40" i="30"/>
  <c r="F40" i="30"/>
  <c r="L38" i="30"/>
  <c r="L39" i="30" s="1"/>
  <c r="K38" i="30"/>
  <c r="J38" i="30"/>
  <c r="J39" i="30" s="1"/>
  <c r="F38" i="30"/>
  <c r="L36" i="30"/>
  <c r="L37" i="30" s="1"/>
  <c r="K36" i="30"/>
  <c r="K37" i="30" s="1"/>
  <c r="J36" i="30"/>
  <c r="F36" i="30"/>
  <c r="D16" i="30"/>
  <c r="L10" i="30"/>
  <c r="K10" i="30"/>
  <c r="L9" i="30"/>
  <c r="K9" i="30"/>
  <c r="L8" i="30"/>
  <c r="K8" i="30"/>
  <c r="M71" i="30" l="1"/>
  <c r="V76" i="32"/>
  <c r="S95" i="32"/>
  <c r="R53" i="31"/>
  <c r="V75" i="31"/>
  <c r="H29" i="31"/>
  <c r="O27" i="31" s="1"/>
  <c r="R27" i="31" s="1"/>
  <c r="Q28" i="31" s="1"/>
  <c r="R28" i="31" s="1"/>
  <c r="S27" i="31" s="1"/>
  <c r="V29" i="31" s="1"/>
  <c r="K28" i="31"/>
  <c r="S53" i="31"/>
  <c r="R77" i="31"/>
  <c r="S76" i="31"/>
  <c r="S77" i="31" s="1"/>
  <c r="R95" i="31"/>
  <c r="J41" i="30"/>
  <c r="M90" i="30"/>
  <c r="Q24" i="30"/>
  <c r="J37" i="30"/>
  <c r="Q19" i="30"/>
  <c r="N66" i="30"/>
  <c r="N67" i="30" s="1"/>
  <c r="G66" i="30" s="1"/>
  <c r="M55" i="30"/>
  <c r="I89" i="30"/>
  <c r="I90" i="30" s="1"/>
  <c r="N72" i="30"/>
  <c r="N73" i="30" s="1"/>
  <c r="G72" i="30" s="1"/>
  <c r="G47" i="30"/>
  <c r="O30" i="30" s="1"/>
  <c r="M57" i="30"/>
  <c r="N64" i="30"/>
  <c r="N65" i="30" s="1"/>
  <c r="G64" i="30" s="1"/>
  <c r="N74" i="30"/>
  <c r="N75" i="30" s="1"/>
  <c r="G74" i="30" s="1"/>
  <c r="M38" i="30"/>
  <c r="N38" i="30" s="1"/>
  <c r="Q86" i="30"/>
  <c r="N62" i="30"/>
  <c r="N63" i="30" s="1"/>
  <c r="G62" i="30" s="1"/>
  <c r="M46" i="30"/>
  <c r="N46" i="30" s="1"/>
  <c r="Q30" i="30" s="1"/>
  <c r="R30" i="30" s="1"/>
  <c r="N58" i="30"/>
  <c r="N59" i="30" s="1"/>
  <c r="G58" i="30" s="1"/>
  <c r="G41" i="30"/>
  <c r="L76" i="30"/>
  <c r="L77" i="30" s="1"/>
  <c r="N55" i="30"/>
  <c r="G54" i="30" s="1"/>
  <c r="N57" i="30"/>
  <c r="G56" i="30" s="1"/>
  <c r="K76" i="30"/>
  <c r="K77" i="30" s="1"/>
  <c r="N60" i="30"/>
  <c r="N68" i="30"/>
  <c r="G39" i="30"/>
  <c r="H76" i="30"/>
  <c r="L52" i="30"/>
  <c r="K89" i="30"/>
  <c r="K90" i="30" s="1"/>
  <c r="M50" i="30"/>
  <c r="M40" i="30"/>
  <c r="J76" i="30"/>
  <c r="Q83" i="30"/>
  <c r="Q84" i="30" s="1"/>
  <c r="H96" i="30"/>
  <c r="K39" i="30"/>
  <c r="K52" i="30" s="1"/>
  <c r="M36" i="30"/>
  <c r="M37" i="30" s="1"/>
  <c r="G51" i="30"/>
  <c r="O31" i="30" s="1"/>
  <c r="J51" i="30"/>
  <c r="E66" i="30" l="1"/>
  <c r="E62" i="30"/>
  <c r="E60" i="30"/>
  <c r="E58" i="30"/>
  <c r="E56" i="30"/>
  <c r="V76" i="31"/>
  <c r="S95" i="31"/>
  <c r="H78" i="30"/>
  <c r="Q18" i="30"/>
  <c r="Q20" i="30" s="1"/>
  <c r="J52" i="30"/>
  <c r="J53" i="30" s="1"/>
  <c r="N47" i="30"/>
  <c r="G46" i="30" s="1"/>
  <c r="M39" i="30"/>
  <c r="M47" i="30"/>
  <c r="R15" i="30"/>
  <c r="M76" i="30"/>
  <c r="M77" i="30" s="1"/>
  <c r="N69" i="30"/>
  <c r="G68" i="30" s="1"/>
  <c r="N61" i="30"/>
  <c r="G60" i="30" s="1"/>
  <c r="K78" i="30"/>
  <c r="M52" i="30"/>
  <c r="K53" i="30"/>
  <c r="J77" i="30"/>
  <c r="N39" i="30"/>
  <c r="G38" i="30" s="1"/>
  <c r="O90" i="30"/>
  <c r="O87" i="30"/>
  <c r="M51" i="30"/>
  <c r="N50" i="30"/>
  <c r="Q31" i="30" s="1"/>
  <c r="R31" i="30" s="1"/>
  <c r="S29" i="30" s="1"/>
  <c r="N40" i="30"/>
  <c r="M41" i="30"/>
  <c r="L53" i="30"/>
  <c r="L78" i="30"/>
  <c r="L79" i="30" s="1"/>
  <c r="N36" i="30"/>
  <c r="E76" i="30" l="1"/>
  <c r="E68" i="30"/>
  <c r="E48" i="30"/>
  <c r="E44" i="30"/>
  <c r="E74" i="30"/>
  <c r="E64" i="30"/>
  <c r="E70" i="30"/>
  <c r="E54" i="30"/>
  <c r="I70" i="30"/>
  <c r="I68" i="30"/>
  <c r="I54" i="30"/>
  <c r="I48" i="30"/>
  <c r="I46" i="30"/>
  <c r="I44" i="30"/>
  <c r="I74" i="30"/>
  <c r="I42" i="30"/>
  <c r="I58" i="30"/>
  <c r="I56" i="30"/>
  <c r="I66" i="30"/>
  <c r="I50" i="30"/>
  <c r="I64" i="30"/>
  <c r="I62" i="30"/>
  <c r="I60" i="30"/>
  <c r="P11" i="30"/>
  <c r="R18" i="30"/>
  <c r="Q78" i="30" s="1"/>
  <c r="P13" i="30"/>
  <c r="O4" i="30"/>
  <c r="O110" i="30"/>
  <c r="Q14" i="30"/>
  <c r="I40" i="30"/>
  <c r="Q15" i="30"/>
  <c r="J11" i="30"/>
  <c r="L11" i="30" s="1"/>
  <c r="I36" i="30"/>
  <c r="E36" i="30"/>
  <c r="H30" i="30"/>
  <c r="Q6" i="30"/>
  <c r="I38" i="30"/>
  <c r="P14" i="30"/>
  <c r="O6" i="30"/>
  <c r="E10" i="30"/>
  <c r="Q11" i="30"/>
  <c r="R4" i="30"/>
  <c r="N52" i="30"/>
  <c r="J78" i="30"/>
  <c r="N76" i="30"/>
  <c r="N37" i="30"/>
  <c r="G36" i="30" s="1"/>
  <c r="R24" i="30"/>
  <c r="Q25" i="30"/>
  <c r="N41" i="30"/>
  <c r="N51" i="30"/>
  <c r="G50" i="30" s="1"/>
  <c r="M95" i="30"/>
  <c r="M53" i="30"/>
  <c r="O88" i="30"/>
  <c r="K79" i="30"/>
  <c r="M78" i="30"/>
  <c r="M79" i="30" s="1"/>
  <c r="E52" i="30" l="1"/>
  <c r="I43" i="30"/>
  <c r="I57" i="30" s="1"/>
  <c r="I52" i="30"/>
  <c r="I95" i="30"/>
  <c r="I59" i="30"/>
  <c r="I47" i="30"/>
  <c r="I51" i="30"/>
  <c r="I63" i="30"/>
  <c r="I76" i="30"/>
  <c r="Q64" i="30"/>
  <c r="Q65" i="30" s="1"/>
  <c r="Q79" i="30"/>
  <c r="J17" i="30"/>
  <c r="K17" i="30" s="1"/>
  <c r="R78" i="30"/>
  <c r="R79" i="30" s="1"/>
  <c r="L31" i="30"/>
  <c r="J13" i="30"/>
  <c r="J14" i="30" s="1"/>
  <c r="L14" i="30" s="1"/>
  <c r="K11" i="30"/>
  <c r="P36" i="30"/>
  <c r="P37" i="30" s="1"/>
  <c r="Q48" i="30"/>
  <c r="Q49" i="30" s="1"/>
  <c r="P48" i="30"/>
  <c r="P49" i="30" s="1"/>
  <c r="Q40" i="30"/>
  <c r="Q41" i="30" s="1"/>
  <c r="Q36" i="30"/>
  <c r="Q37" i="30" s="1"/>
  <c r="P40" i="30"/>
  <c r="P41" i="30" s="1"/>
  <c r="P68" i="30"/>
  <c r="P69" i="30" s="1"/>
  <c r="P54" i="30"/>
  <c r="P55" i="30" s="1"/>
  <c r="P66" i="30"/>
  <c r="P67" i="30" s="1"/>
  <c r="V74" i="30"/>
  <c r="N53" i="30"/>
  <c r="O62" i="30"/>
  <c r="O63" i="30" s="1"/>
  <c r="O70" i="30"/>
  <c r="O71" i="30" s="1"/>
  <c r="Q68" i="30"/>
  <c r="Q69" i="30" s="1"/>
  <c r="N95" i="30"/>
  <c r="Q60" i="30"/>
  <c r="Q61" i="30" s="1"/>
  <c r="P62" i="30"/>
  <c r="P63" i="30" s="1"/>
  <c r="Q54" i="30"/>
  <c r="Q55" i="30" s="1"/>
  <c r="P38" i="30"/>
  <c r="P39" i="30" s="1"/>
  <c r="O58" i="30"/>
  <c r="P70" i="30"/>
  <c r="P71" i="30" s="1"/>
  <c r="Q62" i="30"/>
  <c r="Q63" i="30" s="1"/>
  <c r="O42" i="30"/>
  <c r="O48" i="30"/>
  <c r="O40" i="30"/>
  <c r="O36" i="30"/>
  <c r="Q74" i="30"/>
  <c r="Q75" i="30" s="1"/>
  <c r="Q72" i="30" s="1"/>
  <c r="Q73" i="30" s="1"/>
  <c r="O46" i="30"/>
  <c r="O47" i="30" s="1"/>
  <c r="P58" i="30"/>
  <c r="P59" i="30" s="1"/>
  <c r="O64" i="30"/>
  <c r="O65" i="30" s="1"/>
  <c r="Q58" i="30"/>
  <c r="Q59" i="30" s="1"/>
  <c r="Q50" i="30"/>
  <c r="Q51" i="30" s="1"/>
  <c r="P74" i="30"/>
  <c r="P75" i="30" s="1"/>
  <c r="P72" i="30" s="1"/>
  <c r="P73" i="30" s="1"/>
  <c r="Q66" i="30"/>
  <c r="Q67" i="30" s="1"/>
  <c r="O50" i="30"/>
  <c r="O51" i="30" s="1"/>
  <c r="J79" i="30"/>
  <c r="O66" i="30"/>
  <c r="O67" i="30" s="1"/>
  <c r="O54" i="30"/>
  <c r="Q70" i="30"/>
  <c r="Q71" i="30" s="1"/>
  <c r="P42" i="30"/>
  <c r="P43" i="30" s="1"/>
  <c r="P50" i="30"/>
  <c r="P51" i="30" s="1"/>
  <c r="O74" i="30"/>
  <c r="O75" i="30" s="1"/>
  <c r="O72" i="30" s="1"/>
  <c r="P56" i="30"/>
  <c r="P57" i="30" s="1"/>
  <c r="Q42" i="30"/>
  <c r="Q43" i="30" s="1"/>
  <c r="Q38" i="30"/>
  <c r="Q39" i="30" s="1"/>
  <c r="O38" i="30"/>
  <c r="O60" i="30"/>
  <c r="P46" i="30"/>
  <c r="P47" i="30" s="1"/>
  <c r="Q46" i="30"/>
  <c r="Q47" i="30" s="1"/>
  <c r="O68" i="30"/>
  <c r="O69" i="30" s="1"/>
  <c r="P64" i="30"/>
  <c r="P65" i="30" s="1"/>
  <c r="Q56" i="30"/>
  <c r="Q57" i="30" s="1"/>
  <c r="P60" i="30"/>
  <c r="P61" i="30" s="1"/>
  <c r="O56" i="30"/>
  <c r="O57" i="30" s="1"/>
  <c r="G40" i="30"/>
  <c r="N77" i="30"/>
  <c r="N78" i="30"/>
  <c r="J16" i="30" s="1"/>
  <c r="P87" i="30"/>
  <c r="R25" i="30"/>
  <c r="H31" i="30" s="1"/>
  <c r="I78" i="30" l="1"/>
  <c r="K13" i="30"/>
  <c r="L13" i="30"/>
  <c r="Q16" i="30"/>
  <c r="R16" i="30" s="1"/>
  <c r="P28" i="30"/>
  <c r="R36" i="30"/>
  <c r="R37" i="30" s="1"/>
  <c r="K14" i="30"/>
  <c r="H26" i="30"/>
  <c r="K26" i="30" s="1"/>
  <c r="R40" i="30"/>
  <c r="R41" i="30" s="1"/>
  <c r="R48" i="30"/>
  <c r="R49" i="30" s="1"/>
  <c r="O49" i="30"/>
  <c r="O41" i="30"/>
  <c r="Q52" i="30"/>
  <c r="Q53" i="30" s="1"/>
  <c r="R60" i="30"/>
  <c r="R61" i="30" s="1"/>
  <c r="R42" i="30"/>
  <c r="R43" i="30" s="1"/>
  <c r="R38" i="30"/>
  <c r="S38" i="30" s="1"/>
  <c r="S39" i="30" s="1"/>
  <c r="R58" i="30"/>
  <c r="R59" i="30" s="1"/>
  <c r="O39" i="30"/>
  <c r="R74" i="30"/>
  <c r="R75" i="30" s="1"/>
  <c r="O61" i="30"/>
  <c r="R70" i="30"/>
  <c r="R71" i="30" s="1"/>
  <c r="O43" i="30"/>
  <c r="R54" i="30"/>
  <c r="R55" i="30" s="1"/>
  <c r="R64" i="30"/>
  <c r="S64" i="30" s="1"/>
  <c r="S65" i="30" s="1"/>
  <c r="R66" i="30"/>
  <c r="R67" i="30" s="1"/>
  <c r="O59" i="30"/>
  <c r="O55" i="30"/>
  <c r="R46" i="30"/>
  <c r="R47" i="30" s="1"/>
  <c r="R56" i="30"/>
  <c r="R57" i="30" s="1"/>
  <c r="Q76" i="30"/>
  <c r="Q77" i="30" s="1"/>
  <c r="O37" i="30"/>
  <c r="R62" i="30"/>
  <c r="R63" i="30" s="1"/>
  <c r="R68" i="30"/>
  <c r="S68" i="30" s="1"/>
  <c r="S69" i="30" s="1"/>
  <c r="R50" i="30"/>
  <c r="S50" i="30" s="1"/>
  <c r="S51" i="30" s="1"/>
  <c r="P52" i="30"/>
  <c r="P53" i="30" s="1"/>
  <c r="P76" i="30"/>
  <c r="P77" i="30" s="1"/>
  <c r="S78" i="30"/>
  <c r="S79" i="30" s="1"/>
  <c r="N79" i="30"/>
  <c r="R72" i="30"/>
  <c r="O73" i="30"/>
  <c r="J18" i="30"/>
  <c r="J22" i="30"/>
  <c r="L16" i="30" s="1"/>
  <c r="K16" i="30"/>
  <c r="P88" i="30"/>
  <c r="P89" i="30"/>
  <c r="Q87" i="30"/>
  <c r="J20" i="30" s="1"/>
  <c r="S36" i="30" l="1"/>
  <c r="S37" i="30" s="1"/>
  <c r="S42" i="30"/>
  <c r="S43" i="30" s="1"/>
  <c r="S40" i="30"/>
  <c r="S41" i="30" s="1"/>
  <c r="H27" i="30"/>
  <c r="R69" i="30"/>
  <c r="S48" i="30"/>
  <c r="S49" i="30" s="1"/>
  <c r="R39" i="30"/>
  <c r="S60" i="30"/>
  <c r="S61" i="30" s="1"/>
  <c r="S58" i="30"/>
  <c r="S59" i="30" s="1"/>
  <c r="O52" i="30"/>
  <c r="O53" i="30" s="1"/>
  <c r="S66" i="30"/>
  <c r="S67" i="30" s="1"/>
  <c r="S70" i="30"/>
  <c r="S71" i="30" s="1"/>
  <c r="S62" i="30"/>
  <c r="S63" i="30" s="1"/>
  <c r="R51" i="30"/>
  <c r="P95" i="30"/>
  <c r="S74" i="30"/>
  <c r="S75" i="30" s="1"/>
  <c r="Q95" i="30"/>
  <c r="S46" i="30"/>
  <c r="S47" i="30" s="1"/>
  <c r="R65" i="30"/>
  <c r="S54" i="30"/>
  <c r="S55" i="30" s="1"/>
  <c r="S56" i="30"/>
  <c r="S57" i="30" s="1"/>
  <c r="O76" i="30"/>
  <c r="R76" i="30" s="1"/>
  <c r="R73" i="30"/>
  <c r="S72" i="30"/>
  <c r="S73" i="30" s="1"/>
  <c r="P90" i="30"/>
  <c r="Q89" i="30"/>
  <c r="Q90" i="30" s="1"/>
  <c r="L22" i="30"/>
  <c r="H28" i="30"/>
  <c r="K22" i="30"/>
  <c r="L19" i="30"/>
  <c r="K18" i="30"/>
  <c r="Q88" i="30"/>
  <c r="R52" i="30" l="1"/>
  <c r="S52" i="30" s="1"/>
  <c r="S53" i="30" s="1"/>
  <c r="O95" i="30"/>
  <c r="O77" i="30"/>
  <c r="K28" i="30"/>
  <c r="H29" i="30"/>
  <c r="O27" i="30" s="1"/>
  <c r="R27" i="30" s="1"/>
  <c r="Q28" i="30" s="1"/>
  <c r="R28" i="30" s="1"/>
  <c r="S27" i="30" s="1"/>
  <c r="V29" i="30" s="1"/>
  <c r="R77" i="30"/>
  <c r="S76" i="30"/>
  <c r="S77" i="30" s="1"/>
  <c r="V75" i="30" l="1"/>
  <c r="R95" i="30"/>
  <c r="R53" i="30"/>
  <c r="K20" i="30"/>
  <c r="J21" i="30"/>
  <c r="J23" i="30"/>
  <c r="S95" i="30"/>
  <c r="V76" i="30"/>
  <c r="K23" i="30" l="1"/>
  <c r="E4" i="30"/>
  <c r="I6" i="30" s="1"/>
  <c r="K21" i="30"/>
  <c r="J24" i="30"/>
  <c r="K24" i="30" s="1"/>
  <c r="D45" i="11" l="1"/>
  <c r="G62" i="11"/>
  <c r="L62" i="11"/>
  <c r="K62" i="11"/>
  <c r="J62" i="11"/>
  <c r="M61" i="11"/>
  <c r="M62" i="11" s="1"/>
  <c r="E57" i="11"/>
  <c r="D51" i="11"/>
  <c r="E51" i="11" s="1"/>
  <c r="D49" i="11"/>
  <c r="E49" i="11" s="1"/>
  <c r="D47" i="11"/>
  <c r="E47" i="11" s="1"/>
  <c r="E45" i="11"/>
  <c r="D43" i="11"/>
  <c r="E43" i="11" s="1"/>
  <c r="D41" i="11"/>
  <c r="E41" i="11" s="1"/>
  <c r="D39" i="11"/>
  <c r="E39" i="11" s="1"/>
  <c r="C53" i="11"/>
  <c r="B39" i="11"/>
  <c r="Q120" i="11"/>
  <c r="P120" i="11"/>
  <c r="O120" i="11"/>
  <c r="N120" i="11"/>
  <c r="Q114" i="11"/>
  <c r="P114" i="11"/>
  <c r="O114" i="11"/>
  <c r="N114" i="11"/>
  <c r="I104" i="11"/>
  <c r="I101" i="11"/>
  <c r="I102" i="11" s="1"/>
  <c r="H101" i="11"/>
  <c r="H102" i="11" s="1"/>
  <c r="I100" i="11"/>
  <c r="H99" i="11"/>
  <c r="J99" i="11" s="1"/>
  <c r="J100" i="11" s="1"/>
  <c r="H98" i="11"/>
  <c r="H89" i="11"/>
  <c r="H88" i="11"/>
  <c r="O82" i="11"/>
  <c r="O83" i="11" s="1"/>
  <c r="M82" i="11"/>
  <c r="I82" i="11" s="1"/>
  <c r="I83" i="11" s="1"/>
  <c r="K82" i="11"/>
  <c r="K83" i="11" s="1"/>
  <c r="O81" i="11"/>
  <c r="M81" i="11"/>
  <c r="K80" i="11"/>
  <c r="K81" i="11" s="1"/>
  <c r="I80" i="11"/>
  <c r="I81" i="11" s="1"/>
  <c r="P79" i="11"/>
  <c r="O79" i="11"/>
  <c r="M79" i="11"/>
  <c r="Q78" i="11"/>
  <c r="I105" i="11" s="1"/>
  <c r="I106" i="11" s="1"/>
  <c r="K78" i="11"/>
  <c r="K79" i="11" s="1"/>
  <c r="I78" i="11"/>
  <c r="I79" i="11" s="1"/>
  <c r="M77" i="11"/>
  <c r="P76" i="11"/>
  <c r="P77" i="11" s="1"/>
  <c r="O76" i="11"/>
  <c r="O77" i="11" s="1"/>
  <c r="K76" i="11"/>
  <c r="K77" i="11" s="1"/>
  <c r="I76" i="11"/>
  <c r="I77" i="11" s="1"/>
  <c r="O72" i="11"/>
  <c r="P71" i="11"/>
  <c r="P72" i="11" s="1"/>
  <c r="H69" i="11"/>
  <c r="L68" i="11"/>
  <c r="K68" i="11"/>
  <c r="J68" i="11"/>
  <c r="G68" i="11"/>
  <c r="B51" i="11" s="1"/>
  <c r="M67" i="11"/>
  <c r="M68" i="11" s="1"/>
  <c r="L66" i="11"/>
  <c r="K66" i="11"/>
  <c r="J66" i="11"/>
  <c r="G66" i="11"/>
  <c r="B49" i="11" s="1"/>
  <c r="M65" i="11"/>
  <c r="N65" i="11" s="1"/>
  <c r="L64" i="11"/>
  <c r="K64" i="11"/>
  <c r="J64" i="11"/>
  <c r="G64" i="11"/>
  <c r="B47" i="11" s="1"/>
  <c r="M63" i="11"/>
  <c r="N63" i="11" s="1"/>
  <c r="L60" i="11"/>
  <c r="K60" i="11"/>
  <c r="J60" i="11"/>
  <c r="G60" i="11"/>
  <c r="B45" i="11" s="1"/>
  <c r="M59" i="11"/>
  <c r="M60" i="11" s="1"/>
  <c r="L58" i="11"/>
  <c r="K58" i="11"/>
  <c r="J58" i="11"/>
  <c r="G58" i="11"/>
  <c r="B43" i="11" s="1"/>
  <c r="M57" i="11"/>
  <c r="N57" i="11" s="1"/>
  <c r="L56" i="11"/>
  <c r="K56" i="11"/>
  <c r="J56" i="11"/>
  <c r="G56" i="11"/>
  <c r="B41" i="11" s="1"/>
  <c r="M55" i="11"/>
  <c r="N55" i="11" s="1"/>
  <c r="L54" i="11"/>
  <c r="K54" i="11"/>
  <c r="J54" i="11"/>
  <c r="M53" i="11"/>
  <c r="N53" i="11" s="1"/>
  <c r="H51" i="11"/>
  <c r="L49" i="11"/>
  <c r="L50" i="11" s="1"/>
  <c r="K49" i="11"/>
  <c r="K50" i="11" s="1"/>
  <c r="J49" i="11"/>
  <c r="G50" i="11" s="1"/>
  <c r="O34" i="11" s="1"/>
  <c r="L47" i="11"/>
  <c r="L48" i="11" s="1"/>
  <c r="K47" i="11"/>
  <c r="K48" i="11" s="1"/>
  <c r="J47" i="11"/>
  <c r="H45" i="11"/>
  <c r="S29" i="11" s="1"/>
  <c r="L43" i="11"/>
  <c r="L44" i="11" s="1"/>
  <c r="K43" i="11"/>
  <c r="K44" i="11" s="1"/>
  <c r="J43" i="11"/>
  <c r="J44" i="11" s="1"/>
  <c r="J42" i="11"/>
  <c r="G42" i="11"/>
  <c r="L41" i="11"/>
  <c r="L42" i="11" s="1"/>
  <c r="K41" i="11"/>
  <c r="J40" i="11"/>
  <c r="V39" i="11"/>
  <c r="L39" i="11"/>
  <c r="L40" i="11" s="1"/>
  <c r="K39" i="11"/>
  <c r="P34" i="11"/>
  <c r="P33" i="11"/>
  <c r="T31" i="11" s="1"/>
  <c r="K29" i="11"/>
  <c r="J28" i="11"/>
  <c r="Q23" i="11"/>
  <c r="Q22" i="11"/>
  <c r="Q20" i="11"/>
  <c r="L14" i="11"/>
  <c r="K14" i="11"/>
  <c r="J13" i="11"/>
  <c r="L13" i="11" s="1"/>
  <c r="L12" i="11"/>
  <c r="K12" i="11"/>
  <c r="L11" i="11"/>
  <c r="K11" i="11"/>
  <c r="L10" i="11"/>
  <c r="K10" i="11"/>
  <c r="L9" i="11"/>
  <c r="K9" i="11"/>
  <c r="L8" i="11"/>
  <c r="K8" i="11"/>
  <c r="M41" i="11" l="1"/>
  <c r="K51" i="11"/>
  <c r="M39" i="11"/>
  <c r="M40" i="11" s="1"/>
  <c r="L45" i="11"/>
  <c r="L46" i="11" s="1"/>
  <c r="J16" i="11"/>
  <c r="L16" i="11" s="1"/>
  <c r="M56" i="11"/>
  <c r="K16" i="11"/>
  <c r="M83" i="11"/>
  <c r="J17" i="11"/>
  <c r="N61" i="11"/>
  <c r="N62" i="11" s="1"/>
  <c r="G61" i="11" s="1"/>
  <c r="K13" i="11"/>
  <c r="K40" i="11"/>
  <c r="M66" i="11"/>
  <c r="M58" i="11"/>
  <c r="H100" i="11"/>
  <c r="Q24" i="11"/>
  <c r="J22" i="11"/>
  <c r="K22" i="11" s="1"/>
  <c r="N67" i="11"/>
  <c r="N68" i="11" s="1"/>
  <c r="G67" i="11" s="1"/>
  <c r="N59" i="11"/>
  <c r="Q79" i="11"/>
  <c r="M47" i="11"/>
  <c r="N47" i="11" s="1"/>
  <c r="Q33" i="11" s="1"/>
  <c r="R33" i="11" s="1"/>
  <c r="L51" i="11"/>
  <c r="L52" i="11" s="1"/>
  <c r="J50" i="11"/>
  <c r="Q25" i="11"/>
  <c r="R25" i="11" s="1"/>
  <c r="P80" i="11" s="1"/>
  <c r="Q80" i="11" s="1"/>
  <c r="J69" i="11"/>
  <c r="J70" i="11" s="1"/>
  <c r="Q76" i="11"/>
  <c r="Q77" i="11" s="1"/>
  <c r="K69" i="11"/>
  <c r="K70" i="11" s="1"/>
  <c r="L69" i="11"/>
  <c r="L70" i="11" s="1"/>
  <c r="Q19" i="11"/>
  <c r="Q21" i="11" s="1"/>
  <c r="M43" i="11"/>
  <c r="M44" i="11" s="1"/>
  <c r="H71" i="11"/>
  <c r="Q11" i="11" s="1"/>
  <c r="N54" i="11"/>
  <c r="G53" i="11" s="1"/>
  <c r="J45" i="11"/>
  <c r="K52" i="11"/>
  <c r="N64" i="11"/>
  <c r="G63" i="11" s="1"/>
  <c r="N56" i="11"/>
  <c r="G55" i="11" s="1"/>
  <c r="N41" i="11"/>
  <c r="M42" i="11"/>
  <c r="N66" i="11"/>
  <c r="G65" i="11" s="1"/>
  <c r="N58" i="11"/>
  <c r="G57" i="11" s="1"/>
  <c r="K42" i="11"/>
  <c r="J101" i="11"/>
  <c r="J102" i="11" s="1"/>
  <c r="N39" i="11"/>
  <c r="G48" i="11"/>
  <c r="O33" i="11" s="1"/>
  <c r="M49" i="11"/>
  <c r="J48" i="11"/>
  <c r="J51" i="11" s="1"/>
  <c r="N60" i="11"/>
  <c r="G59" i="11" s="1"/>
  <c r="G44" i="11"/>
  <c r="M54" i="11"/>
  <c r="M64" i="11"/>
  <c r="F28" i="10"/>
  <c r="L69" i="10"/>
  <c r="M48" i="11" l="1"/>
  <c r="K45" i="11"/>
  <c r="N43" i="11"/>
  <c r="M69" i="11"/>
  <c r="M70" i="11" s="1"/>
  <c r="P81" i="11"/>
  <c r="Q26" i="11"/>
  <c r="N48" i="11"/>
  <c r="G47" i="11" s="1"/>
  <c r="M51" i="11"/>
  <c r="N51" i="11" s="1"/>
  <c r="P82" i="11"/>
  <c r="L71" i="11"/>
  <c r="L72" i="11" s="1"/>
  <c r="H30" i="11"/>
  <c r="L17" i="11"/>
  <c r="Q18" i="11"/>
  <c r="R18" i="11" s="1"/>
  <c r="P32" i="11"/>
  <c r="K17" i="11"/>
  <c r="I41" i="11"/>
  <c r="I47" i="11"/>
  <c r="D53" i="11"/>
  <c r="E53" i="11" s="1"/>
  <c r="I61" i="11"/>
  <c r="Q16" i="11"/>
  <c r="R16" i="11" s="1"/>
  <c r="R17" i="11" s="1"/>
  <c r="O6" i="11"/>
  <c r="Q17" i="11"/>
  <c r="O103" i="11"/>
  <c r="R19" i="11"/>
  <c r="R26" i="11" s="1"/>
  <c r="H34" i="11" s="1"/>
  <c r="I53" i="11"/>
  <c r="R4" i="11"/>
  <c r="Q6" i="11"/>
  <c r="I39" i="11"/>
  <c r="P11" i="11"/>
  <c r="I43" i="11"/>
  <c r="I63" i="11"/>
  <c r="H33" i="11"/>
  <c r="P28" i="11"/>
  <c r="S28" i="11" s="1"/>
  <c r="O4" i="11"/>
  <c r="P15" i="11"/>
  <c r="I57" i="11"/>
  <c r="I49" i="11"/>
  <c r="I67" i="11"/>
  <c r="I55" i="11"/>
  <c r="P16" i="11"/>
  <c r="I65" i="11"/>
  <c r="I59" i="11"/>
  <c r="K71" i="11"/>
  <c r="K46" i="11"/>
  <c r="M45" i="11"/>
  <c r="M46" i="11" s="1"/>
  <c r="J52" i="11"/>
  <c r="J71" i="11"/>
  <c r="J46" i="11"/>
  <c r="N40" i="11"/>
  <c r="G39" i="11" s="1"/>
  <c r="N44" i="11"/>
  <c r="G43" i="11" s="1"/>
  <c r="N42" i="11"/>
  <c r="G41" i="11" s="1"/>
  <c r="M50" i="11"/>
  <c r="N49" i="11"/>
  <c r="Q81" i="11"/>
  <c r="H105" i="11"/>
  <c r="M23" i="10"/>
  <c r="M22" i="10"/>
  <c r="M20" i="10"/>
  <c r="N69" i="11" l="1"/>
  <c r="M88" i="11"/>
  <c r="M52" i="11"/>
  <c r="I88" i="11"/>
  <c r="N45" i="11"/>
  <c r="P83" i="11"/>
  <c r="Q82" i="11"/>
  <c r="Q83" i="11" s="1"/>
  <c r="I45" i="11"/>
  <c r="I69" i="11"/>
  <c r="Q71" i="11"/>
  <c r="R71" i="11" s="1"/>
  <c r="R72" i="11" s="1"/>
  <c r="L34" i="11"/>
  <c r="I51" i="11"/>
  <c r="P61" i="11"/>
  <c r="P62" i="11" s="1"/>
  <c r="O61" i="11"/>
  <c r="N70" i="11"/>
  <c r="O53" i="11"/>
  <c r="P47" i="11"/>
  <c r="O63" i="11"/>
  <c r="O47" i="11"/>
  <c r="P59" i="11"/>
  <c r="P60" i="11" s="1"/>
  <c r="P41" i="11"/>
  <c r="P42" i="11" s="1"/>
  <c r="O59" i="11"/>
  <c r="O41" i="11"/>
  <c r="O42" i="11" s="1"/>
  <c r="O49" i="11"/>
  <c r="O50" i="11" s="1"/>
  <c r="J72" i="11"/>
  <c r="P67" i="11"/>
  <c r="P68" i="11" s="1"/>
  <c r="P57" i="11"/>
  <c r="P58" i="11" s="1"/>
  <c r="O67" i="11"/>
  <c r="O57" i="11"/>
  <c r="P49" i="11"/>
  <c r="P50" i="11" s="1"/>
  <c r="P39" i="11"/>
  <c r="O39" i="11"/>
  <c r="P65" i="11"/>
  <c r="P66" i="11" s="1"/>
  <c r="P55" i="11"/>
  <c r="P56" i="11" s="1"/>
  <c r="O65" i="11"/>
  <c r="O55" i="11"/>
  <c r="O56" i="11" s="1"/>
  <c r="P43" i="11"/>
  <c r="P44" i="11" s="1"/>
  <c r="O43" i="11"/>
  <c r="O44" i="11" s="1"/>
  <c r="P53" i="11"/>
  <c r="P63" i="11"/>
  <c r="P64" i="11" s="1"/>
  <c r="H106" i="11"/>
  <c r="J105" i="11"/>
  <c r="J106" i="11" s="1"/>
  <c r="J23" i="11"/>
  <c r="N46" i="11"/>
  <c r="N88" i="11"/>
  <c r="N52" i="11"/>
  <c r="Q57" i="11"/>
  <c r="Q58" i="11" s="1"/>
  <c r="Q49" i="11"/>
  <c r="Q50" i="11" s="1"/>
  <c r="N50" i="11"/>
  <c r="G49" i="11" s="1"/>
  <c r="Q34" i="11"/>
  <c r="R34" i="11" s="1"/>
  <c r="S33" i="11" s="1"/>
  <c r="K72" i="11"/>
  <c r="M71" i="11"/>
  <c r="M72" i="11" s="1"/>
  <c r="H41" i="10"/>
  <c r="H39" i="10"/>
  <c r="G41" i="10"/>
  <c r="G39" i="10"/>
  <c r="R39" i="10"/>
  <c r="L34" i="10"/>
  <c r="L33" i="10"/>
  <c r="Q39" i="11" l="1"/>
  <c r="H103" i="11"/>
  <c r="J20" i="11"/>
  <c r="J26" i="11" s="1"/>
  <c r="K26" i="11" s="1"/>
  <c r="Q55" i="11"/>
  <c r="Q56" i="11" s="1"/>
  <c r="Q43" i="11"/>
  <c r="Q44" i="11" s="1"/>
  <c r="Q59" i="11"/>
  <c r="Q60" i="11" s="1"/>
  <c r="Q72" i="11"/>
  <c r="Q67" i="11"/>
  <c r="Q68" i="11" s="1"/>
  <c r="Q61" i="11"/>
  <c r="Q62" i="11" s="1"/>
  <c r="Q47" i="11"/>
  <c r="Q48" i="11" s="1"/>
  <c r="Q51" i="11" s="1"/>
  <c r="Q63" i="11"/>
  <c r="Q64" i="11" s="1"/>
  <c r="Q53" i="11"/>
  <c r="Q54" i="11" s="1"/>
  <c r="Q41" i="11"/>
  <c r="Q42" i="11" s="1"/>
  <c r="I71" i="11"/>
  <c r="Q65" i="11"/>
  <c r="Q66" i="11" s="1"/>
  <c r="O62" i="11"/>
  <c r="R59" i="11"/>
  <c r="O60" i="11"/>
  <c r="K23" i="11"/>
  <c r="J24" i="11"/>
  <c r="K24" i="11" s="1"/>
  <c r="Q40" i="11"/>
  <c r="O66" i="11"/>
  <c r="R67" i="11"/>
  <c r="O68" i="11"/>
  <c r="N71" i="11"/>
  <c r="O48" i="11"/>
  <c r="O51" i="11" s="1"/>
  <c r="P54" i="11"/>
  <c r="P69" i="11" s="1"/>
  <c r="P70" i="11" s="1"/>
  <c r="P48" i="11"/>
  <c r="P51" i="11" s="1"/>
  <c r="O40" i="11"/>
  <c r="O45" i="11" s="1"/>
  <c r="R39" i="11"/>
  <c r="O54" i="11"/>
  <c r="R57" i="11"/>
  <c r="O58" i="11"/>
  <c r="O64" i="11"/>
  <c r="P40" i="11"/>
  <c r="P45" i="11" s="1"/>
  <c r="P46" i="11" s="1"/>
  <c r="K104" i="11"/>
  <c r="H104" i="11"/>
  <c r="J103" i="11"/>
  <c r="J104" i="11" s="1"/>
  <c r="H107" i="11"/>
  <c r="P31" i="10"/>
  <c r="H49" i="10"/>
  <c r="G49" i="10"/>
  <c r="F49" i="10"/>
  <c r="G54" i="10"/>
  <c r="D51" i="10"/>
  <c r="D45" i="10"/>
  <c r="O29" i="10" s="1"/>
  <c r="H47" i="10"/>
  <c r="G47" i="10"/>
  <c r="G48" i="10" s="1"/>
  <c r="F47" i="10"/>
  <c r="F48" i="10" s="1"/>
  <c r="H43" i="10"/>
  <c r="H44" i="10" s="1"/>
  <c r="G43" i="10"/>
  <c r="G44" i="10" s="1"/>
  <c r="F43" i="10"/>
  <c r="C44" i="10" s="1"/>
  <c r="K20" i="11" l="1"/>
  <c r="R53" i="11"/>
  <c r="R63" i="11"/>
  <c r="R65" i="11"/>
  <c r="R66" i="11" s="1"/>
  <c r="Q45" i="11"/>
  <c r="Q46" i="11" s="1"/>
  <c r="Q69" i="11"/>
  <c r="Q70" i="11" s="1"/>
  <c r="M19" i="10"/>
  <c r="R61" i="11"/>
  <c r="O69" i="11"/>
  <c r="R69" i="11" s="1"/>
  <c r="R62" i="11"/>
  <c r="S61" i="11"/>
  <c r="S62" i="11" s="1"/>
  <c r="Q52" i="11"/>
  <c r="Q88" i="11"/>
  <c r="P52" i="11"/>
  <c r="P88" i="11"/>
  <c r="R41" i="11"/>
  <c r="R58" i="11"/>
  <c r="R47" i="11"/>
  <c r="S57" i="11"/>
  <c r="S58" i="11" s="1"/>
  <c r="R54" i="11"/>
  <c r="S53" i="11"/>
  <c r="S54" i="11" s="1"/>
  <c r="S67" i="11"/>
  <c r="S68" i="11" s="1"/>
  <c r="R55" i="11"/>
  <c r="R68" i="11"/>
  <c r="R40" i="11"/>
  <c r="S39" i="11"/>
  <c r="S40" i="11" s="1"/>
  <c r="S65" i="11"/>
  <c r="S66" i="11" s="1"/>
  <c r="R45" i="11"/>
  <c r="O46" i="11"/>
  <c r="N72" i="11"/>
  <c r="S71" i="11"/>
  <c r="S72" i="11" s="1"/>
  <c r="I97" i="11"/>
  <c r="J19" i="11"/>
  <c r="H108" i="11"/>
  <c r="R51" i="11"/>
  <c r="O52" i="11"/>
  <c r="R64" i="11"/>
  <c r="S63" i="11"/>
  <c r="S64" i="11" s="1"/>
  <c r="R60" i="11"/>
  <c r="R49" i="11"/>
  <c r="S59" i="11"/>
  <c r="S60" i="11" s="1"/>
  <c r="C48" i="10"/>
  <c r="K33" i="10" s="1"/>
  <c r="I47" i="10"/>
  <c r="I48" i="10" s="1"/>
  <c r="J47" i="10"/>
  <c r="M33" i="10" s="1"/>
  <c r="N33" i="10" s="1"/>
  <c r="H48" i="10"/>
  <c r="I43" i="10"/>
  <c r="J43" i="10" s="1"/>
  <c r="F44" i="10"/>
  <c r="H62" i="10"/>
  <c r="G62" i="10"/>
  <c r="F62" i="10"/>
  <c r="C62" i="10"/>
  <c r="I61" i="10"/>
  <c r="J61" i="10" s="1"/>
  <c r="I44" i="10" l="1"/>
  <c r="O70" i="11"/>
  <c r="O88" i="11"/>
  <c r="R43" i="11"/>
  <c r="R56" i="11"/>
  <c r="S55" i="11"/>
  <c r="S56" i="11" s="1"/>
  <c r="J21" i="11"/>
  <c r="J25" i="11"/>
  <c r="L19" i="11" s="1"/>
  <c r="K19" i="11"/>
  <c r="R52" i="11"/>
  <c r="R88" i="11"/>
  <c r="S51" i="11"/>
  <c r="R42" i="11"/>
  <c r="S41" i="11"/>
  <c r="S42" i="11" s="1"/>
  <c r="R70" i="11"/>
  <c r="S69" i="11"/>
  <c r="S70" i="11" s="1"/>
  <c r="I98" i="11"/>
  <c r="J97" i="11"/>
  <c r="J98" i="11" s="1"/>
  <c r="I107" i="11"/>
  <c r="R46" i="11"/>
  <c r="S45" i="11"/>
  <c r="S46" i="11" s="1"/>
  <c r="R50" i="11"/>
  <c r="S49" i="11"/>
  <c r="S50" i="11" s="1"/>
  <c r="R48" i="11"/>
  <c r="S47" i="11"/>
  <c r="S48" i="11" s="1"/>
  <c r="J48" i="10"/>
  <c r="C47" i="10" s="1"/>
  <c r="J44" i="10"/>
  <c r="C43" i="10" s="1"/>
  <c r="J62" i="10"/>
  <c r="C61" i="10" s="1"/>
  <c r="I62" i="10"/>
  <c r="D97" i="10"/>
  <c r="D99" i="10"/>
  <c r="E99" i="10"/>
  <c r="H60" i="10"/>
  <c r="G60" i="10"/>
  <c r="F60" i="10"/>
  <c r="C60" i="10"/>
  <c r="I59" i="10"/>
  <c r="J59" i="10" s="1"/>
  <c r="J60" i="10" s="1"/>
  <c r="C59" i="10" s="1"/>
  <c r="H56" i="10"/>
  <c r="G56" i="10"/>
  <c r="F56" i="10"/>
  <c r="C56" i="10"/>
  <c r="I55" i="10"/>
  <c r="J55" i="10" s="1"/>
  <c r="J56" i="10" s="1"/>
  <c r="C55" i="10" s="1"/>
  <c r="H54" i="10"/>
  <c r="F54" i="10"/>
  <c r="I53" i="10"/>
  <c r="J53" i="10" s="1"/>
  <c r="F50" i="10"/>
  <c r="F51" i="10" s="1"/>
  <c r="F13" i="10"/>
  <c r="G14" i="10"/>
  <c r="H14" i="10"/>
  <c r="S52" i="11" l="1"/>
  <c r="S88" i="11"/>
  <c r="K21" i="11"/>
  <c r="J27" i="11"/>
  <c r="H31" i="11"/>
  <c r="L25" i="11"/>
  <c r="K25" i="11"/>
  <c r="L22" i="11"/>
  <c r="I108" i="11"/>
  <c r="J107" i="11"/>
  <c r="J108" i="11" s="1"/>
  <c r="R44" i="11"/>
  <c r="S43" i="11"/>
  <c r="S44" i="11" s="1"/>
  <c r="H50" i="10"/>
  <c r="H51" i="10"/>
  <c r="G50" i="10"/>
  <c r="G51" i="10" s="1"/>
  <c r="D67" i="10"/>
  <c r="D69" i="10" s="1"/>
  <c r="L28" i="10" s="1"/>
  <c r="O28" i="10" s="1"/>
  <c r="I54" i="10"/>
  <c r="I60" i="10"/>
  <c r="I56" i="10"/>
  <c r="J54" i="10"/>
  <c r="C53" i="10" s="1"/>
  <c r="I49" i="10"/>
  <c r="C50" i="10"/>
  <c r="K34" i="10" s="1"/>
  <c r="K27" i="11" l="1"/>
  <c r="D59" i="11"/>
  <c r="E59" i="11" s="1"/>
  <c r="H32" i="11"/>
  <c r="O31" i="11" s="1"/>
  <c r="R31" i="11" s="1"/>
  <c r="Q32" i="11" s="1"/>
  <c r="R32" i="11" s="1"/>
  <c r="S31" i="11" s="1"/>
  <c r="K31" i="11"/>
  <c r="J49" i="10"/>
  <c r="M34" i="10" s="1"/>
  <c r="N34" i="10" s="1"/>
  <c r="O33" i="10" s="1"/>
  <c r="I50" i="10"/>
  <c r="J50" i="10" l="1"/>
  <c r="C49" i="10" s="1"/>
  <c r="F16" i="10" l="1"/>
  <c r="G13" i="10"/>
  <c r="H13" i="10"/>
  <c r="G12" i="10"/>
  <c r="H12" i="10"/>
  <c r="H64" i="10" l="1"/>
  <c r="G64" i="10"/>
  <c r="F64" i="10"/>
  <c r="C64" i="10"/>
  <c r="I63" i="10"/>
  <c r="I64" i="10" s="1"/>
  <c r="J63" i="10" l="1"/>
  <c r="J64" i="10" s="1"/>
  <c r="C63" i="10" s="1"/>
  <c r="G11" i="10" l="1"/>
  <c r="G78" i="10" l="1"/>
  <c r="I80" i="10"/>
  <c r="D29" i="10" s="1"/>
  <c r="D86" i="10" l="1"/>
  <c r="M118" i="10"/>
  <c r="L118" i="10"/>
  <c r="K118" i="10"/>
  <c r="J118" i="10"/>
  <c r="M112" i="10"/>
  <c r="L112" i="10"/>
  <c r="K112" i="10"/>
  <c r="J112" i="10"/>
  <c r="I57" i="10" l="1"/>
  <c r="I39" i="10"/>
  <c r="I40" i="10" s="1"/>
  <c r="F58" i="10"/>
  <c r="G58" i="10"/>
  <c r="H58" i="10"/>
  <c r="F40" i="10"/>
  <c r="G40" i="10"/>
  <c r="H40" i="10"/>
  <c r="I58" i="10" l="1"/>
  <c r="J57" i="10"/>
  <c r="D87" i="10" l="1"/>
  <c r="I81" i="10"/>
  <c r="G80" i="10"/>
  <c r="G81" i="10" s="1"/>
  <c r="E80" i="10"/>
  <c r="E81" i="10" s="1"/>
  <c r="I79" i="10"/>
  <c r="G79" i="10"/>
  <c r="E78" i="10"/>
  <c r="E79" i="10" s="1"/>
  <c r="L77" i="10"/>
  <c r="K77" i="10"/>
  <c r="I77" i="10"/>
  <c r="M76" i="10"/>
  <c r="F22" i="10" s="1"/>
  <c r="G76" i="10"/>
  <c r="G77" i="10" s="1"/>
  <c r="E76" i="10"/>
  <c r="E77" i="10" s="1"/>
  <c r="I75" i="10"/>
  <c r="L74" i="10"/>
  <c r="L75" i="10" s="1"/>
  <c r="K74" i="10"/>
  <c r="K75" i="10" s="1"/>
  <c r="G74" i="10"/>
  <c r="G75" i="10" s="1"/>
  <c r="E74" i="10"/>
  <c r="E75" i="10" s="1"/>
  <c r="H66" i="10"/>
  <c r="G66" i="10"/>
  <c r="G67" i="10" s="1"/>
  <c r="F66" i="10"/>
  <c r="F67" i="10" s="1"/>
  <c r="C66" i="10"/>
  <c r="I65" i="10"/>
  <c r="J65" i="10" s="1"/>
  <c r="C58" i="10"/>
  <c r="H42" i="10"/>
  <c r="H45" i="10" s="1"/>
  <c r="G42" i="10"/>
  <c r="G45" i="10" s="1"/>
  <c r="F42" i="10"/>
  <c r="F45" i="10" s="1"/>
  <c r="C42" i="10"/>
  <c r="I41" i="10"/>
  <c r="J39" i="10"/>
  <c r="J40" i="10" s="1"/>
  <c r="E102" i="10"/>
  <c r="E100" i="10"/>
  <c r="E98" i="10"/>
  <c r="D98" i="10"/>
  <c r="F97" i="10"/>
  <c r="F98" i="10" s="1"/>
  <c r="D96" i="10"/>
  <c r="H11" i="10"/>
  <c r="F69" i="10" l="1"/>
  <c r="G69" i="10"/>
  <c r="I66" i="10"/>
  <c r="H67" i="10"/>
  <c r="J58" i="10"/>
  <c r="C57" i="10" s="1"/>
  <c r="F68" i="10"/>
  <c r="G68" i="10"/>
  <c r="I42" i="10"/>
  <c r="J41" i="10"/>
  <c r="M74" i="10"/>
  <c r="M75" i="10" s="1"/>
  <c r="H8" i="10"/>
  <c r="M77" i="10"/>
  <c r="E103" i="10"/>
  <c r="E104" i="10" s="1"/>
  <c r="M21" i="10"/>
  <c r="F99" i="10"/>
  <c r="F100" i="10" s="1"/>
  <c r="K80" i="10"/>
  <c r="H9" i="10"/>
  <c r="M24" i="10"/>
  <c r="C39" i="10"/>
  <c r="F17" i="10"/>
  <c r="L32" i="10" s="1"/>
  <c r="G9" i="10"/>
  <c r="H10" i="10"/>
  <c r="D100" i="10"/>
  <c r="K79" i="10"/>
  <c r="G10" i="10"/>
  <c r="K70" i="10"/>
  <c r="G8" i="10"/>
  <c r="H68" i="10" l="1"/>
  <c r="H69" i="10"/>
  <c r="I67" i="10"/>
  <c r="I68" i="10" s="1"/>
  <c r="G29" i="10"/>
  <c r="K81" i="10"/>
  <c r="M25" i="10"/>
  <c r="N25" i="10" s="1"/>
  <c r="L78" i="10" s="1"/>
  <c r="M18" i="10"/>
  <c r="N18" i="10" s="1"/>
  <c r="H17" i="10"/>
  <c r="G17" i="10"/>
  <c r="D30" i="10"/>
  <c r="J42" i="10"/>
  <c r="C41" i="10" s="1"/>
  <c r="J66" i="10"/>
  <c r="C65" i="10" s="1"/>
  <c r="H16" i="10"/>
  <c r="G16" i="10"/>
  <c r="J67" i="10" l="1"/>
  <c r="J68" i="10" s="1"/>
  <c r="G22" i="10"/>
  <c r="M26" i="10"/>
  <c r="L70" i="10"/>
  <c r="L80" i="10" l="1"/>
  <c r="L79" i="10"/>
  <c r="M78" i="10"/>
  <c r="L81" i="10" l="1"/>
  <c r="M80" i="10"/>
  <c r="M81" i="10" s="1"/>
  <c r="M79" i="10"/>
  <c r="D103" i="10"/>
  <c r="D104" i="10" l="1"/>
  <c r="F23" i="10"/>
  <c r="F24" i="10" s="1"/>
  <c r="F103" i="10"/>
  <c r="F104" i="10" s="1"/>
  <c r="G23" i="10" l="1"/>
  <c r="G24" i="10" l="1"/>
  <c r="E63" i="10" l="1"/>
  <c r="E53" i="10"/>
  <c r="L11" i="10"/>
  <c r="E47" i="10"/>
  <c r="E39" i="10"/>
  <c r="N19" i="10"/>
  <c r="E57" i="10"/>
  <c r="L16" i="10"/>
  <c r="M11" i="10"/>
  <c r="E43" i="10"/>
  <c r="K101" i="10"/>
  <c r="E61" i="10"/>
  <c r="E59" i="10"/>
  <c r="L15" i="10"/>
  <c r="K6" i="10"/>
  <c r="K4" i="10"/>
  <c r="E41" i="10"/>
  <c r="D33" i="10"/>
  <c r="E65" i="10"/>
  <c r="M6" i="10"/>
  <c r="N4" i="10"/>
  <c r="E49" i="10"/>
  <c r="E55" i="10"/>
  <c r="M16" i="10"/>
  <c r="N16" i="10" s="1"/>
  <c r="N17" i="10" s="1"/>
  <c r="M17" i="10"/>
  <c r="E45" i="10" l="1"/>
  <c r="E51" i="10"/>
  <c r="M69" i="10"/>
  <c r="F20" i="10" s="1"/>
  <c r="H34" i="10"/>
  <c r="N26" i="10"/>
  <c r="D34" i="10" s="1"/>
  <c r="E86" i="10"/>
  <c r="E67" i="10"/>
  <c r="E69" i="10" l="1"/>
  <c r="H46" i="10"/>
  <c r="G46" i="10"/>
  <c r="I45" i="10"/>
  <c r="I46" i="10" s="1"/>
  <c r="F46" i="10"/>
  <c r="D101" i="10"/>
  <c r="N69" i="10"/>
  <c r="N70" i="10" s="1"/>
  <c r="M70" i="10"/>
  <c r="J45" i="10" l="1"/>
  <c r="F52" i="10"/>
  <c r="I51" i="10"/>
  <c r="G52" i="10"/>
  <c r="J46" i="10"/>
  <c r="G102" i="10"/>
  <c r="D102" i="10"/>
  <c r="F101" i="10"/>
  <c r="F102" i="10" s="1"/>
  <c r="D105" i="10"/>
  <c r="H70" i="10"/>
  <c r="H52" i="10"/>
  <c r="D106" i="10" l="1"/>
  <c r="I52" i="10"/>
  <c r="I86" i="10"/>
  <c r="L55" i="10"/>
  <c r="L56" i="10" s="1"/>
  <c r="L65" i="10"/>
  <c r="L66" i="10" s="1"/>
  <c r="K63" i="10"/>
  <c r="L59" i="10"/>
  <c r="L60" i="10" s="1"/>
  <c r="K59" i="10"/>
  <c r="K49" i="10"/>
  <c r="K50" i="10" s="1"/>
  <c r="L41" i="10"/>
  <c r="L42" i="10" s="1"/>
  <c r="K55" i="10"/>
  <c r="K56" i="10" s="1"/>
  <c r="K43" i="10"/>
  <c r="K44" i="10" s="1"/>
  <c r="L43" i="10"/>
  <c r="L44" i="10" s="1"/>
  <c r="K61" i="10"/>
  <c r="L57" i="10"/>
  <c r="L58" i="10" s="1"/>
  <c r="K53" i="10"/>
  <c r="K57" i="10"/>
  <c r="L53" i="10"/>
  <c r="L39" i="10"/>
  <c r="L63" i="10"/>
  <c r="L64" i="10" s="1"/>
  <c r="K47" i="10"/>
  <c r="L47" i="10"/>
  <c r="L49" i="10"/>
  <c r="L50" i="10" s="1"/>
  <c r="L61" i="10"/>
  <c r="L62" i="10" s="1"/>
  <c r="K65" i="10"/>
  <c r="K39" i="10"/>
  <c r="K41" i="10"/>
  <c r="K42" i="10" s="1"/>
  <c r="F70" i="10"/>
  <c r="M65" i="10"/>
  <c r="M66" i="10" s="1"/>
  <c r="M43" i="10"/>
  <c r="M44" i="10" s="1"/>
  <c r="M61" i="10"/>
  <c r="M62" i="10" s="1"/>
  <c r="M57" i="10"/>
  <c r="M58" i="10" s="1"/>
  <c r="M47" i="10"/>
  <c r="M41" i="10"/>
  <c r="M42" i="10" s="1"/>
  <c r="M53" i="10"/>
  <c r="M39" i="10"/>
  <c r="M55" i="10"/>
  <c r="M56" i="10" s="1"/>
  <c r="M63" i="10"/>
  <c r="M64" i="10" s="1"/>
  <c r="M59" i="10"/>
  <c r="M60" i="10" s="1"/>
  <c r="M49" i="10"/>
  <c r="M50" i="10" s="1"/>
  <c r="J51" i="10"/>
  <c r="F26" i="10"/>
  <c r="G26" i="10" s="1"/>
  <c r="G20" i="10"/>
  <c r="G70" i="10"/>
  <c r="I69" i="10"/>
  <c r="I70" i="10" l="1"/>
  <c r="J69" i="10"/>
  <c r="F19" i="10" s="1"/>
  <c r="K48" i="10"/>
  <c r="K51" i="10"/>
  <c r="L48" i="10"/>
  <c r="L51" i="10" s="1"/>
  <c r="M48" i="10"/>
  <c r="M51" i="10"/>
  <c r="N59" i="10"/>
  <c r="K60" i="10"/>
  <c r="N63" i="10"/>
  <c r="K64" i="10"/>
  <c r="K62" i="10"/>
  <c r="N61" i="10"/>
  <c r="M40" i="10"/>
  <c r="M45" i="10" s="1"/>
  <c r="L40" i="10"/>
  <c r="L45" i="10" s="1"/>
  <c r="M54" i="10"/>
  <c r="M67" i="10" s="1"/>
  <c r="M68" i="10" s="1"/>
  <c r="L54" i="10"/>
  <c r="L67" i="10" s="1"/>
  <c r="L68" i="10" s="1"/>
  <c r="N39" i="10"/>
  <c r="K40" i="10"/>
  <c r="K45" i="10" s="1"/>
  <c r="J52" i="10"/>
  <c r="J86" i="10"/>
  <c r="N65" i="10"/>
  <c r="K66" i="10"/>
  <c r="K58" i="10"/>
  <c r="N57" i="10"/>
  <c r="K54" i="10"/>
  <c r="N53" i="10"/>
  <c r="K67" i="10" l="1"/>
  <c r="K68" i="10" s="1"/>
  <c r="N54" i="10"/>
  <c r="O53" i="10"/>
  <c r="O54" i="10" s="1"/>
  <c r="O57" i="10"/>
  <c r="O58" i="10" s="1"/>
  <c r="N41" i="10"/>
  <c r="N47" i="10"/>
  <c r="N58" i="10"/>
  <c r="J70" i="10"/>
  <c r="O69" i="10"/>
  <c r="O70" i="10" s="1"/>
  <c r="E95" i="10"/>
  <c r="N66" i="10"/>
  <c r="N55" i="10"/>
  <c r="O65" i="10"/>
  <c r="O66" i="10" s="1"/>
  <c r="O61" i="10"/>
  <c r="O62" i="10" s="1"/>
  <c r="N62" i="10"/>
  <c r="N64" i="10"/>
  <c r="O63" i="10"/>
  <c r="O64" i="10" s="1"/>
  <c r="N40" i="10"/>
  <c r="O39" i="10"/>
  <c r="O40" i="10" s="1"/>
  <c r="K46" i="10"/>
  <c r="N49" i="10"/>
  <c r="N60" i="10"/>
  <c r="O59" i="10"/>
  <c r="O60" i="10" s="1"/>
  <c r="N67" i="10" l="1"/>
  <c r="E96" i="10"/>
  <c r="F95" i="10"/>
  <c r="F96" i="10" s="1"/>
  <c r="E105" i="10"/>
  <c r="O49" i="10"/>
  <c r="O50" i="10" s="1"/>
  <c r="N50" i="10"/>
  <c r="N43" i="10"/>
  <c r="N56" i="10"/>
  <c r="O55" i="10"/>
  <c r="O56" i="10" s="1"/>
  <c r="O47" i="10"/>
  <c r="O48" i="10" s="1"/>
  <c r="N48" i="10"/>
  <c r="N42" i="10"/>
  <c r="O41" i="10"/>
  <c r="O42" i="10" s="1"/>
  <c r="N68" i="10"/>
  <c r="O67" i="10"/>
  <c r="O68" i="10" s="1"/>
  <c r="K86" i="10"/>
  <c r="K52" i="10"/>
  <c r="N44" i="10" l="1"/>
  <c r="O43" i="10"/>
  <c r="O44" i="10" s="1"/>
  <c r="F25" i="10"/>
  <c r="H19" i="10" s="1"/>
  <c r="G19" i="10"/>
  <c r="F21" i="10"/>
  <c r="E106" i="10"/>
  <c r="F105" i="10"/>
  <c r="F106" i="10" s="1"/>
  <c r="G21" i="10" l="1"/>
  <c r="F27" i="10"/>
  <c r="G27" i="10" s="1"/>
  <c r="D31" i="10"/>
  <c r="G25" i="10"/>
  <c r="H25" i="10"/>
  <c r="H22" i="10"/>
  <c r="D32" i="10" l="1"/>
  <c r="K31" i="10" s="1"/>
  <c r="G31" i="10"/>
  <c r="N31" i="10" l="1"/>
  <c r="M32" i="10" s="1"/>
  <c r="N32" i="10" s="1"/>
  <c r="O31" i="10" s="1"/>
  <c r="M46" i="10" l="1"/>
  <c r="M52" i="10" l="1"/>
  <c r="M86" i="10"/>
  <c r="L46" i="10"/>
  <c r="N45" i="10"/>
  <c r="N46" i="10" l="1"/>
  <c r="O45" i="10"/>
  <c r="O46" i="10" s="1"/>
  <c r="L52" i="10"/>
  <c r="L86" i="10"/>
  <c r="N51" i="10"/>
  <c r="N86" i="10" l="1"/>
  <c r="N52" i="10"/>
  <c r="O51" i="10"/>
  <c r="O52" i="10" l="1"/>
  <c r="O86" i="10"/>
  <c r="K59" i="33" l="1"/>
  <c r="K92" i="33"/>
  <c r="M58" i="33"/>
  <c r="M59" i="33" s="1"/>
  <c r="K76" i="33"/>
  <c r="K77" i="33" s="1"/>
  <c r="K46" i="33"/>
  <c r="M46" i="33" s="1"/>
  <c r="K40" i="33"/>
  <c r="M40" i="33" s="1"/>
  <c r="N58" i="33" l="1"/>
  <c r="K41" i="33"/>
  <c r="N40" i="33"/>
  <c r="M41" i="33"/>
  <c r="N46" i="33"/>
  <c r="M47" i="33"/>
  <c r="U58" i="33"/>
  <c r="M76" i="33"/>
  <c r="K47" i="33"/>
  <c r="K52" i="33" s="1"/>
  <c r="S58" i="33" l="1"/>
  <c r="S59" i="33" s="1"/>
  <c r="N59" i="33"/>
  <c r="G58" i="33" s="1"/>
  <c r="M77" i="33"/>
  <c r="N76" i="33"/>
  <c r="K78" i="33"/>
  <c r="M52" i="33"/>
  <c r="K53" i="33"/>
  <c r="S46" i="33"/>
  <c r="S47" i="33" s="1"/>
  <c r="U46" i="33"/>
  <c r="N47" i="33"/>
  <c r="G46" i="33" s="1"/>
  <c r="Q30" i="33"/>
  <c r="R30" i="33" s="1"/>
  <c r="S29" i="33" s="1"/>
  <c r="S40" i="33"/>
  <c r="S41" i="33" s="1"/>
  <c r="N41" i="33"/>
  <c r="G40" i="33" s="1"/>
  <c r="M53" i="33" l="1"/>
  <c r="M95" i="33"/>
  <c r="N52" i="33"/>
  <c r="K79" i="33"/>
  <c r="M78" i="33"/>
  <c r="S76" i="33"/>
  <c r="S77" i="33" s="1"/>
  <c r="N77" i="33"/>
  <c r="M79" i="33" l="1"/>
  <c r="N78" i="33"/>
  <c r="J16" i="33" s="1"/>
  <c r="N95" i="33"/>
  <c r="V74" i="33"/>
  <c r="N53" i="33"/>
  <c r="S52" i="33"/>
  <c r="S78" i="33" l="1"/>
  <c r="S79" i="33" s="1"/>
  <c r="N79" i="33"/>
  <c r="S53" i="33"/>
  <c r="V76" i="33"/>
  <c r="S95" i="33"/>
  <c r="J18" i="33" l="1"/>
  <c r="K16" i="33"/>
  <c r="J22" i="33"/>
  <c r="H28" i="33" s="1"/>
  <c r="L22" i="33" l="1"/>
  <c r="L19" i="33"/>
  <c r="K22" i="33"/>
  <c r="L16" i="33"/>
  <c r="K18" i="33"/>
  <c r="H29" i="33" l="1"/>
  <c r="O27" i="33" s="1"/>
  <c r="R27" i="33" s="1"/>
  <c r="Q28" i="33" s="1"/>
  <c r="R28" i="33" s="1"/>
  <c r="S27" i="33" s="1"/>
  <c r="V29" i="33" s="1"/>
  <c r="K28" i="33"/>
  <c r="P88" i="33"/>
  <c r="Q89" i="33"/>
  <c r="J20" i="33"/>
  <c r="J21" i="33" s="1"/>
  <c r="P90" i="33"/>
  <c r="Q87" i="33"/>
  <c r="Q88" i="33" s="1"/>
  <c r="Q90" i="33" l="1"/>
  <c r="V85" i="33"/>
  <c r="V87" i="33"/>
  <c r="J23" i="33"/>
  <c r="K23" i="33" s="1"/>
  <c r="K20" i="33"/>
  <c r="J24" i="33"/>
  <c r="K24" i="33" s="1"/>
  <c r="K21" i="33"/>
  <c r="E4" i="33"/>
  <c r="I6" i="33" s="1"/>
  <c r="R83" i="35" l="1"/>
  <c r="R83" i="42"/>
  <c r="N83" i="35"/>
  <c r="S82" i="35"/>
  <c r="N82" i="42"/>
  <c r="V94" i="42" s="1"/>
  <c r="Y82" i="42" l="1"/>
  <c r="J17" i="42"/>
  <c r="J26" i="42" s="1"/>
  <c r="L17" i="42" s="1"/>
  <c r="J19" i="35"/>
  <c r="S82" i="42"/>
  <c r="S83" i="42" s="1"/>
  <c r="W19" i="37"/>
  <c r="W21" i="37" s="1"/>
  <c r="K17" i="35"/>
  <c r="K26" i="35"/>
  <c r="L20" i="35"/>
  <c r="L17" i="35"/>
  <c r="L26" i="35"/>
  <c r="H33" i="35"/>
  <c r="W25" i="37"/>
  <c r="W27" i="37" s="1"/>
  <c r="S83" i="35"/>
  <c r="N83" i="42"/>
  <c r="J19" i="42" l="1"/>
  <c r="K19" i="42" s="1"/>
  <c r="K17" i="42"/>
  <c r="K19" i="35"/>
  <c r="J28" i="35"/>
  <c r="K28" i="35" s="1"/>
  <c r="L20" i="42"/>
  <c r="H32" i="42"/>
  <c r="K26" i="42"/>
  <c r="L26" i="42"/>
  <c r="K32" i="35"/>
  <c r="R31" i="35"/>
  <c r="Q32" i="35" s="1"/>
  <c r="R32" i="35" s="1"/>
  <c r="S31" i="35" s="1"/>
  <c r="V31" i="35" s="1"/>
  <c r="R31" i="42" l="1"/>
  <c r="Q32" i="42" s="1"/>
  <c r="R32" i="42" s="1"/>
  <c r="S31" i="42" s="1"/>
  <c r="V33" i="42" s="1"/>
  <c r="H33" i="42"/>
  <c r="X32" i="42"/>
  <c r="V33" i="35"/>
  <c r="K32" i="42"/>
  <c r="O92" i="42" l="1"/>
  <c r="Q91" i="42"/>
  <c r="Q92" i="42" s="1"/>
  <c r="O90" i="42"/>
  <c r="Q89" i="42"/>
  <c r="Q90" i="42" s="1"/>
  <c r="O93" i="42"/>
  <c r="Q28" i="42" s="1"/>
  <c r="Q29" i="42" s="1"/>
  <c r="R28" i="42" l="1"/>
  <c r="R29" i="42" s="1"/>
  <c r="H35" i="42" s="1"/>
  <c r="O94" i="42"/>
  <c r="Q93" i="42"/>
  <c r="V91" i="42" s="1"/>
  <c r="J21" i="42"/>
  <c r="J27" i="42" s="1"/>
  <c r="V89" i="42" l="1"/>
  <c r="Q94" i="42"/>
  <c r="J22" i="42"/>
  <c r="J28" i="42" s="1"/>
  <c r="K21" i="42"/>
  <c r="K22" i="42" l="1"/>
  <c r="K28" i="42"/>
  <c r="E4" i="42"/>
  <c r="I6" i="42" s="1"/>
  <c r="K27" i="42"/>
  <c r="Y79" i="39"/>
</calcChain>
</file>

<file path=xl/sharedStrings.xml><?xml version="1.0" encoding="utf-8"?>
<sst xmlns="http://schemas.openxmlformats.org/spreadsheetml/2006/main" count="3413" uniqueCount="519">
  <si>
    <t>건폐율</t>
    <phoneticPr fontId="2" type="noConversion"/>
  </si>
  <si>
    <t>합계</t>
    <phoneticPr fontId="2" type="noConversion"/>
  </si>
  <si>
    <t>세대수</t>
    <phoneticPr fontId="2" type="noConversion"/>
  </si>
  <si>
    <t>사업면적</t>
    <phoneticPr fontId="2" type="noConversion"/>
  </si>
  <si>
    <t>진입도로</t>
    <phoneticPr fontId="2" type="noConversion"/>
  </si>
  <si>
    <t>단지내도로</t>
    <phoneticPr fontId="2" type="noConversion"/>
  </si>
  <si>
    <t>관리사무소</t>
    <phoneticPr fontId="2" type="noConversion"/>
  </si>
  <si>
    <t>전용면적</t>
    <phoneticPr fontId="2" type="noConversion"/>
  </si>
  <si>
    <t>공급면적</t>
    <phoneticPr fontId="2" type="noConversion"/>
  </si>
  <si>
    <t>■ 용도별 면적표</t>
    <phoneticPr fontId="2" type="noConversion"/>
  </si>
  <si>
    <t>설치계획</t>
    <phoneticPr fontId="2" type="noConversion"/>
  </si>
  <si>
    <t>대지위치</t>
    <phoneticPr fontId="2" type="noConversion"/>
  </si>
  <si>
    <t>7M도로</t>
    <phoneticPr fontId="2" type="noConversion"/>
  </si>
  <si>
    <t>(방재실, MDF포함)</t>
    <phoneticPr fontId="2" type="noConversion"/>
  </si>
  <si>
    <t>제외면적</t>
    <phoneticPr fontId="2" type="noConversion"/>
  </si>
  <si>
    <t>부대복리시설</t>
    <phoneticPr fontId="2" type="noConversion"/>
  </si>
  <si>
    <t>구  분</t>
    <phoneticPr fontId="2" type="noConversion"/>
  </si>
  <si>
    <t>세대비</t>
    <phoneticPr fontId="2" type="noConversion"/>
  </si>
  <si>
    <t>주거전용</t>
    <phoneticPr fontId="2" type="noConversion"/>
  </si>
  <si>
    <t>주 거 공 용 면 적</t>
    <phoneticPr fontId="2" type="noConversion"/>
  </si>
  <si>
    <t>계약면적</t>
    <phoneticPr fontId="2" type="noConversion"/>
  </si>
  <si>
    <t>벽체공용</t>
    <phoneticPr fontId="2" type="noConversion"/>
  </si>
  <si>
    <t>소  계</t>
    <phoneticPr fontId="2" type="noConversion"/>
  </si>
  <si>
    <t>소   계</t>
    <phoneticPr fontId="2" type="noConversion"/>
  </si>
  <si>
    <t>어린이집</t>
    <phoneticPr fontId="2" type="noConversion"/>
  </si>
  <si>
    <t>폭 7m 이상</t>
    <phoneticPr fontId="2" type="noConversion"/>
  </si>
  <si>
    <t>총량검토</t>
    <phoneticPr fontId="2" type="noConversion"/>
  </si>
  <si>
    <t>지역지구</t>
    <phoneticPr fontId="2" type="noConversion"/>
  </si>
  <si>
    <t>기계,전기실</t>
    <phoneticPr fontId="2" type="noConversion"/>
  </si>
  <si>
    <t>비고</t>
  </si>
  <si>
    <t>기타공용면적</t>
    <phoneticPr fontId="2" type="noConversion"/>
  </si>
  <si>
    <t>■ 아파트 분양면적표</t>
    <phoneticPr fontId="2" type="noConversion"/>
  </si>
  <si>
    <t>지하주차장</t>
    <phoneticPr fontId="2" type="noConversion"/>
  </si>
  <si>
    <t>■ 부대복리시설</t>
    <phoneticPr fontId="2" type="noConversion"/>
  </si>
  <si>
    <t>주민공동시설</t>
    <phoneticPr fontId="2" type="noConversion"/>
  </si>
  <si>
    <t>작은도서관</t>
    <phoneticPr fontId="2" type="noConversion"/>
  </si>
  <si>
    <t xml:space="preserve">조경시설 </t>
    <phoneticPr fontId="2" type="noConversion"/>
  </si>
  <si>
    <t>주차대수</t>
    <phoneticPr fontId="2" type="noConversion"/>
  </si>
  <si>
    <t>근린생활시설</t>
    <phoneticPr fontId="2" type="noConversion"/>
  </si>
  <si>
    <t>건축규모</t>
    <phoneticPr fontId="2" type="noConversion"/>
  </si>
  <si>
    <t>용도</t>
    <phoneticPr fontId="2" type="noConversion"/>
  </si>
  <si>
    <t>대  지  면  적</t>
    <phoneticPr fontId="2" type="noConversion"/>
  </si>
  <si>
    <t>실사용 대지면적</t>
    <phoneticPr fontId="2" type="noConversion"/>
  </si>
  <si>
    <t>연     면     적</t>
    <phoneticPr fontId="2" type="noConversion"/>
  </si>
  <si>
    <t>아파트</t>
    <phoneticPr fontId="2" type="noConversion"/>
  </si>
  <si>
    <t>지상</t>
    <phoneticPr fontId="2" type="noConversion"/>
  </si>
  <si>
    <t>지하</t>
    <phoneticPr fontId="2" type="noConversion"/>
  </si>
  <si>
    <t>소계</t>
    <phoneticPr fontId="2" type="noConversion"/>
  </si>
  <si>
    <t>건축면적</t>
    <phoneticPr fontId="2" type="noConversion"/>
  </si>
  <si>
    <t>기타공용</t>
    <phoneticPr fontId="2" type="noConversion"/>
  </si>
  <si>
    <t>문화 및 집회시설</t>
    <phoneticPr fontId="2" type="noConversion"/>
  </si>
  <si>
    <t>비고</t>
    <phoneticPr fontId="2" type="noConversion"/>
  </si>
  <si>
    <t>사업명</t>
    <phoneticPr fontId="2" type="noConversion"/>
  </si>
  <si>
    <t>지하층면적</t>
  </si>
  <si>
    <t>지상층면적</t>
  </si>
  <si>
    <t>계</t>
  </si>
  <si>
    <t>아  파  트</t>
  </si>
  <si>
    <t>기계,전기실</t>
  </si>
  <si>
    <t>부대복리시설
관리사무소
경비실</t>
  </si>
  <si>
    <t>근린생활시설</t>
  </si>
  <si>
    <t xml:space="preserve">■ 설 계 개 요 </t>
    <phoneticPr fontId="2" type="noConversion"/>
  </si>
  <si>
    <t>법적 설치기준 및 지침기준</t>
    <phoneticPr fontId="2" type="noConversion"/>
  </si>
  <si>
    <t>용 적 율</t>
    <phoneticPr fontId="2" type="noConversion"/>
  </si>
  <si>
    <t>세 대 수</t>
    <phoneticPr fontId="2" type="noConversion"/>
  </si>
  <si>
    <t>용적률 산정 연면적</t>
    <phoneticPr fontId="2" type="noConversion"/>
  </si>
  <si>
    <t>구      분</t>
    <phoneticPr fontId="2" type="noConversion"/>
  </si>
  <si>
    <t>경 비 실</t>
    <phoneticPr fontId="2" type="noConversion"/>
  </si>
  <si>
    <t>경 로 당</t>
    <phoneticPr fontId="2" type="noConversion"/>
  </si>
  <si>
    <t>비   고</t>
    <phoneticPr fontId="2" type="noConversion"/>
  </si>
  <si>
    <t>합 계</t>
    <phoneticPr fontId="2" type="noConversion"/>
  </si>
  <si>
    <t>구 분</t>
    <phoneticPr fontId="2" type="noConversion"/>
  </si>
  <si>
    <t>계 획</t>
    <phoneticPr fontId="2" type="noConversion"/>
  </si>
  <si>
    <t>비 율</t>
    <phoneticPr fontId="2" type="noConversion"/>
  </si>
  <si>
    <t>합  계</t>
    <phoneticPr fontId="2" type="noConversion"/>
  </si>
  <si>
    <t>비  고</t>
    <phoneticPr fontId="2" type="noConversion"/>
  </si>
  <si>
    <t>주민공동시설
총량제</t>
    <phoneticPr fontId="2" type="noConversion"/>
  </si>
  <si>
    <t>주민운동시설(옥외)</t>
    <phoneticPr fontId="2" type="noConversion"/>
  </si>
  <si>
    <t>어린이놀이터(옥외)</t>
    <phoneticPr fontId="2" type="noConversion"/>
  </si>
  <si>
    <t>공동주택 및 부대복리시설, 근린생활시설</t>
    <phoneticPr fontId="2" type="noConversion"/>
  </si>
  <si>
    <t xml:space="preserve"> 500㎡+세대*2㎡이상 설치 </t>
    <phoneticPr fontId="2" type="noConversion"/>
  </si>
  <si>
    <t>총량제 면적 (관리사무소 제외)</t>
    <phoneticPr fontId="2" type="noConversion"/>
  </si>
  <si>
    <t>면적기준</t>
    <phoneticPr fontId="2" type="noConversion"/>
  </si>
  <si>
    <t>소 계</t>
    <phoneticPr fontId="2" type="noConversion"/>
  </si>
  <si>
    <t>공용면적</t>
    <phoneticPr fontId="2" type="noConversion"/>
  </si>
  <si>
    <t>지상</t>
    <phoneticPr fontId="2" type="noConversion"/>
  </si>
  <si>
    <t>대지면적 x 0.15</t>
    <phoneticPr fontId="2" type="noConversion"/>
  </si>
  <si>
    <t>세대기준</t>
    <phoneticPr fontId="2" type="noConversion"/>
  </si>
  <si>
    <t>■ 근린생활시설 면적표</t>
    <phoneticPr fontId="2" type="noConversion"/>
  </si>
  <si>
    <t>다함께돌봄센터</t>
    <phoneticPr fontId="2" type="noConversion"/>
  </si>
  <si>
    <t>주택건설기준등에 관한 규정</t>
    <phoneticPr fontId="2" type="noConversion"/>
  </si>
  <si>
    <t>300세대 미만</t>
    <phoneticPr fontId="2" type="noConversion"/>
  </si>
  <si>
    <t>300~500세대 미만</t>
    <phoneticPr fontId="2" type="noConversion"/>
  </si>
  <si>
    <t>500~1000세대 미만</t>
    <phoneticPr fontId="2" type="noConversion"/>
  </si>
  <si>
    <t>1000~2000세대 미만</t>
    <phoneticPr fontId="2" type="noConversion"/>
  </si>
  <si>
    <t>2000세대 이상</t>
    <phoneticPr fontId="2" type="noConversion"/>
  </si>
  <si>
    <t>필수 주민공동시설 세부면적기준</t>
    <phoneticPr fontId="2" type="noConversion"/>
  </si>
  <si>
    <t>150세대 미만</t>
    <phoneticPr fontId="2" type="noConversion"/>
  </si>
  <si>
    <t>150~300세대 미만</t>
    <phoneticPr fontId="2" type="noConversion"/>
  </si>
  <si>
    <t>1000~1500세대 미만</t>
    <phoneticPr fontId="2" type="noConversion"/>
  </si>
  <si>
    <t>1500세대 이상</t>
    <phoneticPr fontId="2" type="noConversion"/>
  </si>
  <si>
    <t>경로당</t>
    <phoneticPr fontId="2" type="noConversion"/>
  </si>
  <si>
    <t>지하 설비시설 세부 면적기준</t>
    <phoneticPr fontId="2" type="noConversion"/>
  </si>
  <si>
    <t>500세대미만</t>
    <phoneticPr fontId="2" type="noConversion"/>
  </si>
  <si>
    <t>500~1000세대</t>
    <phoneticPr fontId="2" type="noConversion"/>
  </si>
  <si>
    <t>1000세대~1500세대</t>
    <phoneticPr fontId="2" type="noConversion"/>
  </si>
  <si>
    <t>기계실</t>
    <phoneticPr fontId="2" type="noConversion"/>
  </si>
  <si>
    <t>저수조실(상부)</t>
    <phoneticPr fontId="2" type="noConversion"/>
  </si>
  <si>
    <t>전기실</t>
    <phoneticPr fontId="2" type="noConversion"/>
  </si>
  <si>
    <t>발전기실</t>
    <phoneticPr fontId="2" type="noConversion"/>
  </si>
  <si>
    <t>관리사무소 방재실, mdf실 설치기준</t>
    <phoneticPr fontId="2" type="noConversion"/>
  </si>
  <si>
    <t>500세대미만</t>
    <phoneticPr fontId="2" type="noConversion"/>
  </si>
  <si>
    <t>500~1000세대</t>
    <phoneticPr fontId="2" type="noConversion"/>
  </si>
  <si>
    <t>1000세대~1500세대</t>
    <phoneticPr fontId="2" type="noConversion"/>
  </si>
  <si>
    <t>1500세대 이상</t>
    <phoneticPr fontId="2" type="noConversion"/>
  </si>
  <si>
    <t>방재실</t>
    <phoneticPr fontId="2" type="noConversion"/>
  </si>
  <si>
    <t>mdf실</t>
    <phoneticPr fontId="2" type="noConversion"/>
  </si>
  <si>
    <t>합계</t>
    <phoneticPr fontId="2" type="noConversion"/>
  </si>
  <si>
    <t>합 계</t>
    <phoneticPr fontId="2" type="noConversion"/>
  </si>
  <si>
    <t>소 계</t>
    <phoneticPr fontId="2" type="noConversion"/>
  </si>
  <si>
    <t>세대당1대 (전용60㎡초과)</t>
    <phoneticPr fontId="2" type="noConversion"/>
  </si>
  <si>
    <t>예정법적용적률</t>
    <phoneticPr fontId="2" type="noConversion"/>
  </si>
  <si>
    <t>세대당0.8대 (전용60㎡이하)</t>
    <phoneticPr fontId="2" type="noConversion"/>
  </si>
  <si>
    <t>85㎡이하 전용/75</t>
    <phoneticPr fontId="2" type="noConversion"/>
  </si>
  <si>
    <t>85㎡초과 전용/65</t>
    <phoneticPr fontId="2" type="noConversion"/>
  </si>
  <si>
    <t>공공임대비율</t>
    <phoneticPr fontId="2" type="noConversion"/>
  </si>
  <si>
    <t>봉천14구역 주택재개발 정비사업</t>
    <phoneticPr fontId="2" type="noConversion"/>
  </si>
  <si>
    <t>서울특별시 관악구 봉천동 1-13번지 일대</t>
    <phoneticPr fontId="2" type="noConversion"/>
  </si>
  <si>
    <t>제3종 일반주거지역, 도시지역</t>
    <phoneticPr fontId="2" type="noConversion"/>
  </si>
  <si>
    <t>지상 27층  /</t>
    <phoneticPr fontId="2" type="noConversion"/>
  </si>
  <si>
    <t>사회복지시설</t>
    <phoneticPr fontId="2" type="noConversion"/>
  </si>
  <si>
    <t>공공청사</t>
    <phoneticPr fontId="2" type="noConversion"/>
  </si>
  <si>
    <t>주택용지</t>
    <phoneticPr fontId="2" type="noConversion"/>
  </si>
  <si>
    <t>소  계</t>
    <phoneticPr fontId="2" type="noConversion"/>
  </si>
  <si>
    <t>도  로</t>
    <phoneticPr fontId="2" type="noConversion"/>
  </si>
  <si>
    <t>공  원</t>
    <phoneticPr fontId="2" type="noConversion"/>
  </si>
  <si>
    <t>종교용지(3개소)</t>
    <phoneticPr fontId="2" type="noConversion"/>
  </si>
  <si>
    <t>임대주택 세대수의 30%이상 또는 세대수의 5%이상을 40㎡이하 계획</t>
  </si>
  <si>
    <t>분양</t>
    <phoneticPr fontId="2" type="noConversion"/>
  </si>
  <si>
    <t>주차장</t>
    <phoneticPr fontId="2" type="noConversion"/>
  </si>
  <si>
    <t>세대수</t>
    <phoneticPr fontId="2" type="noConversion"/>
  </si>
  <si>
    <t xml:space="preserve"> 소형임대</t>
    <phoneticPr fontId="2" type="noConversion"/>
  </si>
  <si>
    <t>공공임대</t>
    <phoneticPr fontId="2" type="noConversion"/>
  </si>
  <si>
    <t>코어공용</t>
    <phoneticPr fontId="2" type="noConversion"/>
  </si>
  <si>
    <t>59복층형</t>
    <phoneticPr fontId="2" type="noConversion"/>
  </si>
  <si>
    <t>펜트</t>
    <phoneticPr fontId="2" type="noConversion"/>
  </si>
  <si>
    <t>지역공동시설</t>
    <phoneticPr fontId="2" type="noConversion"/>
  </si>
  <si>
    <t>1,500세대 이상
(서울시 주택조례)</t>
    <phoneticPr fontId="2" type="noConversion"/>
  </si>
  <si>
    <t>스카이커뮤니티</t>
    <phoneticPr fontId="2" type="noConversion"/>
  </si>
  <si>
    <t>법적상한 소형주택
임대비율</t>
    <phoneticPr fontId="2" type="noConversion"/>
  </si>
  <si>
    <t>지침 최대연면적</t>
    <phoneticPr fontId="2" type="noConversion"/>
  </si>
  <si>
    <t>구분</t>
    <phoneticPr fontId="2" type="noConversion"/>
  </si>
  <si>
    <t>세대수합계</t>
    <phoneticPr fontId="2" type="noConversion"/>
  </si>
  <si>
    <t>기준</t>
    <phoneticPr fontId="2" type="noConversion"/>
  </si>
  <si>
    <t>계획</t>
    <phoneticPr fontId="2" type="noConversion"/>
  </si>
  <si>
    <t>비고</t>
    <phoneticPr fontId="2" type="noConversion"/>
  </si>
  <si>
    <t>용적률</t>
    <phoneticPr fontId="2" type="noConversion"/>
  </si>
  <si>
    <t>연면적</t>
    <phoneticPr fontId="2" type="noConversion"/>
  </si>
  <si>
    <t>건축규모</t>
    <phoneticPr fontId="2" type="noConversion"/>
  </si>
  <si>
    <t>1000세대이상</t>
    <phoneticPr fontId="2" type="noConversion"/>
  </si>
  <si>
    <t>임대</t>
    <phoneticPr fontId="2" type="noConversion"/>
  </si>
  <si>
    <t>합  계</t>
    <phoneticPr fontId="2" type="noConversion"/>
  </si>
  <si>
    <t>관리사무소</t>
    <phoneticPr fontId="2" type="noConversion"/>
  </si>
  <si>
    <t>소  계</t>
    <phoneticPr fontId="2" type="noConversion"/>
  </si>
  <si>
    <t>사업명</t>
    <phoneticPr fontId="2" type="noConversion"/>
  </si>
  <si>
    <t>구      분</t>
    <phoneticPr fontId="2" type="noConversion"/>
  </si>
  <si>
    <t>법적 설치기준 및 지침기준</t>
    <phoneticPr fontId="2" type="noConversion"/>
  </si>
  <si>
    <t>설치계획</t>
    <phoneticPr fontId="2" type="noConversion"/>
  </si>
  <si>
    <t>비고</t>
    <phoneticPr fontId="2" type="noConversion"/>
  </si>
  <si>
    <t>진입도로</t>
    <phoneticPr fontId="2" type="noConversion"/>
  </si>
  <si>
    <t>지역지구</t>
    <phoneticPr fontId="2" type="noConversion"/>
  </si>
  <si>
    <t>폭 7m 이상</t>
    <phoneticPr fontId="2" type="noConversion"/>
  </si>
  <si>
    <t>대  지  면  적</t>
    <phoneticPr fontId="2" type="noConversion"/>
  </si>
  <si>
    <t>경 비 실</t>
    <phoneticPr fontId="2" type="noConversion"/>
  </si>
  <si>
    <t>경 로 당</t>
    <phoneticPr fontId="2" type="noConversion"/>
  </si>
  <si>
    <t>어린이집</t>
    <phoneticPr fontId="2" type="noConversion"/>
  </si>
  <si>
    <t>작은도서관</t>
    <phoneticPr fontId="2" type="noConversion"/>
  </si>
  <si>
    <t>다함께돌봄센터</t>
    <phoneticPr fontId="2" type="noConversion"/>
  </si>
  <si>
    <t>소계</t>
    <phoneticPr fontId="2" type="noConversion"/>
  </si>
  <si>
    <t>주민공동시설</t>
    <phoneticPr fontId="2" type="noConversion"/>
  </si>
  <si>
    <t>실사용 대지면적</t>
    <phoneticPr fontId="2" type="noConversion"/>
  </si>
  <si>
    <t>연     면     적</t>
    <phoneticPr fontId="2" type="noConversion"/>
  </si>
  <si>
    <t>구 분</t>
    <phoneticPr fontId="2" type="noConversion"/>
  </si>
  <si>
    <t>계 획</t>
    <phoneticPr fontId="2" type="noConversion"/>
  </si>
  <si>
    <t>비 율</t>
    <phoneticPr fontId="2" type="noConversion"/>
  </si>
  <si>
    <t>어린이놀이터(옥외)</t>
    <phoneticPr fontId="2" type="noConversion"/>
  </si>
  <si>
    <t>아파트</t>
    <phoneticPr fontId="2" type="noConversion"/>
  </si>
  <si>
    <t>총량검토</t>
    <phoneticPr fontId="2" type="noConversion"/>
  </si>
  <si>
    <t>총량제 면적 (관리사무소 제외)</t>
    <phoneticPr fontId="2" type="noConversion"/>
  </si>
  <si>
    <t>주차대당</t>
    <phoneticPr fontId="2" type="noConversion"/>
  </si>
  <si>
    <t>지하</t>
    <phoneticPr fontId="2" type="noConversion"/>
  </si>
  <si>
    <t xml:space="preserve">조경시설 </t>
    <phoneticPr fontId="2" type="noConversion"/>
  </si>
  <si>
    <t>대지면적 x 0.15</t>
    <phoneticPr fontId="2" type="noConversion"/>
  </si>
  <si>
    <t>주차대수</t>
    <phoneticPr fontId="2" type="noConversion"/>
  </si>
  <si>
    <t>면적기준</t>
    <phoneticPr fontId="2" type="noConversion"/>
  </si>
  <si>
    <t>지상</t>
    <phoneticPr fontId="2" type="noConversion"/>
  </si>
  <si>
    <t>소 계</t>
    <phoneticPr fontId="2" type="noConversion"/>
  </si>
  <si>
    <t>세대기준</t>
    <phoneticPr fontId="2" type="noConversion"/>
  </si>
  <si>
    <t>합계</t>
    <phoneticPr fontId="2" type="noConversion"/>
  </si>
  <si>
    <t>합계</t>
    <phoneticPr fontId="2" type="noConversion"/>
  </si>
  <si>
    <t>근린생활시설</t>
    <phoneticPr fontId="2" type="noConversion"/>
  </si>
  <si>
    <t>합 계</t>
    <phoneticPr fontId="2" type="noConversion"/>
  </si>
  <si>
    <t>법적상한용적률
( 300% 이하 )</t>
    <phoneticPr fontId="2" type="noConversion"/>
  </si>
  <si>
    <t>■ 아파트 분양면적표</t>
    <phoneticPr fontId="2" type="noConversion"/>
  </si>
  <si>
    <t>구  분</t>
    <phoneticPr fontId="2" type="noConversion"/>
  </si>
  <si>
    <t>세대수</t>
    <phoneticPr fontId="2" type="noConversion"/>
  </si>
  <si>
    <t>세대비</t>
    <phoneticPr fontId="2" type="noConversion"/>
  </si>
  <si>
    <t>주거전용</t>
    <phoneticPr fontId="2" type="noConversion"/>
  </si>
  <si>
    <t>주 거 공 용 면 적</t>
    <phoneticPr fontId="2" type="noConversion"/>
  </si>
  <si>
    <t>공급면적</t>
    <phoneticPr fontId="2" type="noConversion"/>
  </si>
  <si>
    <t>기타공용면적</t>
    <phoneticPr fontId="2" type="noConversion"/>
  </si>
  <si>
    <t>소   계</t>
    <phoneticPr fontId="2" type="noConversion"/>
  </si>
  <si>
    <t>계약면적</t>
    <phoneticPr fontId="2" type="noConversion"/>
  </si>
  <si>
    <t>비   고</t>
    <phoneticPr fontId="2" type="noConversion"/>
  </si>
  <si>
    <t>코어공용</t>
    <phoneticPr fontId="2" type="noConversion"/>
  </si>
  <si>
    <t>기계,전기실</t>
    <phoneticPr fontId="2" type="noConversion"/>
  </si>
  <si>
    <t>지하주차장</t>
    <phoneticPr fontId="2" type="noConversion"/>
  </si>
  <si>
    <t>의무임대</t>
    <phoneticPr fontId="2" type="noConversion"/>
  </si>
  <si>
    <t>공용면적</t>
    <phoneticPr fontId="2" type="noConversion"/>
  </si>
  <si>
    <t>기타공용 (기전실)</t>
    <phoneticPr fontId="2" type="noConversion"/>
  </si>
  <si>
    <t>300세대 미만</t>
    <phoneticPr fontId="2" type="noConversion"/>
  </si>
  <si>
    <t>500~1000세대 미만</t>
    <phoneticPr fontId="2" type="noConversion"/>
  </si>
  <si>
    <t>1000~2000세대 미만</t>
    <phoneticPr fontId="2" type="noConversion"/>
  </si>
  <si>
    <t>150세대 미만</t>
    <phoneticPr fontId="2" type="noConversion"/>
  </si>
  <si>
    <t>150~300세대 미만</t>
    <phoneticPr fontId="2" type="noConversion"/>
  </si>
  <si>
    <t>경로당</t>
    <phoneticPr fontId="2" type="noConversion"/>
  </si>
  <si>
    <t>어린이집</t>
    <phoneticPr fontId="2" type="noConversion"/>
  </si>
  <si>
    <t>지하 설비시설 세부 면적기준</t>
    <phoneticPr fontId="2" type="noConversion"/>
  </si>
  <si>
    <t>기계실</t>
    <phoneticPr fontId="2" type="noConversion"/>
  </si>
  <si>
    <t>전기실</t>
    <phoneticPr fontId="2" type="noConversion"/>
  </si>
  <si>
    <t>마포구 성산시영아파트 재건축정비사업</t>
    <phoneticPr fontId="2" type="noConversion"/>
  </si>
  <si>
    <t>서울특별시 마포구 성산동 446일대</t>
    <phoneticPr fontId="2" type="noConversion"/>
  </si>
  <si>
    <t>제3종 일반주거지역</t>
    <phoneticPr fontId="2" type="noConversion"/>
  </si>
  <si>
    <t>도로</t>
    <phoneticPr fontId="2" type="noConversion"/>
  </si>
  <si>
    <t>유치원</t>
    <phoneticPr fontId="2" type="noConversion"/>
  </si>
  <si>
    <t>공원</t>
    <phoneticPr fontId="2" type="noConversion"/>
  </si>
  <si>
    <t>지상 35층  /</t>
    <phoneticPr fontId="2" type="noConversion"/>
  </si>
  <si>
    <t>재건축
소택임대비율</t>
    <phoneticPr fontId="2" type="noConversion"/>
  </si>
  <si>
    <t>주민공동시설
총량제</t>
    <phoneticPr fontId="2" type="noConversion"/>
  </si>
  <si>
    <t xml:space="preserve"> (500㎡+세대당 x 2㎡) x 1.25이상 설치 </t>
    <phoneticPr fontId="2" type="noConversion"/>
  </si>
  <si>
    <t>소 계</t>
    <phoneticPr fontId="2" type="noConversion"/>
  </si>
  <si>
    <t>세대당0.8대(전용60㎡이하)</t>
    <phoneticPr fontId="2" type="noConversion"/>
  </si>
  <si>
    <t>세대당1대(전용60㎡초과)</t>
    <phoneticPr fontId="2" type="noConversion"/>
  </si>
  <si>
    <t>85㎡이하 전용/75</t>
    <phoneticPr fontId="2" type="noConversion"/>
  </si>
  <si>
    <t>■ 설 계 개 요 (alt1)</t>
    <phoneticPr fontId="2" type="noConversion"/>
  </si>
  <si>
    <t>■ 설 계 개 요 (alt2)</t>
    <phoneticPr fontId="2" type="noConversion"/>
  </si>
  <si>
    <t>■ 설 계 개 요 (alt3)</t>
    <phoneticPr fontId="2" type="noConversion"/>
  </si>
  <si>
    <t xml:space="preserve">  *유치원용지 계획</t>
    <phoneticPr fontId="2" type="noConversion"/>
  </si>
  <si>
    <t xml:space="preserve"> *서울시 용적률완화적용</t>
    <phoneticPr fontId="2" type="noConversion"/>
  </si>
  <si>
    <t>■ 설 계 개 요 (4802세대)</t>
    <phoneticPr fontId="2" type="noConversion"/>
  </si>
  <si>
    <t>1,000세대 이상
(서울시 주택조례)</t>
    <phoneticPr fontId="2" type="noConversion"/>
  </si>
  <si>
    <t>■ 설 계 개 요 (통합개요)</t>
    <phoneticPr fontId="2" type="noConversion"/>
  </si>
  <si>
    <t>■ 설 계 개 요 (1단지)</t>
    <phoneticPr fontId="2" type="noConversion"/>
  </si>
  <si>
    <t>■ 설 계 개 요 (2단지)</t>
    <phoneticPr fontId="2" type="noConversion"/>
  </si>
  <si>
    <t>78삭제</t>
    <phoneticPr fontId="2" type="noConversion"/>
  </si>
  <si>
    <t>목동14단지 재건축정비사업</t>
    <phoneticPr fontId="2" type="noConversion"/>
  </si>
  <si>
    <t>1401동</t>
    <phoneticPr fontId="2" type="noConversion"/>
  </si>
  <si>
    <t>108㎡</t>
    <phoneticPr fontId="2" type="noConversion"/>
  </si>
  <si>
    <t>1402동</t>
    <phoneticPr fontId="2" type="noConversion"/>
  </si>
  <si>
    <t>129㎡</t>
    <phoneticPr fontId="2" type="noConversion"/>
  </si>
  <si>
    <t>1403동</t>
    <phoneticPr fontId="2" type="noConversion"/>
  </si>
  <si>
    <t>1404동</t>
    <phoneticPr fontId="2" type="noConversion"/>
  </si>
  <si>
    <t>1405동</t>
    <phoneticPr fontId="2" type="noConversion"/>
  </si>
  <si>
    <t>1406동</t>
    <phoneticPr fontId="2" type="noConversion"/>
  </si>
  <si>
    <t>1407동</t>
    <phoneticPr fontId="2" type="noConversion"/>
  </si>
  <si>
    <t>1408동</t>
    <phoneticPr fontId="2" type="noConversion"/>
  </si>
  <si>
    <t>1409동</t>
    <phoneticPr fontId="2" type="noConversion"/>
  </si>
  <si>
    <t>1410동</t>
    <phoneticPr fontId="2" type="noConversion"/>
  </si>
  <si>
    <t>1411동</t>
    <phoneticPr fontId="2" type="noConversion"/>
  </si>
  <si>
    <t>1단지</t>
    <phoneticPr fontId="2" type="noConversion"/>
  </si>
  <si>
    <t>2단지</t>
    <phoneticPr fontId="2" type="noConversion"/>
  </si>
  <si>
    <t>90세대</t>
  </si>
  <si>
    <t>90세대</t>
    <phoneticPr fontId="2" type="noConversion"/>
  </si>
  <si>
    <t>60세대</t>
    <phoneticPr fontId="2" type="noConversion"/>
  </si>
  <si>
    <t>합계</t>
    <phoneticPr fontId="2" type="noConversion"/>
  </si>
  <si>
    <t>810세대</t>
    <phoneticPr fontId="2" type="noConversion"/>
  </si>
  <si>
    <t>1430동</t>
    <phoneticPr fontId="2" type="noConversion"/>
  </si>
  <si>
    <t>1431동</t>
    <phoneticPr fontId="2" type="noConversion"/>
  </si>
  <si>
    <t>1432동</t>
    <phoneticPr fontId="2" type="noConversion"/>
  </si>
  <si>
    <t>1433동</t>
    <phoneticPr fontId="2" type="noConversion"/>
  </si>
  <si>
    <t>1434동</t>
    <phoneticPr fontId="2" type="noConversion"/>
  </si>
  <si>
    <t>120세대</t>
    <phoneticPr fontId="2" type="noConversion"/>
  </si>
  <si>
    <t>540세대</t>
    <phoneticPr fontId="2" type="noConversion"/>
  </si>
  <si>
    <t>3단지</t>
    <phoneticPr fontId="2" type="noConversion"/>
  </si>
  <si>
    <t>1423동</t>
    <phoneticPr fontId="2" type="noConversion"/>
  </si>
  <si>
    <t>1424동</t>
    <phoneticPr fontId="2" type="noConversion"/>
  </si>
  <si>
    <t>1425동</t>
    <phoneticPr fontId="2" type="noConversion"/>
  </si>
  <si>
    <t>1426동</t>
    <phoneticPr fontId="2" type="noConversion"/>
  </si>
  <si>
    <t>1427동</t>
    <phoneticPr fontId="2" type="noConversion"/>
  </si>
  <si>
    <t>1428동</t>
    <phoneticPr fontId="2" type="noConversion"/>
  </si>
  <si>
    <t>1429동</t>
    <phoneticPr fontId="2" type="noConversion"/>
  </si>
  <si>
    <t>4단지</t>
    <phoneticPr fontId="2" type="noConversion"/>
  </si>
  <si>
    <t>1418동</t>
    <phoneticPr fontId="2" type="noConversion"/>
  </si>
  <si>
    <t>1412동</t>
    <phoneticPr fontId="2" type="noConversion"/>
  </si>
  <si>
    <t>1413동</t>
    <phoneticPr fontId="2" type="noConversion"/>
  </si>
  <si>
    <t>1414동</t>
    <phoneticPr fontId="2" type="noConversion"/>
  </si>
  <si>
    <t>1415동</t>
    <phoneticPr fontId="2" type="noConversion"/>
  </si>
  <si>
    <t>1416동</t>
    <phoneticPr fontId="2" type="noConversion"/>
  </si>
  <si>
    <t>1417동</t>
    <phoneticPr fontId="2" type="noConversion"/>
  </si>
  <si>
    <t>1422동</t>
    <phoneticPr fontId="2" type="noConversion"/>
  </si>
  <si>
    <t>1419동</t>
    <phoneticPr fontId="2" type="noConversion"/>
  </si>
  <si>
    <t>1420동</t>
    <phoneticPr fontId="2" type="noConversion"/>
  </si>
  <si>
    <t>1421동</t>
    <phoneticPr fontId="2" type="noConversion"/>
  </si>
  <si>
    <t>116세대</t>
    <phoneticPr fontId="2" type="noConversion"/>
  </si>
  <si>
    <t>892세대</t>
    <phoneticPr fontId="2" type="noConversion"/>
  </si>
  <si>
    <t>858세대</t>
    <phoneticPr fontId="2" type="noConversion"/>
  </si>
  <si>
    <t>55㎡</t>
    <phoneticPr fontId="2" type="noConversion"/>
  </si>
  <si>
    <t>71㎡</t>
    <phoneticPr fontId="2" type="noConversion"/>
  </si>
  <si>
    <t>74㎡</t>
    <phoneticPr fontId="2" type="noConversion"/>
  </si>
  <si>
    <t>83㎡</t>
    <phoneticPr fontId="2" type="noConversion"/>
  </si>
  <si>
    <t>84㎡</t>
    <phoneticPr fontId="2" type="noConversion"/>
  </si>
  <si>
    <t>92㎡</t>
    <phoneticPr fontId="2" type="noConversion"/>
  </si>
  <si>
    <t>109㎡</t>
    <phoneticPr fontId="2" type="noConversion"/>
  </si>
  <si>
    <t>142㎡</t>
    <phoneticPr fontId="2" type="noConversion"/>
  </si>
  <si>
    <t>157㎡</t>
    <phoneticPr fontId="2" type="noConversion"/>
  </si>
  <si>
    <t>720세개</t>
    <phoneticPr fontId="2" type="noConversion"/>
  </si>
  <si>
    <t>620세대</t>
    <phoneticPr fontId="2" type="noConversion"/>
  </si>
  <si>
    <t>240세대</t>
    <phoneticPr fontId="2" type="noConversion"/>
  </si>
  <si>
    <t>340세대</t>
    <phoneticPr fontId="2" type="noConversion"/>
  </si>
  <si>
    <t>70세대</t>
    <phoneticPr fontId="2" type="noConversion"/>
  </si>
  <si>
    <t>30세대</t>
    <phoneticPr fontId="2" type="noConversion"/>
  </si>
  <si>
    <t>870세대</t>
    <phoneticPr fontId="2" type="noConversion"/>
  </si>
  <si>
    <t>5세대</t>
    <phoneticPr fontId="2" type="noConversion"/>
  </si>
  <si>
    <t>145세대</t>
    <phoneticPr fontId="2" type="noConversion"/>
  </si>
  <si>
    <t>2세대</t>
    <phoneticPr fontId="2" type="noConversion"/>
  </si>
  <si>
    <t>58세대</t>
    <phoneticPr fontId="2" type="noConversion"/>
  </si>
  <si>
    <t>59㎡</t>
    <phoneticPr fontId="2" type="noConversion"/>
  </si>
  <si>
    <t>99㎡</t>
    <phoneticPr fontId="2" type="noConversion"/>
  </si>
  <si>
    <t>108㎡, 108㎡, 129㎡, 129㎡, 108㎡, 108㎡</t>
    <phoneticPr fontId="2" type="noConversion"/>
  </si>
  <si>
    <t>129㎡, 129㎡, 108㎡, 108㎡, 108㎡, 108㎡</t>
    <phoneticPr fontId="2" type="noConversion"/>
  </si>
  <si>
    <t>108㎡, 108㎡, 108㎡, 108㎡</t>
    <phoneticPr fontId="2" type="noConversion"/>
  </si>
  <si>
    <t>157㎡, 157㎡, 157㎡, 157㎡</t>
    <phoneticPr fontId="2" type="noConversion"/>
  </si>
  <si>
    <t>108㎡, 92㎡, 129㎡, 129㎡, 92㎡, 108㎡</t>
    <phoneticPr fontId="2" type="noConversion"/>
  </si>
  <si>
    <t>570세대</t>
    <phoneticPr fontId="2" type="noConversion"/>
  </si>
  <si>
    <t>1세대</t>
    <phoneticPr fontId="2" type="noConversion"/>
  </si>
  <si>
    <t>149세대</t>
    <phoneticPr fontId="2" type="noConversion"/>
  </si>
  <si>
    <t>83㎡, 71㎡, 84㎡, 71㎡, 71㎡, 83㎡</t>
    <phoneticPr fontId="2" type="noConversion"/>
  </si>
  <si>
    <t>74㎡, 55㎡, 55㎡, 55㎡, 55㎡, 55㎡, 55㎡, 74㎡</t>
    <phoneticPr fontId="2" type="noConversion"/>
  </si>
  <si>
    <t>71㎡</t>
    <phoneticPr fontId="2" type="noConversion"/>
  </si>
  <si>
    <t>55㎡</t>
    <phoneticPr fontId="2" type="noConversion"/>
  </si>
  <si>
    <t>84㎡</t>
    <phoneticPr fontId="2" type="noConversion"/>
  </si>
  <si>
    <t>90세대</t>
    <phoneticPr fontId="2" type="noConversion"/>
  </si>
  <si>
    <t>180세대</t>
    <phoneticPr fontId="2" type="noConversion"/>
  </si>
  <si>
    <t>83㎡</t>
    <phoneticPr fontId="2" type="noConversion"/>
  </si>
  <si>
    <t>60세대</t>
    <phoneticPr fontId="2" type="noConversion"/>
  </si>
  <si>
    <t>74㎡</t>
    <phoneticPr fontId="2" type="noConversion"/>
  </si>
  <si>
    <t>30세대</t>
    <phoneticPr fontId="2" type="noConversion"/>
  </si>
  <si>
    <t>270세대</t>
    <phoneticPr fontId="2" type="noConversion"/>
  </si>
  <si>
    <t>■ 설 계 개 요 (3단지)</t>
    <phoneticPr fontId="2" type="noConversion"/>
  </si>
  <si>
    <t>기반시설</t>
    <phoneticPr fontId="2" type="noConversion"/>
  </si>
  <si>
    <t>획지1</t>
    <phoneticPr fontId="2" type="noConversion"/>
  </si>
  <si>
    <t>획지2</t>
    <phoneticPr fontId="2" type="noConversion"/>
  </si>
  <si>
    <t>획지4</t>
    <phoneticPr fontId="2" type="noConversion"/>
  </si>
  <si>
    <t>획지3</t>
    <phoneticPr fontId="2" type="noConversion"/>
  </si>
  <si>
    <t>83㎡, 71㎡, 71㎡, 71㎡, 71㎡, 83㎡</t>
    <phoneticPr fontId="2" type="noConversion"/>
  </si>
  <si>
    <t>40세대</t>
    <phoneticPr fontId="2" type="noConversion"/>
  </si>
  <si>
    <t>375세대</t>
    <phoneticPr fontId="2" type="noConversion"/>
  </si>
  <si>
    <t>210세대</t>
    <phoneticPr fontId="2" type="noConversion"/>
  </si>
  <si>
    <t>■ 설 계 개 요 (4단지)</t>
    <phoneticPr fontId="2" type="noConversion"/>
  </si>
  <si>
    <t>획지3</t>
    <phoneticPr fontId="2" type="noConversion"/>
  </si>
  <si>
    <t>108㎡, 108㎡, 108㎡, 108㎡</t>
    <phoneticPr fontId="2" type="noConversion"/>
  </si>
  <si>
    <t xml:space="preserve">74㎡, 55㎡, 55㎡, 55㎡, 55㎡, 55㎡, 55㎡, 74㎡ </t>
    <phoneticPr fontId="2" type="noConversion"/>
  </si>
  <si>
    <t>83㎡, 71㎡, 71㎡, 71㎡, 71㎡, 83㎡</t>
    <phoneticPr fontId="2" type="noConversion"/>
  </si>
  <si>
    <t>300세대</t>
    <phoneticPr fontId="2" type="noConversion"/>
  </si>
  <si>
    <t>270세대</t>
    <phoneticPr fontId="2" type="noConversion"/>
  </si>
  <si>
    <t>90세대</t>
    <phoneticPr fontId="2" type="noConversion"/>
  </si>
  <si>
    <t>76세대</t>
    <phoneticPr fontId="2" type="noConversion"/>
  </si>
  <si>
    <t>156세대</t>
    <phoneticPr fontId="2" type="noConversion"/>
  </si>
  <si>
    <t>369세대</t>
    <phoneticPr fontId="2" type="noConversion"/>
  </si>
  <si>
    <t>45세대</t>
    <phoneticPr fontId="2" type="noConversion"/>
  </si>
  <si>
    <t>204세대</t>
    <phoneticPr fontId="2" type="noConversion"/>
  </si>
  <si>
    <t>분양</t>
    <phoneticPr fontId="2" type="noConversion"/>
  </si>
  <si>
    <t>단지 내 면적별 정보</t>
    <phoneticPr fontId="2" type="noConversion"/>
  </si>
  <si>
    <t>92㎡   (39평형)</t>
    <phoneticPr fontId="2" type="noConversion"/>
  </si>
  <si>
    <t>108㎡ (40평형)</t>
    <phoneticPr fontId="2" type="noConversion"/>
  </si>
  <si>
    <t>109㎡ (40평형)</t>
    <phoneticPr fontId="2" type="noConversion"/>
  </si>
  <si>
    <t>157㎡ (60평형)</t>
    <phoneticPr fontId="2" type="noConversion"/>
  </si>
  <si>
    <t>129㎡ (50평형)</t>
    <phoneticPr fontId="2" type="noConversion"/>
  </si>
  <si>
    <t>55㎡ (23평형)</t>
    <phoneticPr fontId="2" type="noConversion"/>
  </si>
  <si>
    <t>71㎡ (28평형)</t>
    <phoneticPr fontId="2" type="noConversion"/>
  </si>
  <si>
    <t>74㎡ (30평형)</t>
    <phoneticPr fontId="2" type="noConversion"/>
  </si>
  <si>
    <t>83㎡ (33평형)</t>
    <phoneticPr fontId="2" type="noConversion"/>
  </si>
  <si>
    <t>84㎡ (34평형)</t>
    <phoneticPr fontId="2" type="noConversion"/>
  </si>
  <si>
    <t>오차 7세대</t>
    <phoneticPr fontId="2" type="noConversion"/>
  </si>
  <si>
    <t>83㎡   (33평형)</t>
    <phoneticPr fontId="2" type="noConversion"/>
  </si>
  <si>
    <t>74㎡   (30평형)</t>
    <phoneticPr fontId="2" type="noConversion"/>
  </si>
  <si>
    <t>71㎡   (28평형)</t>
    <phoneticPr fontId="2" type="noConversion"/>
  </si>
  <si>
    <t>55㎡   (23평형)</t>
    <phoneticPr fontId="2" type="noConversion"/>
  </si>
  <si>
    <t>각구역별 개요참고</t>
    <phoneticPr fontId="2" type="noConversion"/>
  </si>
  <si>
    <t>지상 49층  /</t>
    <phoneticPr fontId="2" type="noConversion"/>
  </si>
  <si>
    <t>지상 45층  /</t>
    <phoneticPr fontId="2" type="noConversion"/>
  </si>
  <si>
    <t>서울특별시 양천구 목동동로 30 일대</t>
    <phoneticPr fontId="2" type="noConversion"/>
  </si>
  <si>
    <t>91C</t>
    <phoneticPr fontId="2" type="noConversion"/>
  </si>
  <si>
    <t>93B</t>
    <phoneticPr fontId="2" type="noConversion"/>
  </si>
  <si>
    <t>93A</t>
    <phoneticPr fontId="2" type="noConversion"/>
  </si>
  <si>
    <t>101E</t>
    <phoneticPr fontId="2" type="noConversion"/>
  </si>
  <si>
    <t>109A</t>
    <phoneticPr fontId="2" type="noConversion"/>
  </si>
  <si>
    <t>109C</t>
    <phoneticPr fontId="2" type="noConversion"/>
  </si>
  <si>
    <t>110B</t>
    <phoneticPr fontId="2" type="noConversion"/>
  </si>
  <si>
    <t>129A</t>
    <phoneticPr fontId="2" type="noConversion"/>
  </si>
  <si>
    <t>130B</t>
    <phoneticPr fontId="2" type="noConversion"/>
  </si>
  <si>
    <t>획지
1</t>
    <phoneticPr fontId="2" type="noConversion"/>
  </si>
  <si>
    <t>획지
2</t>
    <phoneticPr fontId="2" type="noConversion"/>
  </si>
  <si>
    <t>획지
3</t>
    <phoneticPr fontId="2" type="noConversion"/>
  </si>
  <si>
    <t>획지
4</t>
    <phoneticPr fontId="2" type="noConversion"/>
  </si>
  <si>
    <t>공급</t>
    <phoneticPr fontId="2" type="noConversion"/>
  </si>
  <si>
    <t>형별</t>
    <phoneticPr fontId="2" type="noConversion"/>
  </si>
  <si>
    <t>전용</t>
    <phoneticPr fontId="2" type="noConversion"/>
  </si>
  <si>
    <t>동번호</t>
    <phoneticPr fontId="2" type="noConversion"/>
  </si>
  <si>
    <r>
      <t xml:space="preserve"> </t>
    </r>
    <r>
      <rPr>
        <b/>
        <sz val="15"/>
        <color theme="0"/>
        <rFont val="맑은 고딕"/>
        <family val="3"/>
        <charset val="129"/>
      </rPr>
      <t>■</t>
    </r>
    <r>
      <rPr>
        <b/>
        <sz val="12.75"/>
        <color theme="0"/>
        <rFont val="돋움"/>
        <family val="3"/>
        <charset val="129"/>
      </rPr>
      <t xml:space="preserve"> </t>
    </r>
    <r>
      <rPr>
        <b/>
        <sz val="15"/>
        <color theme="0"/>
        <rFont val="돋움"/>
        <family val="3"/>
        <charset val="129"/>
      </rPr>
      <t>14단지 평형구성 현황</t>
    </r>
    <phoneticPr fontId="2" type="noConversion"/>
  </si>
  <si>
    <t>구     분</t>
    <phoneticPr fontId="2" type="noConversion"/>
  </si>
  <si>
    <r>
      <t xml:space="preserve">획지 1
</t>
    </r>
    <r>
      <rPr>
        <sz val="12"/>
        <rFont val="맑은 고딕"/>
        <family val="3"/>
        <charset val="129"/>
        <scheme val="major"/>
      </rPr>
      <t>(1~11동)</t>
    </r>
    <phoneticPr fontId="2" type="noConversion"/>
  </si>
  <si>
    <r>
      <t xml:space="preserve">획지 3
</t>
    </r>
    <r>
      <rPr>
        <sz val="12"/>
        <rFont val="맑은 고딕"/>
        <family val="3"/>
        <charset val="129"/>
        <scheme val="major"/>
      </rPr>
      <t>(22~29동)</t>
    </r>
    <phoneticPr fontId="2" type="noConversion"/>
  </si>
  <si>
    <r>
      <t xml:space="preserve">획지 4
</t>
    </r>
    <r>
      <rPr>
        <sz val="12"/>
        <rFont val="맑은 고딕"/>
        <family val="3"/>
        <charset val="129"/>
        <scheme val="major"/>
      </rPr>
      <t>(12~21동)</t>
    </r>
    <phoneticPr fontId="2" type="noConversion"/>
  </si>
  <si>
    <r>
      <t xml:space="preserve">획지 2
</t>
    </r>
    <r>
      <rPr>
        <sz val="12"/>
        <rFont val="맑은 고딕"/>
        <family val="3"/>
        <charset val="129"/>
        <scheme val="major"/>
      </rPr>
      <t>(30~34동)</t>
    </r>
    <phoneticPr fontId="2" type="noConversion"/>
  </si>
  <si>
    <t>획지 1</t>
    <phoneticPr fontId="2" type="noConversion"/>
  </si>
  <si>
    <t>획지 2</t>
    <phoneticPr fontId="2" type="noConversion"/>
  </si>
  <si>
    <t>획지 3</t>
    <phoneticPr fontId="2" type="noConversion"/>
  </si>
  <si>
    <t>획지 4</t>
    <phoneticPr fontId="2" type="noConversion"/>
  </si>
  <si>
    <t>임대 59</t>
    <phoneticPr fontId="2" type="noConversion"/>
  </si>
  <si>
    <t>임대 84</t>
    <phoneticPr fontId="2" type="noConversion"/>
  </si>
  <si>
    <r>
      <t xml:space="preserve"> </t>
    </r>
    <r>
      <rPr>
        <b/>
        <sz val="15"/>
        <color theme="0"/>
        <rFont val="맑은 고딕"/>
        <family val="3"/>
        <charset val="129"/>
      </rPr>
      <t>■</t>
    </r>
    <r>
      <rPr>
        <b/>
        <sz val="12.75"/>
        <color theme="0"/>
        <rFont val="돋움"/>
        <family val="3"/>
        <charset val="129"/>
      </rPr>
      <t xml:space="preserve"> 획지별 </t>
    </r>
    <r>
      <rPr>
        <b/>
        <sz val="15"/>
        <color theme="0"/>
        <rFont val="돋움"/>
        <family val="3"/>
        <charset val="129"/>
      </rPr>
      <t>계획</t>
    </r>
    <phoneticPr fontId="2" type="noConversion"/>
  </si>
  <si>
    <t>공급평형</t>
    <phoneticPr fontId="2" type="noConversion"/>
  </si>
  <si>
    <t>세대수</t>
    <phoneticPr fontId="2" type="noConversion"/>
  </si>
  <si>
    <t>비율</t>
    <phoneticPr fontId="2" type="noConversion"/>
  </si>
  <si>
    <t>소계</t>
    <phoneticPr fontId="2" type="noConversion"/>
  </si>
  <si>
    <t>3 획지</t>
    <phoneticPr fontId="2" type="noConversion"/>
  </si>
  <si>
    <t>2 획지</t>
    <phoneticPr fontId="2" type="noConversion"/>
  </si>
  <si>
    <t>1 획지</t>
    <phoneticPr fontId="2" type="noConversion"/>
  </si>
  <si>
    <t>4 획지</t>
    <phoneticPr fontId="2" type="noConversion"/>
  </si>
  <si>
    <t>전용</t>
    <phoneticPr fontId="2" type="noConversion"/>
  </si>
  <si>
    <t>임대</t>
    <phoneticPr fontId="2" type="noConversion"/>
  </si>
  <si>
    <t>일반</t>
    <phoneticPr fontId="2" type="noConversion"/>
  </si>
  <si>
    <t>조합</t>
    <phoneticPr fontId="2" type="noConversion"/>
  </si>
  <si>
    <t>1~4획지</t>
    <phoneticPr fontId="2" type="noConversion"/>
  </si>
  <si>
    <t>1~4 획지</t>
    <phoneticPr fontId="2" type="noConversion"/>
  </si>
  <si>
    <t>45평형</t>
    <phoneticPr fontId="2" type="noConversion"/>
  </si>
  <si>
    <t>52평형</t>
    <phoneticPr fontId="2" type="noConversion"/>
  </si>
  <si>
    <t>63평형</t>
    <phoneticPr fontId="2" type="noConversion"/>
  </si>
  <si>
    <t>28평형</t>
    <phoneticPr fontId="2" type="noConversion"/>
  </si>
  <si>
    <t>22평형</t>
    <phoneticPr fontId="2" type="noConversion"/>
  </si>
  <si>
    <t>30~33평형</t>
    <phoneticPr fontId="2" type="noConversion"/>
  </si>
  <si>
    <t>39평형</t>
    <phoneticPr fontId="2" type="noConversion"/>
  </si>
  <si>
    <t>46평형</t>
    <phoneticPr fontId="2" type="noConversion"/>
  </si>
  <si>
    <t>55평형</t>
    <phoneticPr fontId="2" type="noConversion"/>
  </si>
  <si>
    <t>30평형</t>
    <phoneticPr fontId="2" type="noConversion"/>
  </si>
  <si>
    <t>설문비율</t>
    <phoneticPr fontId="2" type="noConversion"/>
  </si>
  <si>
    <t>6/4비율</t>
    <phoneticPr fontId="2" type="noConversion"/>
  </si>
  <si>
    <t>40평형</t>
    <phoneticPr fontId="2" type="noConversion"/>
  </si>
  <si>
    <t>66평형</t>
    <phoneticPr fontId="2" type="noConversion"/>
  </si>
  <si>
    <t>34평형</t>
    <phoneticPr fontId="2" type="noConversion"/>
  </si>
  <si>
    <t>조합</t>
    <phoneticPr fontId="2" type="noConversion"/>
  </si>
  <si>
    <t>임대</t>
    <phoneticPr fontId="2" type="noConversion"/>
  </si>
  <si>
    <t>일반</t>
    <phoneticPr fontId="2" type="noConversion"/>
  </si>
  <si>
    <t>합계</t>
    <phoneticPr fontId="2" type="noConversion"/>
  </si>
  <si>
    <t>66평형</t>
    <phoneticPr fontId="2" type="noConversion"/>
  </si>
  <si>
    <t>24평형</t>
    <phoneticPr fontId="2" type="noConversion"/>
  </si>
  <si>
    <t>-</t>
    <phoneticPr fontId="2" type="noConversion"/>
  </si>
  <si>
    <t>커뮤니티 활성화 시설</t>
    <phoneticPr fontId="2" type="noConversion"/>
  </si>
  <si>
    <t>기존획지2</t>
    <phoneticPr fontId="2" type="noConversion"/>
  </si>
  <si>
    <t>기존획지3</t>
    <phoneticPr fontId="2" type="noConversion"/>
  </si>
  <si>
    <t>비율</t>
    <phoneticPr fontId="2" type="noConversion"/>
  </si>
  <si>
    <t>합계</t>
    <phoneticPr fontId="2" type="noConversion"/>
  </si>
  <si>
    <t>합계비율</t>
    <phoneticPr fontId="2" type="noConversion"/>
  </si>
  <si>
    <t>기존획지4</t>
    <phoneticPr fontId="2" type="noConversion"/>
  </si>
  <si>
    <t>기존획지1</t>
    <phoneticPr fontId="2" type="noConversion"/>
  </si>
  <si>
    <t>기존통합</t>
    <phoneticPr fontId="2" type="noConversion"/>
  </si>
  <si>
    <t>1,000세대 이상</t>
    <phoneticPr fontId="2" type="noConversion"/>
  </si>
  <si>
    <t>500 실내어린이놀이터 포함</t>
    <phoneticPr fontId="2" type="noConversion"/>
  </si>
  <si>
    <t>신통1차조치계획</t>
    <phoneticPr fontId="2" type="noConversion"/>
  </si>
  <si>
    <t>2,000세대 이상 (서울시 주택조례)</t>
    <phoneticPr fontId="2" type="noConversion"/>
  </si>
  <si>
    <t>개방형 공공시설</t>
    <phoneticPr fontId="2" type="noConversion"/>
  </si>
  <si>
    <t>창업지원센터</t>
    <phoneticPr fontId="2" type="noConversion"/>
  </si>
  <si>
    <t>지역문화센터</t>
    <phoneticPr fontId="2" type="noConversion"/>
  </si>
  <si>
    <t>창업지원 및 청소년문화센터</t>
    <phoneticPr fontId="2" type="noConversion"/>
  </si>
  <si>
    <t>지역공동체지원센터</t>
    <phoneticPr fontId="2" type="noConversion"/>
  </si>
  <si>
    <t>창업,문화,청소년,지역공동체지원센터</t>
    <phoneticPr fontId="2" type="noConversion"/>
  </si>
  <si>
    <t>■ 사회복지시설 면적표(입체적결정)</t>
    <phoneticPr fontId="2" type="noConversion"/>
  </si>
  <si>
    <t>법적상한 임대</t>
    <phoneticPr fontId="2" type="noConversion"/>
  </si>
  <si>
    <t>기부채납 임대</t>
    <phoneticPr fontId="2" type="noConversion"/>
  </si>
  <si>
    <t>전용면적 66㎡ 이상</t>
    <phoneticPr fontId="2" type="noConversion"/>
  </si>
  <si>
    <t>-</t>
    <phoneticPr fontId="2" type="noConversion"/>
  </si>
  <si>
    <t>1,000세대 미만 (서울시 주택조례)</t>
    <phoneticPr fontId="2" type="noConversion"/>
  </si>
  <si>
    <t xml:space="preserve"> (500㎡+세대당 x 2.5㎡) x 1.25이상 설치 </t>
    <phoneticPr fontId="2" type="noConversion"/>
  </si>
  <si>
    <t>500세대이상 의무설치</t>
  </si>
  <si>
    <t>500㎡+세대당 0.7㎡</t>
  </si>
  <si>
    <t>총량제 면적 (개방형 공공시설,관리사무소 제외)</t>
    <phoneticPr fontId="2" type="noConversion"/>
  </si>
  <si>
    <t xml:space="preserve">■ 설 계 개 요 (통합) </t>
    <phoneticPr fontId="2" type="noConversion"/>
  </si>
  <si>
    <t>1획지</t>
    <phoneticPr fontId="2" type="noConversion"/>
  </si>
  <si>
    <t>정비계획안</t>
    <phoneticPr fontId="2" type="noConversion"/>
  </si>
  <si>
    <t>현재세대수</t>
    <phoneticPr fontId="2" type="noConversion"/>
  </si>
  <si>
    <t>타입</t>
    <phoneticPr fontId="2" type="noConversion"/>
  </si>
  <si>
    <t>차</t>
    <phoneticPr fontId="2" type="noConversion"/>
  </si>
  <si>
    <t>2획지</t>
    <phoneticPr fontId="2" type="noConversion"/>
  </si>
  <si>
    <t>3획지</t>
    <phoneticPr fontId="2" type="noConversion"/>
  </si>
  <si>
    <t>4획지</t>
    <phoneticPr fontId="2" type="noConversion"/>
  </si>
  <si>
    <t>근생면적차</t>
    <phoneticPr fontId="2" type="noConversion"/>
  </si>
  <si>
    <t>현재계획안</t>
    <phoneticPr fontId="2" type="noConversion"/>
  </si>
  <si>
    <t>전체연면적</t>
    <phoneticPr fontId="2" type="noConversion"/>
  </si>
  <si>
    <t>부대시설면적차</t>
    <phoneticPr fontId="2" type="noConversion"/>
  </si>
  <si>
    <t>근린생활시설</t>
    <phoneticPr fontId="105" type="noConversion"/>
  </si>
  <si>
    <t>근생지상</t>
    <phoneticPr fontId="105" type="noConversion"/>
  </si>
  <si>
    <t>근생지하</t>
    <phoneticPr fontId="2" type="noConversion"/>
  </si>
  <si>
    <t>감소면적</t>
    <phoneticPr fontId="2" type="noConversion"/>
  </si>
  <si>
    <t>지하주차장면적</t>
    <phoneticPr fontId="2" type="noConversion"/>
  </si>
  <si>
    <t>증가면적</t>
    <phoneticPr fontId="2" type="noConversion"/>
  </si>
  <si>
    <t>공동주택 공급면적(분양면적)</t>
    <phoneticPr fontId="2" type="noConversion"/>
  </si>
  <si>
    <t>경비실</t>
    <phoneticPr fontId="2" type="noConversion"/>
  </si>
  <si>
    <t>다함께돌봄</t>
    <phoneticPr fontId="2" type="noConversion"/>
  </si>
  <si>
    <t>세대당면적</t>
    <phoneticPr fontId="2" type="noConversion"/>
  </si>
  <si>
    <t>면적차</t>
    <phoneticPr fontId="2" type="noConversion"/>
  </si>
  <si>
    <t>근린생활시설전체</t>
    <phoneticPr fontId="2" type="noConversion"/>
  </si>
  <si>
    <t>근생지상</t>
    <phoneticPr fontId="2" type="noConversion"/>
  </si>
  <si>
    <t>부대시설1획지</t>
    <phoneticPr fontId="2" type="noConversion"/>
  </si>
  <si>
    <t>부대시설2획지</t>
    <phoneticPr fontId="2" type="noConversion"/>
  </si>
  <si>
    <t>부대시설3획지</t>
    <phoneticPr fontId="2" type="noConversion"/>
  </si>
  <si>
    <t>부대시설4획지</t>
    <phoneticPr fontId="2" type="noConversion"/>
  </si>
  <si>
    <t>부대시설전체</t>
    <phoneticPr fontId="2" type="noConversion"/>
  </si>
  <si>
    <t>공동주택공급면적</t>
    <phoneticPr fontId="2" type="noConversion"/>
  </si>
  <si>
    <t>세대당/평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</si>
</sst>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0">
    <numFmt numFmtId="41" formatCode="_-* #,##0_-;\-* #,##0_-;_-* &quot;-&quot;_-;_-@_-"/>
    <numFmt numFmtId="176" formatCode="#,##0.00_);[Red]\(#,##0.00\)"/>
    <numFmt numFmtId="177" formatCode="#,##0.000&quot;㎡&quot;"/>
    <numFmt numFmtId="178" formatCode="#,##0.00&quot;㎡&quot;"/>
    <numFmt numFmtId="179" formatCode="\(#,##0.000&quot;평&quot;\)"/>
    <numFmt numFmtId="180" formatCode="\(#,##0.00&quot;평&quot;\)"/>
    <numFmt numFmtId="181" formatCode="0.00\ %"/>
    <numFmt numFmtId="182" formatCode="#,##0.00_);\(#,##0.00\)"/>
    <numFmt numFmtId="183" formatCode="#,###&quot;대&quot;"/>
    <numFmt numFmtId="184" formatCode="#,###\ &quot;세&quot;&quot;대&quot;"/>
    <numFmt numFmtId="185" formatCode="0\ &quot;평&quot;&quot;형&quot;"/>
    <numFmt numFmtId="186" formatCode="0.00_);[Red]\(0.00\)"/>
    <numFmt numFmtId="187" formatCode="#,##0.0000_ "/>
    <numFmt numFmtId="188" formatCode="\(\ ###\ &quot;%&quot;\ &quot;이&quot;&quot;하&quot;\ \)"/>
    <numFmt numFmtId="189" formatCode="#,##0.00&quot;㎡&quot;&quot;이상&quot;"/>
    <numFmt numFmtId="190" formatCode="#,###&quot;세&quot;&quot;대&quot;\x\6&quot;㎡&quot;\="/>
    <numFmt numFmtId="191" formatCode="\300&quot;㎡&quot;\+\(#,###\-\500\)/200&quot;×&quot;\1\50\="/>
    <numFmt numFmtId="192" formatCode="\40&quot;㎡&quot;\+\(#,###&quot;세&quot;&quot;대&quot;\-&quot;150&quot;&quot;세대&quot;\)\x&quot;0.1&quot;&quot;㎡&quot;\="/>
    <numFmt numFmtId="193" formatCode="\10&quot;㎡&quot;\+\(#,###&quot;세&quot;&quot;대&quot;\-&quot;50&quot;&quot;세&quot;&quot;대&quot;\)\x&quot;0.05&quot;&quot;㎡&quot;\="/>
    <numFmt numFmtId="194" formatCode="_ * #,##0_ ;_ * \-#,##0_ ;_ * &quot;-&quot;_ ;_ @_ "/>
    <numFmt numFmtId="195" formatCode="_ * #,##0.00_ ;_ * \-#,##0.00_ ;_ * &quot;-&quot;??_ ;_ @_ "/>
    <numFmt numFmtId="196" formatCode="_-* #,##0.000_-;\-* #,##0.000_-;_-* &quot;-&quot;_-;_-@_-"/>
    <numFmt numFmtId="197" formatCode="0.0000%"/>
    <numFmt numFmtId="198" formatCode="#,##0;&quot;-&quot;#,##0"/>
    <numFmt numFmtId="199" formatCode="#,##0.0;[Red]#,##0.0;&quot; &quot;"/>
    <numFmt numFmtId="200" formatCode="#,##0.0000"/>
    <numFmt numFmtId="201" formatCode="#,##0.00;[Red]#,##0.00;&quot; &quot;"/>
    <numFmt numFmtId="202" formatCode="_(&quot;$&quot;* #,##0.00_);_(&quot;$&quot;* \(#,##0.00\);_(&quot;$&quot;* &quot;-&quot;??_);_(@_)"/>
    <numFmt numFmtId="203" formatCode="_-* #,##0;\-* #,##0;_-* &quot;-&quot;;_-@"/>
    <numFmt numFmtId="204" formatCode="&quot;  &quot;@"/>
    <numFmt numFmtId="205" formatCode="#,###,###.00&quot;㎡&quot;"/>
    <numFmt numFmtId="206" formatCode="#,##0.00&quot; ㎡이상&quot;"/>
    <numFmt numFmtId="207" formatCode="#,##0&quot; 대&quot;"/>
    <numFmt numFmtId="208" formatCode="\(#,##0.00\)"/>
    <numFmt numFmtId="209" formatCode="#,##0&quot;M도로&quot;"/>
    <numFmt numFmtId="210" formatCode="\(&quot;세대당&quot;\ ###.##\ &quot;대&quot;\ \)"/>
    <numFmt numFmtId="211" formatCode="#,###.00\ &quot;층&quot;"/>
    <numFmt numFmtId="212" formatCode="\ &quot;대지면적&quot;\ #,###.00"/>
    <numFmt numFmtId="213" formatCode="#,###&quot;㎡&quot;&quot;당&quot;\ \1&quot;대&quot;"/>
    <numFmt numFmtId="214" formatCode="\10&quot;㎡&quot;\ \+\ \(#,###&quot;세&quot;&quot;대&quot;\ \-\ &quot;50&quot;&quot;세&quot;&quot;대&quot;\)\ \x\ &quot;0.05&quot;&quot;㎡&quot;"/>
    <numFmt numFmtId="215" formatCode="&quot; 지하&quot;\ 0&quot;층&quot;"/>
    <numFmt numFmtId="216" formatCode="_-* #,##0.00_-;\-* #,##0.00_-;_-* &quot;-&quot;_-;_-@_-"/>
    <numFmt numFmtId="217" formatCode="#,##0&quot; 세대&quot;"/>
    <numFmt numFmtId="218" formatCode="#,###.00&quot;㎡&quot;"/>
    <numFmt numFmtId="219" formatCode="#,##0.00&quot; ㎡&quot;"/>
    <numFmt numFmtId="220" formatCode="#,##0.000_ "/>
    <numFmt numFmtId="221" formatCode="\(&quot;법정&quot;\ ###.##\ &quot;대&quot;\ \)"/>
    <numFmt numFmtId="222" formatCode="#,###.00&quot;㎡&quot;&quot; (113동)&quot;"/>
    <numFmt numFmtId="223" formatCode="#,###.00&quot;㎡&quot;&quot; (112동)&quot;"/>
    <numFmt numFmtId="224" formatCode="&quot;74type&quot;\ #,##0&quot;세대&quot;"/>
    <numFmt numFmtId="225" formatCode="&quot;/ 84type&quot;\ #,##0&quot;세대&quot;"/>
    <numFmt numFmtId="226" formatCode="#,##0.00_ "/>
    <numFmt numFmtId="227" formatCode="0.0%"/>
    <numFmt numFmtId="228" formatCode="&quot;= &quot;#,##0.00&quot;㎡&quot;"/>
    <numFmt numFmtId="229" formatCode="#,###&quot; 대&quot;"/>
    <numFmt numFmtId="230" formatCode="\(\ ###.00\ &quot;%&quot;\ &quot;이&quot;&quot;하&quot;\ \)"/>
    <numFmt numFmtId="231" formatCode="&quot;x &quot;0.00%"/>
    <numFmt numFmtId="232" formatCode="&quot;{ &quot;0.00%&quot;(적용용적률)&quot;"/>
    <numFmt numFmtId="233" formatCode="&quot;- &quot;0.00%&quot;(상한용적률)}&quot;"/>
    <numFmt numFmtId="234" formatCode="#,##0&quot; ㎡이상&quot;"/>
    <numFmt numFmtId="235" formatCode="#,##0.0_ "/>
    <numFmt numFmtId="236" formatCode="#%&quot;이상&quot;"/>
    <numFmt numFmtId="237" formatCode="\ &quot;(&quot;#,000&quot;세대)의&quot;"/>
    <numFmt numFmtId="238" formatCode="&quot;=&quot;\ 0.00%"/>
    <numFmt numFmtId="239" formatCode="##&quot;타입&quot;"/>
    <numFmt numFmtId="240" formatCode="##&quot;세대&quot;"/>
    <numFmt numFmtId="241" formatCode="&quot;x &quot;###.##&quot;㎡&quot;\ "/>
    <numFmt numFmtId="242" formatCode="&quot;=&quot;\ #,###.##&quot;㎡&quot;"/>
    <numFmt numFmtId="243" formatCode="&quot;(&quot;#,##0.00&quot;세대 이상)&quot;"/>
    <numFmt numFmtId="244" formatCode="&quot;/&quot;\ ##"/>
    <numFmt numFmtId="245" formatCode="&quot;=&quot;\ #,###.##&quot;㎡이상&quot;"/>
    <numFmt numFmtId="246" formatCode="&quot;적용 :&quot;\ #,###\ &quot;세대&quot;"/>
    <numFmt numFmtId="247" formatCode="&quot;기준 :&quot;\ #,###.00\ &quot;세대 이상&quot;"/>
    <numFmt numFmtId="248" formatCode="###&quot;세대&quot;"/>
    <numFmt numFmtId="249" formatCode="###,###.##&quot;㎡&quot;"/>
    <numFmt numFmtId="250" formatCode="&quot;+&quot;0.00%"/>
    <numFmt numFmtId="251" formatCode="##&quot;T&quot;"/>
    <numFmt numFmtId="252" formatCode="##&quot;(59복층형)&quot;"/>
    <numFmt numFmtId="253" formatCode="##&quot;(펜트)&quot;"/>
    <numFmt numFmtId="254" formatCode="#,###.00&quot;㎡이하&quot;"/>
    <numFmt numFmtId="255" formatCode="&quot;=&quot;\ #,###.00&quot;㎡&quot;"/>
    <numFmt numFmtId="256" formatCode="##&quot;㎡&quot;"/>
    <numFmt numFmtId="257" formatCode="##,###.00&quot;㎡&quot;"/>
    <numFmt numFmtId="258" formatCode="&quot;대지면적&quot;\ 0%"/>
    <numFmt numFmtId="259" formatCode="#,###.0000\ &quot;층&quot;"/>
    <numFmt numFmtId="260" formatCode="\(\ ###&quot;%&quot;\ &quot;이&quot;&quot;하&quot;\ \)"/>
    <numFmt numFmtId="261" formatCode="&quot;x &quot;###.#0&quot;㎡&quot;\ "/>
    <numFmt numFmtId="262" formatCode="&quot;(&quot;0.00%&quot;)&quot;"/>
    <numFmt numFmtId="263" formatCode="#,##0.00_ ;[Red]\-#,##0.00\ "/>
    <numFmt numFmtId="264" formatCode="\(&quot;법정x&quot;\ ###.##\ &quot;대&quot;\ \)"/>
    <numFmt numFmtId="265" formatCode="mm&quot;월&quot;\ dd&quot;일&quot;"/>
    <numFmt numFmtId="266" formatCode="\(##.##\ &quot;평&quot;\)"/>
    <numFmt numFmtId="267" formatCode="&quot;(&quot;0.0%&quot;)&quot;"/>
    <numFmt numFmtId="268" formatCode="\(##.#\ &quot;평&quot;\)"/>
    <numFmt numFmtId="269" formatCode="&quot;임&quot;\ General"/>
    <numFmt numFmtId="270" formatCode="#,##0.0000000_ "/>
    <numFmt numFmtId="271" formatCode="0.000000%"/>
    <numFmt numFmtId="272" formatCode="0.0"/>
    <numFmt numFmtId="273" formatCode="#,##0.000000000000_ "/>
    <numFmt numFmtId="274" formatCode="0.00_ "/>
  </numFmts>
  <fonts count="106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1"/>
      <name val="돋움"/>
      <family val="3"/>
      <charset val="129"/>
    </font>
    <font>
      <sz val="12"/>
      <name val="맑은 고딕"/>
      <family val="3"/>
      <charset val="129"/>
    </font>
    <font>
      <b/>
      <sz val="9"/>
      <name val="맑은 고딕"/>
      <family val="3"/>
      <charset val="129"/>
    </font>
    <font>
      <sz val="9"/>
      <name val="맑은 고딕"/>
      <family val="3"/>
      <charset val="129"/>
    </font>
    <font>
      <sz val="7"/>
      <name val="맑은 고딕"/>
      <family val="3"/>
      <charset val="129"/>
    </font>
    <font>
      <sz val="8"/>
      <name val="맑은 고딕"/>
      <family val="3"/>
      <charset val="129"/>
    </font>
    <font>
      <b/>
      <sz val="8"/>
      <name val="맑은 고딕"/>
      <family val="3"/>
      <charset val="129"/>
    </font>
    <font>
      <sz val="11"/>
      <name val="맑은 고딕"/>
      <family val="3"/>
      <charset val="129"/>
    </font>
    <font>
      <sz val="10"/>
      <name val="맑은 고딕"/>
      <family val="3"/>
      <charset val="129"/>
    </font>
    <font>
      <sz val="11"/>
      <name val="HY울릉도L"/>
      <family val="1"/>
      <charset val="129"/>
    </font>
    <font>
      <sz val="12"/>
      <name val="바탕체"/>
      <family val="1"/>
      <charset val="129"/>
    </font>
    <font>
      <b/>
      <sz val="12"/>
      <name val="Arial"/>
      <family val="2"/>
    </font>
    <font>
      <sz val="11"/>
      <name val="돋움체"/>
      <family val="3"/>
      <charset val="129"/>
    </font>
    <font>
      <sz val="10"/>
      <name val="돋움체"/>
      <family val="3"/>
      <charset val="129"/>
    </font>
    <font>
      <sz val="11"/>
      <name val="바탕체"/>
      <family val="1"/>
      <charset val="129"/>
    </font>
    <font>
      <sz val="12"/>
      <name val="돋움"/>
      <family val="3"/>
      <charset val="129"/>
    </font>
    <font>
      <sz val="10"/>
      <name val="MS Sans Serif"/>
      <family val="2"/>
    </font>
    <font>
      <sz val="10"/>
      <name val="Arial"/>
      <family val="2"/>
    </font>
    <font>
      <sz val="10"/>
      <name val="Times New Roman"/>
      <family val="1"/>
    </font>
    <font>
      <sz val="10"/>
      <name val="굴림체"/>
      <family val="3"/>
      <charset val="129"/>
    </font>
    <font>
      <sz val="9"/>
      <name val="돋움체"/>
      <family val="3"/>
      <charset val="129"/>
    </font>
    <font>
      <sz val="12"/>
      <name val="뼻뮝"/>
      <family val="1"/>
      <charset val="129"/>
    </font>
    <font>
      <sz val="10"/>
      <color indexed="10"/>
      <name val="돋움체"/>
      <family val="3"/>
      <charset val="129"/>
    </font>
    <font>
      <sz val="10"/>
      <name val="돋움"/>
      <family val="3"/>
      <charset val="129"/>
    </font>
    <font>
      <sz val="10"/>
      <name val="바탕체"/>
      <family val="1"/>
      <charset val="129"/>
    </font>
    <font>
      <sz val="12"/>
      <color indexed="24"/>
      <name val="Helv"/>
      <family val="2"/>
    </font>
    <font>
      <b/>
      <sz val="8"/>
      <color theme="0"/>
      <name val="맑은 고딕"/>
      <family val="3"/>
      <charset val="129"/>
    </font>
    <font>
      <sz val="7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</font>
    <font>
      <b/>
      <sz val="8"/>
      <color rgb="FFFF0000"/>
      <name val="맑은 고딕"/>
      <family val="3"/>
      <charset val="129"/>
    </font>
    <font>
      <b/>
      <sz val="8"/>
      <color theme="1" tint="4.9989318521683403E-2"/>
      <name val="맑은 고딕"/>
      <family val="3"/>
      <charset val="129"/>
    </font>
    <font>
      <b/>
      <sz val="8.5"/>
      <color theme="0"/>
      <name val="맑은 고딕"/>
      <family val="3"/>
      <charset val="129"/>
    </font>
    <font>
      <sz val="7.5"/>
      <name val="맑은 고딕"/>
      <family val="3"/>
      <charset val="129"/>
    </font>
    <font>
      <b/>
      <sz val="8"/>
      <color theme="4"/>
      <name val="맑은 고딕"/>
      <family val="3"/>
      <charset val="129"/>
    </font>
    <font>
      <sz val="8"/>
      <name val="HY울릉도L"/>
      <family val="1"/>
      <charset val="129"/>
    </font>
    <font>
      <sz val="7.5"/>
      <name val="맑은 고딕"/>
      <family val="2"/>
      <charset val="129"/>
      <scheme val="minor"/>
    </font>
    <font>
      <sz val="7.5"/>
      <name val="맑은 고딕"/>
      <family val="2"/>
      <charset val="129"/>
    </font>
    <font>
      <b/>
      <sz val="8.5"/>
      <name val="맑은 고딕"/>
      <family val="3"/>
      <charset val="129"/>
    </font>
    <font>
      <sz val="8.5"/>
      <name val="맑은 고딕"/>
      <family val="3"/>
      <charset val="129"/>
    </font>
    <font>
      <b/>
      <sz val="8"/>
      <name val="돋움"/>
      <family val="3"/>
      <charset val="129"/>
    </font>
    <font>
      <sz val="8"/>
      <color theme="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color theme="1"/>
      <name val="돋움"/>
      <family val="3"/>
      <charset val="129"/>
    </font>
    <font>
      <b/>
      <sz val="8"/>
      <color theme="1"/>
      <name val="돋움"/>
      <family val="3"/>
      <charset val="129"/>
    </font>
    <font>
      <sz val="9"/>
      <color theme="1"/>
      <name val="맑은 고딕"/>
      <family val="3"/>
      <charset val="129"/>
    </font>
    <font>
      <sz val="9"/>
      <name val="나눔고딕"/>
      <family val="3"/>
      <charset val="129"/>
    </font>
    <font>
      <b/>
      <sz val="9"/>
      <name val="나눔고딕"/>
      <family val="3"/>
      <charset val="129"/>
    </font>
    <font>
      <b/>
      <sz val="8"/>
      <name val="굴림"/>
      <family val="3"/>
      <charset val="129"/>
    </font>
    <font>
      <sz val="8"/>
      <name val="맑은 고딕"/>
      <family val="3"/>
      <charset val="129"/>
      <scheme val="minor"/>
    </font>
    <font>
      <b/>
      <sz val="9"/>
      <name val="굴림"/>
      <family val="3"/>
      <charset val="129"/>
    </font>
    <font>
      <sz val="8"/>
      <name val="굴림"/>
      <family val="3"/>
      <charset val="129"/>
    </font>
    <font>
      <b/>
      <sz val="8"/>
      <color rgb="FF4F81BD"/>
      <name val="맑은 고딕"/>
      <family val="3"/>
      <charset val="129"/>
    </font>
    <font>
      <sz val="8"/>
      <color theme="1" tint="4.9989318521683403E-2"/>
      <name val="맑은 고딕"/>
      <family val="3"/>
      <charset val="129"/>
    </font>
    <font>
      <b/>
      <sz val="7"/>
      <color theme="0"/>
      <name val="맑은 고딕"/>
      <family val="3"/>
      <charset val="129"/>
    </font>
    <font>
      <sz val="6"/>
      <name val="맑은 고딕"/>
      <family val="3"/>
      <charset val="129"/>
    </font>
    <font>
      <b/>
      <sz val="6"/>
      <color theme="0"/>
      <name val="맑은 고딕"/>
      <family val="3"/>
      <charset val="129"/>
    </font>
    <font>
      <b/>
      <sz val="8"/>
      <color rgb="FF00B050"/>
      <name val="맑은 고딕"/>
      <family val="3"/>
      <charset val="129"/>
    </font>
    <font>
      <sz val="9"/>
      <name val="돋움"/>
      <family val="3"/>
      <charset val="129"/>
    </font>
    <font>
      <sz val="11"/>
      <color rgb="FF000000"/>
      <name val="돋움"/>
      <family val="3"/>
      <charset val="129"/>
    </font>
    <font>
      <b/>
      <sz val="9"/>
      <color rgb="FFFF0000"/>
      <name val="맑은 고딕"/>
      <family val="3"/>
      <charset val="129"/>
    </font>
    <font>
      <b/>
      <sz val="8.5"/>
      <color rgb="FFFF0000"/>
      <name val="맑은 고딕"/>
      <family val="3"/>
      <charset val="129"/>
    </font>
    <font>
      <sz val="9"/>
      <color rgb="FFFF0000"/>
      <name val="맑은 고딕"/>
      <family val="3"/>
      <charset val="129"/>
    </font>
    <font>
      <b/>
      <sz val="8"/>
      <color theme="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8"/>
      <name val="맑은 고딕"/>
      <family val="3"/>
      <charset val="129"/>
    </font>
    <font>
      <sz val="8.5"/>
      <color theme="1"/>
      <name val="맑은 고딕"/>
      <family val="3"/>
      <charset val="129"/>
    </font>
    <font>
      <sz val="8.5"/>
      <color theme="0"/>
      <name val="맑은 고딕"/>
      <family val="3"/>
      <charset val="129"/>
    </font>
    <font>
      <sz val="8"/>
      <name val="맑은 고딕"/>
      <family val="3"/>
      <charset val="129"/>
      <scheme val="major"/>
    </font>
    <font>
      <sz val="8.5"/>
      <color theme="0" tint="-0.14999847407452621"/>
      <name val="맑은 고딕"/>
      <family val="3"/>
      <charset val="129"/>
    </font>
    <font>
      <sz val="12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5"/>
      <color theme="0"/>
      <name val="돋움"/>
      <family val="3"/>
      <charset val="129"/>
    </font>
    <font>
      <b/>
      <sz val="15"/>
      <color theme="0"/>
      <name val="맑은 고딕"/>
      <family val="3"/>
      <charset val="129"/>
    </font>
    <font>
      <b/>
      <sz val="12.75"/>
      <color theme="0"/>
      <name val="돋움"/>
      <family val="3"/>
      <charset val="129"/>
    </font>
    <font>
      <b/>
      <sz val="12"/>
      <name val="맑은 고딕"/>
      <family val="3"/>
      <charset val="129"/>
      <scheme val="major"/>
    </font>
    <font>
      <b/>
      <sz val="13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1"/>
      <color theme="1" tint="0.499984740745262"/>
      <name val="맑은 고딕"/>
      <family val="3"/>
      <charset val="129"/>
      <scheme val="major"/>
    </font>
    <font>
      <b/>
      <sz val="12"/>
      <color theme="0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sz val="10"/>
      <color theme="1" tint="0.249977111117893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sz val="12"/>
      <color theme="1" tint="0.249977111117893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3"/>
      <color rgb="FFFF0000"/>
      <name val="맑은 고딕"/>
      <family val="3"/>
      <charset val="129"/>
      <scheme val="minor"/>
    </font>
    <font>
      <b/>
      <sz val="15"/>
      <name val="나눔바른고딕OTF"/>
      <family val="1"/>
      <charset val="129"/>
    </font>
    <font>
      <b/>
      <sz val="12"/>
      <name val="나눔바른고딕OTF"/>
      <family val="1"/>
      <charset val="129"/>
    </font>
    <font>
      <sz val="12"/>
      <name val="나눔바른고딕OTF"/>
      <family val="1"/>
      <charset val="129"/>
    </font>
    <font>
      <sz val="12"/>
      <color theme="0" tint="-0.14999847407452621"/>
      <name val="나눔바른고딕OTF"/>
      <family val="1"/>
      <charset val="129"/>
    </font>
    <font>
      <b/>
      <sz val="15"/>
      <color theme="0"/>
      <name val="나눔바른고딕OTF"/>
      <family val="1"/>
      <charset val="129"/>
    </font>
    <font>
      <sz val="11"/>
      <color rgb="FFFF0000"/>
      <name val="돋움"/>
      <family val="3"/>
      <charset val="129"/>
    </font>
    <font>
      <sz val="11"/>
      <color theme="9"/>
      <name val="돋움"/>
      <family val="3"/>
      <charset val="129"/>
    </font>
    <font>
      <sz val="12"/>
      <color rgb="FFFF0000"/>
      <name val="맑은 고딕"/>
      <family val="3"/>
      <charset val="129"/>
      <scheme val="minor"/>
    </font>
    <font>
      <sz val="8"/>
      <color rgb="FF0000FF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7"/>
        <bgColor indexed="47"/>
      </patternFill>
    </fill>
    <fill>
      <patternFill patternType="solid">
        <fgColor indexed="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theme="0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499984740745262"/>
        <bgColor theme="0"/>
      </patternFill>
    </fill>
    <fill>
      <patternFill patternType="solid">
        <fgColor theme="0" tint="-0.14999847407452621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</fills>
  <borders count="2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auto="1"/>
      </left>
      <right/>
      <top style="hair">
        <color theme="0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theme="0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auto="1"/>
      </top>
      <bottom style="hair">
        <color auto="1"/>
      </bottom>
      <diagonal/>
    </border>
    <border>
      <left style="thin">
        <color theme="1"/>
      </left>
      <right style="thin">
        <color theme="1"/>
      </right>
      <top style="hair">
        <color auto="1"/>
      </top>
      <bottom style="hair">
        <color auto="1"/>
      </bottom>
      <diagonal/>
    </border>
    <border>
      <left style="thin">
        <color theme="1"/>
      </left>
      <right style="thin">
        <color theme="1"/>
      </right>
      <top style="hair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hair">
        <color auto="1"/>
      </bottom>
      <diagonal/>
    </border>
    <border>
      <left style="thin">
        <color theme="1"/>
      </left>
      <right style="thin">
        <color theme="1"/>
      </right>
      <top style="hair">
        <color auto="1"/>
      </top>
      <bottom/>
      <diagonal/>
    </border>
    <border>
      <left/>
      <right style="thin">
        <color theme="1"/>
      </right>
      <top style="hair">
        <color indexed="64"/>
      </top>
      <bottom style="hair">
        <color indexed="64"/>
      </bottom>
      <diagonal/>
    </border>
    <border>
      <left/>
      <right style="thin">
        <color theme="1"/>
      </right>
      <top style="hair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theme="1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auto="1"/>
      </left>
      <right style="hair">
        <color auto="1"/>
      </right>
      <top/>
      <bottom style="hair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 style="thin">
        <color theme="0"/>
      </left>
      <right/>
      <top style="hair">
        <color indexed="64"/>
      </top>
      <bottom style="thin">
        <color indexed="64"/>
      </bottom>
      <diagonal/>
    </border>
    <border>
      <left style="thin">
        <color theme="0"/>
      </left>
      <right/>
      <top style="hair">
        <color indexed="64"/>
      </top>
      <bottom style="hair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1"/>
      </left>
      <right/>
      <top style="hair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hair">
        <color indexed="64"/>
      </right>
      <top style="thin">
        <color indexed="64"/>
      </top>
      <bottom/>
      <diagonal/>
    </border>
    <border>
      <left style="thin">
        <color theme="0"/>
      </left>
      <right style="hair">
        <color indexed="64"/>
      </right>
      <top/>
      <bottom/>
      <diagonal/>
    </border>
    <border>
      <left style="hair">
        <color auto="1"/>
      </left>
      <right style="thin">
        <color theme="1"/>
      </right>
      <top style="hair">
        <color auto="1"/>
      </top>
      <bottom style="thin">
        <color indexed="64"/>
      </bottom>
      <diagonal/>
    </border>
    <border>
      <left style="thin">
        <color theme="0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hair">
        <color auto="1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theme="1"/>
      </right>
      <top/>
      <bottom style="hair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indexed="64"/>
      </top>
      <bottom style="hair">
        <color indexed="64"/>
      </bottom>
      <diagonal/>
    </border>
    <border>
      <left/>
      <right style="thin">
        <color theme="0"/>
      </right>
      <top style="hair">
        <color indexed="64"/>
      </top>
      <bottom style="hair">
        <color indexed="64"/>
      </bottom>
      <diagonal/>
    </border>
    <border>
      <left/>
      <right style="thin">
        <color theme="0"/>
      </right>
      <top style="hair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hair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theme="0"/>
      </left>
      <right style="hair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 style="hair">
        <color indexed="64"/>
      </bottom>
      <diagonal/>
    </border>
    <border>
      <left style="thin">
        <color theme="0"/>
      </left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 style="hair">
        <color indexed="64"/>
      </right>
      <top style="thin">
        <color theme="0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hair">
        <color theme="0"/>
      </bottom>
      <diagonal/>
    </border>
    <border>
      <left/>
      <right/>
      <top style="thin">
        <color indexed="64"/>
      </top>
      <bottom style="hair">
        <color theme="0"/>
      </bottom>
      <diagonal/>
    </border>
    <border>
      <left/>
      <right style="thin">
        <color theme="0"/>
      </right>
      <top style="thin">
        <color indexed="64"/>
      </top>
      <bottom style="hair">
        <color theme="0"/>
      </bottom>
      <diagonal/>
    </border>
    <border>
      <left style="hair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theme="0"/>
      </right>
      <top/>
      <bottom/>
      <diagonal/>
    </border>
    <border>
      <left style="hair">
        <color indexed="64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theme="0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hair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/>
      <diagonal/>
    </border>
    <border>
      <left style="hair">
        <color indexed="64"/>
      </left>
      <right style="hair">
        <color indexed="64"/>
      </right>
      <top style="thin">
        <color theme="0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theme="0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theme="0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hair">
        <color indexed="64"/>
      </right>
      <top style="thin">
        <color theme="0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theme="0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 style="medium">
        <color indexed="64"/>
      </right>
      <top/>
      <bottom style="thin">
        <color theme="0"/>
      </bottom>
      <diagonal/>
    </border>
    <border>
      <left style="medium">
        <color indexed="64"/>
      </left>
      <right style="hair">
        <color indexed="64"/>
      </right>
      <top style="thin">
        <color theme="0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theme="0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theme="0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theme="1"/>
      </left>
      <right/>
      <top style="hair">
        <color indexed="64"/>
      </top>
      <bottom style="hair">
        <color indexed="64"/>
      </bottom>
      <diagonal/>
    </border>
    <border>
      <left style="thin">
        <color theme="0"/>
      </left>
      <right style="hair">
        <color indexed="64"/>
      </right>
      <top style="thin">
        <color indexed="64"/>
      </top>
      <bottom style="hair">
        <color theme="0"/>
      </bottom>
      <diagonal/>
    </border>
    <border>
      <left/>
      <right style="hair">
        <color theme="0"/>
      </right>
      <top/>
      <bottom/>
      <diagonal/>
    </border>
    <border>
      <left/>
      <right style="hair">
        <color indexed="64"/>
      </right>
      <top style="thin">
        <color theme="0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theme="0"/>
      </bottom>
      <diagonal/>
    </border>
    <border>
      <left style="hair">
        <color indexed="64"/>
      </left>
      <right style="thin">
        <color theme="0"/>
      </right>
      <top/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theme="0"/>
      </right>
      <top style="hair">
        <color indexed="64"/>
      </top>
      <bottom/>
      <diagonal/>
    </border>
    <border>
      <left style="thin">
        <color theme="1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 style="hair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auto="1"/>
      </top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hair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/>
      <diagonal/>
    </border>
    <border>
      <left style="hair">
        <color auto="1"/>
      </left>
      <right style="thin">
        <color indexed="64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thin">
        <color indexed="64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medium">
        <color auto="1"/>
      </bottom>
      <diagonal/>
    </border>
    <border>
      <left style="hair">
        <color auto="1"/>
      </left>
      <right/>
      <top style="thin">
        <color indexed="64"/>
      </top>
      <bottom style="medium">
        <color auto="1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auto="1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thin">
        <color theme="0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/>
      <diagonal/>
    </border>
    <border>
      <left style="medium">
        <color indexed="64"/>
      </left>
      <right style="hair">
        <color auto="1"/>
      </right>
      <top/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hair">
        <color indexed="64"/>
      </left>
      <right/>
      <top style="thin">
        <color theme="0"/>
      </top>
      <bottom style="hair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auto="1"/>
      </left>
      <right style="thin">
        <color theme="1"/>
      </right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hair">
        <color theme="1"/>
      </bottom>
      <diagonal/>
    </border>
    <border>
      <left style="thin">
        <color theme="1"/>
      </left>
      <right style="thin">
        <color indexed="64"/>
      </right>
      <top style="hair">
        <color theme="1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theme="0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hair">
        <color indexed="64"/>
      </top>
      <bottom/>
      <diagonal/>
    </border>
    <border>
      <left style="thin">
        <color theme="1"/>
      </left>
      <right/>
      <top/>
      <bottom style="hair">
        <color indexed="64"/>
      </bottom>
      <diagonal/>
    </border>
  </borders>
  <cellStyleXfs count="57">
    <xf numFmtId="0" fontId="0" fillId="0" borderId="0">
      <alignment vertical="center"/>
    </xf>
    <xf numFmtId="194" fontId="17" fillId="0" borderId="1">
      <alignment vertical="center"/>
    </xf>
    <xf numFmtId="198" fontId="13" fillId="0" borderId="0">
      <alignment vertical="center"/>
    </xf>
    <xf numFmtId="199" fontId="18" fillId="0" borderId="0">
      <alignment vertical="center"/>
    </xf>
    <xf numFmtId="197" fontId="1" fillId="0" borderId="0">
      <alignment vertical="center"/>
    </xf>
    <xf numFmtId="197" fontId="1" fillId="0" borderId="0">
      <alignment vertical="center"/>
    </xf>
    <xf numFmtId="200" fontId="1" fillId="0" borderId="0">
      <alignment vertical="center"/>
    </xf>
    <xf numFmtId="200" fontId="1" fillId="0" borderId="0">
      <alignment vertical="center"/>
    </xf>
    <xf numFmtId="200" fontId="1" fillId="0" borderId="0">
      <alignment vertical="center"/>
    </xf>
    <xf numFmtId="200" fontId="1" fillId="0" borderId="0">
      <alignment vertical="center"/>
    </xf>
    <xf numFmtId="201" fontId="16" fillId="0" borderId="0">
      <alignment vertical="center"/>
    </xf>
    <xf numFmtId="0" fontId="1" fillId="0" borderId="0"/>
    <xf numFmtId="201" fontId="16" fillId="0" borderId="0">
      <alignment vertical="center"/>
    </xf>
    <xf numFmtId="0" fontId="19" fillId="0" borderId="0" applyFont="0" applyFill="0" applyBorder="0" applyAlignment="0" applyProtection="0"/>
    <xf numFmtId="195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202" fontId="20" fillId="0" borderId="0" applyFont="0" applyFill="0" applyBorder="0" applyAlignment="0" applyProtection="0"/>
    <xf numFmtId="0" fontId="21" fillId="0" borderId="0"/>
    <xf numFmtId="0" fontId="14" fillId="0" borderId="2" applyNumberFormat="0" applyAlignment="0" applyProtection="0">
      <alignment horizontal="left" vertical="center"/>
    </xf>
    <xf numFmtId="0" fontId="14" fillId="0" borderId="3">
      <alignment horizontal="left" vertical="center"/>
    </xf>
    <xf numFmtId="0" fontId="20" fillId="0" borderId="0"/>
    <xf numFmtId="195" fontId="16" fillId="0" borderId="0">
      <alignment vertical="center"/>
    </xf>
    <xf numFmtId="186" fontId="16" fillId="0" borderId="0">
      <alignment vertical="center"/>
    </xf>
    <xf numFmtId="186" fontId="16" fillId="0" borderId="0">
      <alignment vertical="distributed"/>
    </xf>
    <xf numFmtId="0" fontId="16" fillId="0" borderId="0">
      <alignment vertical="center"/>
    </xf>
    <xf numFmtId="0" fontId="1" fillId="0" borderId="0"/>
    <xf numFmtId="3" fontId="19" fillId="0" borderId="4">
      <alignment horizontal="center"/>
    </xf>
    <xf numFmtId="0" fontId="3" fillId="0" borderId="5">
      <alignment vertical="center"/>
    </xf>
    <xf numFmtId="194" fontId="22" fillId="0" borderId="6">
      <alignment vertical="center"/>
    </xf>
    <xf numFmtId="10" fontId="23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24" fillId="0" borderId="0"/>
    <xf numFmtId="194" fontId="25" fillId="0" borderId="7">
      <alignment vertical="center"/>
    </xf>
    <xf numFmtId="203" fontId="23" fillId="0" borderId="0">
      <alignment vertical="center"/>
    </xf>
    <xf numFmtId="194" fontId="26" fillId="0" borderId="7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204" fontId="27" fillId="0" borderId="1" applyBorder="0">
      <alignment vertical="center"/>
    </xf>
    <xf numFmtId="3" fontId="28" fillId="0" borderId="0" applyFont="0" applyFill="0" applyBorder="0" applyAlignment="0" applyProtection="0"/>
    <xf numFmtId="0" fontId="1" fillId="0" borderId="0" applyFont="0" applyFill="0" applyBorder="0" applyAlignment="0" applyProtection="0"/>
    <xf numFmtId="203" fontId="1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0" fontId="62" fillId="0" borderId="0"/>
    <xf numFmtId="41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62" fillId="0" borderId="0" applyFont="0" applyFill="0" applyBorder="0" applyAlignment="0" applyProtection="0">
      <alignment vertical="center"/>
    </xf>
  </cellStyleXfs>
  <cellXfs count="1547">
    <xf numFmtId="0" fontId="0" fillId="0" borderId="0" xfId="0">
      <alignment vertical="center"/>
    </xf>
    <xf numFmtId="0" fontId="5" fillId="0" borderId="0" xfId="45" applyFont="1" applyAlignment="1">
      <alignment vertical="center"/>
    </xf>
    <xf numFmtId="0" fontId="6" fillId="0" borderId="0" xfId="45" applyFont="1" applyAlignment="1">
      <alignment vertical="center"/>
    </xf>
    <xf numFmtId="0" fontId="6" fillId="0" borderId="0" xfId="45" applyFont="1" applyAlignment="1">
      <alignment horizontal="right"/>
    </xf>
    <xf numFmtId="182" fontId="6" fillId="0" borderId="0" xfId="45" applyNumberFormat="1" applyFont="1" applyAlignment="1">
      <alignment vertical="center"/>
    </xf>
    <xf numFmtId="176" fontId="8" fillId="0" borderId="0" xfId="45" applyNumberFormat="1" applyFont="1" applyAlignment="1">
      <alignment vertical="center"/>
    </xf>
    <xf numFmtId="0" fontId="8" fillId="0" borderId="0" xfId="45" applyFont="1" applyAlignment="1">
      <alignment vertical="center"/>
    </xf>
    <xf numFmtId="0" fontId="12" fillId="0" borderId="0" xfId="0" applyFont="1">
      <alignment vertical="center"/>
    </xf>
    <xf numFmtId="196" fontId="12" fillId="0" borderId="0" xfId="36" applyNumberFormat="1" applyFont="1" applyAlignment="1">
      <alignment vertical="center"/>
    </xf>
    <xf numFmtId="208" fontId="30" fillId="6" borderId="49" xfId="36" applyNumberFormat="1" applyFont="1" applyFill="1" applyBorder="1" applyAlignment="1">
      <alignment horizontal="center" vertical="center"/>
    </xf>
    <xf numFmtId="184" fontId="0" fillId="0" borderId="0" xfId="0" applyNumberFormat="1">
      <alignment vertical="center"/>
    </xf>
    <xf numFmtId="184" fontId="6" fillId="0" borderId="0" xfId="45" applyNumberFormat="1" applyFont="1" applyAlignment="1">
      <alignment vertical="center"/>
    </xf>
    <xf numFmtId="180" fontId="8" fillId="6" borderId="41" xfId="45" applyNumberFormat="1" applyFont="1" applyFill="1" applyBorder="1" applyAlignment="1">
      <alignment horizontal="right" vertical="center"/>
    </xf>
    <xf numFmtId="178" fontId="8" fillId="0" borderId="42" xfId="45" applyNumberFormat="1" applyFont="1" applyBorder="1" applyAlignment="1">
      <alignment vertical="center"/>
    </xf>
    <xf numFmtId="180" fontId="8" fillId="6" borderId="42" xfId="45" applyNumberFormat="1" applyFont="1" applyFill="1" applyBorder="1" applyAlignment="1">
      <alignment horizontal="right" vertical="center"/>
    </xf>
    <xf numFmtId="10" fontId="8" fillId="6" borderId="28" xfId="30" applyNumberFormat="1" applyFont="1" applyFill="1" applyBorder="1" applyAlignment="1">
      <alignment horizontal="center" vertical="center"/>
    </xf>
    <xf numFmtId="178" fontId="9" fillId="6" borderId="4" xfId="45" applyNumberFormat="1" applyFont="1" applyFill="1" applyBorder="1" applyAlignment="1">
      <alignment horizontal="right" vertical="center"/>
    </xf>
    <xf numFmtId="180" fontId="9" fillId="6" borderId="4" xfId="45" applyNumberFormat="1" applyFont="1" applyFill="1" applyBorder="1" applyAlignment="1">
      <alignment horizontal="right" vertical="center"/>
    </xf>
    <xf numFmtId="10" fontId="8" fillId="6" borderId="40" xfId="30" applyNumberFormat="1" applyFont="1" applyFill="1" applyBorder="1" applyAlignment="1">
      <alignment horizontal="center" vertical="center"/>
    </xf>
    <xf numFmtId="205" fontId="8" fillId="6" borderId="42" xfId="45" applyNumberFormat="1" applyFont="1" applyFill="1" applyBorder="1" applyAlignment="1">
      <alignment horizontal="right" vertical="center"/>
    </xf>
    <xf numFmtId="184" fontId="8" fillId="6" borderId="44" xfId="45" applyNumberFormat="1" applyFont="1" applyFill="1" applyBorder="1" applyAlignment="1">
      <alignment vertical="center"/>
    </xf>
    <xf numFmtId="176" fontId="8" fillId="6" borderId="14" xfId="0" applyNumberFormat="1" applyFont="1" applyFill="1" applyBorder="1" applyAlignment="1">
      <alignment horizontal="left" vertical="center"/>
    </xf>
    <xf numFmtId="176" fontId="8" fillId="6" borderId="15" xfId="0" applyNumberFormat="1" applyFont="1" applyFill="1" applyBorder="1" applyAlignment="1">
      <alignment horizontal="left" vertical="center"/>
    </xf>
    <xf numFmtId="189" fontId="8" fillId="6" borderId="28" xfId="0" applyNumberFormat="1" applyFont="1" applyFill="1" applyBorder="1" applyAlignment="1">
      <alignment horizontal="right" vertical="center" indent="1"/>
    </xf>
    <xf numFmtId="193" fontId="8" fillId="6" borderId="24" xfId="0" applyNumberFormat="1" applyFont="1" applyFill="1" applyBorder="1">
      <alignment vertical="center"/>
    </xf>
    <xf numFmtId="193" fontId="8" fillId="6" borderId="56" xfId="0" applyNumberFormat="1" applyFont="1" applyFill="1" applyBorder="1">
      <alignment vertical="center"/>
    </xf>
    <xf numFmtId="206" fontId="8" fillId="6" borderId="37" xfId="0" applyNumberFormat="1" applyFont="1" applyFill="1" applyBorder="1" applyAlignment="1">
      <alignment horizontal="right" vertical="center" indent="1"/>
    </xf>
    <xf numFmtId="178" fontId="8" fillId="6" borderId="29" xfId="0" applyNumberFormat="1" applyFont="1" applyFill="1" applyBorder="1" applyAlignment="1">
      <alignment horizontal="center" vertical="center"/>
    </xf>
    <xf numFmtId="178" fontId="32" fillId="6" borderId="15" xfId="0" applyNumberFormat="1" applyFont="1" applyFill="1" applyBorder="1" applyAlignment="1">
      <alignment horizontal="left" vertical="center" indent="1"/>
    </xf>
    <xf numFmtId="176" fontId="32" fillId="14" borderId="5" xfId="0" applyNumberFormat="1" applyFont="1" applyFill="1" applyBorder="1" applyAlignment="1">
      <alignment horizontal="left" vertical="center" indent="1"/>
    </xf>
    <xf numFmtId="176" fontId="32" fillId="14" borderId="5" xfId="0" applyNumberFormat="1" applyFont="1" applyFill="1" applyBorder="1" applyAlignment="1">
      <alignment horizontal="left" vertical="center"/>
    </xf>
    <xf numFmtId="176" fontId="32" fillId="14" borderId="65" xfId="0" applyNumberFormat="1" applyFont="1" applyFill="1" applyBorder="1" applyAlignment="1">
      <alignment horizontal="center" vertical="center"/>
    </xf>
    <xf numFmtId="209" fontId="8" fillId="6" borderId="50" xfId="0" applyNumberFormat="1" applyFont="1" applyFill="1" applyBorder="1" applyAlignment="1">
      <alignment horizontal="right" vertical="center" indent="1"/>
    </xf>
    <xf numFmtId="176" fontId="8" fillId="6" borderId="51" xfId="0" applyNumberFormat="1" applyFont="1" applyFill="1" applyBorder="1" applyAlignment="1">
      <alignment horizontal="right" vertical="center" indent="1"/>
    </xf>
    <xf numFmtId="176" fontId="6" fillId="3" borderId="9" xfId="45" applyNumberFormat="1" applyFont="1" applyFill="1" applyBorder="1" applyAlignment="1">
      <alignment horizontal="center" vertical="center"/>
    </xf>
    <xf numFmtId="176" fontId="5" fillId="3" borderId="9" xfId="45" applyNumberFormat="1" applyFont="1" applyFill="1" applyBorder="1" applyAlignment="1">
      <alignment horizontal="center" vertical="center"/>
    </xf>
    <xf numFmtId="176" fontId="5" fillId="3" borderId="10" xfId="45" applyNumberFormat="1" applyFont="1" applyFill="1" applyBorder="1" applyAlignment="1">
      <alignment horizontal="center" vertical="center"/>
    </xf>
    <xf numFmtId="176" fontId="5" fillId="3" borderId="11" xfId="45" applyNumberFormat="1" applyFont="1" applyFill="1" applyBorder="1" applyAlignment="1">
      <alignment horizontal="center" vertical="center"/>
    </xf>
    <xf numFmtId="176" fontId="6" fillId="3" borderId="12" xfId="45" applyNumberFormat="1" applyFont="1" applyFill="1" applyBorder="1" applyAlignment="1">
      <alignment horizontal="center" vertical="center"/>
    </xf>
    <xf numFmtId="176" fontId="5" fillId="3" borderId="12" xfId="45" applyNumberFormat="1" applyFont="1" applyFill="1" applyBorder="1" applyAlignment="1">
      <alignment horizontal="center" vertical="center"/>
    </xf>
    <xf numFmtId="176" fontId="5" fillId="3" borderId="7" xfId="45" applyNumberFormat="1" applyFont="1" applyFill="1" applyBorder="1" applyAlignment="1">
      <alignment horizontal="center" vertical="center"/>
    </xf>
    <xf numFmtId="176" fontId="5" fillId="3" borderId="13" xfId="45" applyNumberFormat="1" applyFont="1" applyFill="1" applyBorder="1" applyAlignment="1">
      <alignment horizontal="center" vertical="center"/>
    </xf>
    <xf numFmtId="178" fontId="6" fillId="4" borderId="17" xfId="45" applyNumberFormat="1" applyFont="1" applyFill="1" applyBorder="1" applyAlignment="1">
      <alignment horizontal="right" vertical="center"/>
    </xf>
    <xf numFmtId="180" fontId="6" fillId="4" borderId="20" xfId="45" applyNumberFormat="1" applyFont="1" applyFill="1" applyBorder="1" applyAlignment="1">
      <alignment horizontal="right" vertical="center"/>
    </xf>
    <xf numFmtId="0" fontId="6" fillId="2" borderId="21" xfId="45" applyFont="1" applyFill="1" applyBorder="1" applyAlignment="1">
      <alignment horizontal="center" vertical="center"/>
    </xf>
    <xf numFmtId="180" fontId="6" fillId="4" borderId="23" xfId="45" applyNumberFormat="1" applyFont="1" applyFill="1" applyBorder="1" applyAlignment="1">
      <alignment horizontal="right" vertical="center"/>
    </xf>
    <xf numFmtId="178" fontId="8" fillId="0" borderId="42" xfId="45" applyNumberFormat="1" applyFont="1" applyBorder="1" applyAlignment="1">
      <alignment horizontal="right" vertical="center"/>
    </xf>
    <xf numFmtId="192" fontId="8" fillId="6" borderId="55" xfId="0" applyNumberFormat="1" applyFont="1" applyFill="1" applyBorder="1">
      <alignment vertical="center"/>
    </xf>
    <xf numFmtId="211" fontId="6" fillId="4" borderId="20" xfId="45" applyNumberFormat="1" applyFont="1" applyFill="1" applyBorder="1" applyAlignment="1">
      <alignment horizontal="right" vertical="center"/>
    </xf>
    <xf numFmtId="212" fontId="6" fillId="4" borderId="17" xfId="45" applyNumberFormat="1" applyFont="1" applyFill="1" applyBorder="1" applyAlignment="1">
      <alignment horizontal="right" vertical="center"/>
    </xf>
    <xf numFmtId="176" fontId="8" fillId="6" borderId="68" xfId="45" applyNumberFormat="1" applyFont="1" applyFill="1" applyBorder="1" applyAlignment="1">
      <alignment horizontal="left" vertical="center" indent="1"/>
    </xf>
    <xf numFmtId="0" fontId="6" fillId="0" borderId="60" xfId="45" applyFont="1" applyBorder="1" applyAlignment="1">
      <alignment vertical="center"/>
    </xf>
    <xf numFmtId="176" fontId="29" fillId="0" borderId="60" xfId="0" applyNumberFormat="1" applyFont="1" applyBorder="1" applyAlignment="1">
      <alignment vertical="center" wrapText="1"/>
    </xf>
    <xf numFmtId="176" fontId="35" fillId="7" borderId="69" xfId="0" applyNumberFormat="1" applyFont="1" applyFill="1" applyBorder="1" applyAlignment="1">
      <alignment horizontal="center" vertical="center"/>
    </xf>
    <xf numFmtId="176" fontId="35" fillId="7" borderId="70" xfId="0" applyNumberFormat="1" applyFont="1" applyFill="1" applyBorder="1" applyAlignment="1">
      <alignment horizontal="center" vertical="center"/>
    </xf>
    <xf numFmtId="176" fontId="35" fillId="7" borderId="71" xfId="0" applyNumberFormat="1" applyFont="1" applyFill="1" applyBorder="1" applyAlignment="1">
      <alignment horizontal="center" vertical="center"/>
    </xf>
    <xf numFmtId="176" fontId="35" fillId="7" borderId="72" xfId="0" applyNumberFormat="1" applyFont="1" applyFill="1" applyBorder="1" applyAlignment="1">
      <alignment horizontal="center" vertical="center"/>
    </xf>
    <xf numFmtId="176" fontId="29" fillId="0" borderId="62" xfId="0" applyNumberFormat="1" applyFont="1" applyBorder="1" applyAlignment="1">
      <alignment vertical="center" wrapText="1"/>
    </xf>
    <xf numFmtId="178" fontId="7" fillId="0" borderId="61" xfId="45" applyNumberFormat="1" applyFont="1" applyBorder="1" applyAlignment="1">
      <alignment horizontal="center" vertical="center"/>
    </xf>
    <xf numFmtId="178" fontId="7" fillId="0" borderId="61" xfId="45" applyNumberFormat="1" applyFont="1" applyBorder="1" applyAlignment="1">
      <alignment vertical="center"/>
    </xf>
    <xf numFmtId="180" fontId="7" fillId="0" borderId="48" xfId="45" applyNumberFormat="1" applyFont="1" applyBorder="1" applyAlignment="1">
      <alignment vertical="center"/>
    </xf>
    <xf numFmtId="192" fontId="36" fillId="6" borderId="42" xfId="0" applyNumberFormat="1" applyFont="1" applyFill="1" applyBorder="1">
      <alignment vertical="center"/>
    </xf>
    <xf numFmtId="210" fontId="8" fillId="6" borderId="40" xfId="45" applyNumberFormat="1" applyFont="1" applyFill="1" applyBorder="1" applyAlignment="1">
      <alignment horizontal="center" vertical="center"/>
    </xf>
    <xf numFmtId="193" fontId="8" fillId="6" borderId="32" xfId="0" applyNumberFormat="1" applyFont="1" applyFill="1" applyBorder="1">
      <alignment vertical="center"/>
    </xf>
    <xf numFmtId="176" fontId="42" fillId="10" borderId="30" xfId="45" applyNumberFormat="1" applyFont="1" applyFill="1" applyBorder="1" applyAlignment="1">
      <alignment horizontal="center" vertical="center"/>
    </xf>
    <xf numFmtId="0" fontId="41" fillId="11" borderId="42" xfId="45" applyFont="1" applyFill="1" applyBorder="1" applyAlignment="1">
      <alignment horizontal="center" vertical="center"/>
    </xf>
    <xf numFmtId="178" fontId="41" fillId="11" borderId="42" xfId="45" applyNumberFormat="1" applyFont="1" applyFill="1" applyBorder="1" applyAlignment="1">
      <alignment horizontal="center" vertical="center"/>
    </xf>
    <xf numFmtId="176" fontId="8" fillId="6" borderId="95" xfId="0" applyNumberFormat="1" applyFont="1" applyFill="1" applyBorder="1" applyAlignment="1">
      <alignment horizontal="left" vertical="center"/>
    </xf>
    <xf numFmtId="176" fontId="8" fillId="6" borderId="96" xfId="0" applyNumberFormat="1" applyFont="1" applyFill="1" applyBorder="1" applyAlignment="1">
      <alignment horizontal="left" vertical="center"/>
    </xf>
    <xf numFmtId="176" fontId="8" fillId="6" borderId="98" xfId="0" applyNumberFormat="1" applyFont="1" applyFill="1" applyBorder="1" applyAlignment="1">
      <alignment horizontal="left" vertical="center"/>
    </xf>
    <xf numFmtId="0" fontId="6" fillId="0" borderId="62" xfId="45" applyFont="1" applyBorder="1" applyAlignment="1">
      <alignment vertical="center"/>
    </xf>
    <xf numFmtId="0" fontId="6" fillId="0" borderId="99" xfId="45" applyFont="1" applyBorder="1" applyAlignment="1">
      <alignment vertical="center"/>
    </xf>
    <xf numFmtId="176" fontId="35" fillId="8" borderId="70" xfId="45" applyNumberFormat="1" applyFont="1" applyFill="1" applyBorder="1" applyAlignment="1">
      <alignment horizontal="distributed" vertical="center" indent="1"/>
    </xf>
    <xf numFmtId="176" fontId="35" fillId="8" borderId="71" xfId="45" applyNumberFormat="1" applyFont="1" applyFill="1" applyBorder="1" applyAlignment="1">
      <alignment horizontal="distributed" vertical="center" indent="1"/>
    </xf>
    <xf numFmtId="176" fontId="35" fillId="8" borderId="72" xfId="45" applyNumberFormat="1" applyFont="1" applyFill="1" applyBorder="1" applyAlignment="1">
      <alignment horizontal="distributed" vertical="center" indent="1"/>
    </xf>
    <xf numFmtId="176" fontId="35" fillId="8" borderId="70" xfId="45" applyNumberFormat="1" applyFont="1" applyFill="1" applyBorder="1" applyAlignment="1">
      <alignment horizontal="center" vertical="center"/>
    </xf>
    <xf numFmtId="183" fontId="34" fillId="6" borderId="70" xfId="45" applyNumberFormat="1" applyFont="1" applyFill="1" applyBorder="1" applyAlignment="1">
      <alignment horizontal="center" vertical="center"/>
    </xf>
    <xf numFmtId="0" fontId="6" fillId="0" borderId="93" xfId="45" applyFont="1" applyBorder="1" applyAlignment="1">
      <alignment vertical="center"/>
    </xf>
    <xf numFmtId="182" fontId="6" fillId="0" borderId="93" xfId="45" applyNumberFormat="1" applyFont="1" applyBorder="1" applyAlignment="1">
      <alignment vertical="center"/>
    </xf>
    <xf numFmtId="0" fontId="8" fillId="0" borderId="93" xfId="45" applyFont="1" applyBorder="1" applyAlignment="1">
      <alignment vertical="center"/>
    </xf>
    <xf numFmtId="182" fontId="35" fillId="8" borderId="63" xfId="45" applyNumberFormat="1" applyFont="1" applyFill="1" applyBorder="1" applyAlignment="1">
      <alignment horizontal="center" vertical="center"/>
    </xf>
    <xf numFmtId="176" fontId="5" fillId="2" borderId="8" xfId="45" applyNumberFormat="1" applyFont="1" applyFill="1" applyBorder="1" applyAlignment="1">
      <alignment horizontal="center" vertical="center"/>
    </xf>
    <xf numFmtId="176" fontId="8" fillId="6" borderId="15" xfId="0" applyNumberFormat="1" applyFont="1" applyFill="1" applyBorder="1" applyAlignment="1">
      <alignment horizontal="center" vertical="center"/>
    </xf>
    <xf numFmtId="176" fontId="35" fillId="8" borderId="72" xfId="45" applyNumberFormat="1" applyFont="1" applyFill="1" applyBorder="1" applyAlignment="1">
      <alignment horizontal="center" vertical="center"/>
    </xf>
    <xf numFmtId="176" fontId="32" fillId="14" borderId="5" xfId="0" applyNumberFormat="1" applyFont="1" applyFill="1" applyBorder="1" applyAlignment="1">
      <alignment horizontal="center" vertical="center"/>
    </xf>
    <xf numFmtId="0" fontId="35" fillId="12" borderId="62" xfId="45" applyFont="1" applyFill="1" applyBorder="1" applyAlignment="1">
      <alignment horizontal="center" vertical="center"/>
    </xf>
    <xf numFmtId="185" fontId="9" fillId="0" borderId="102" xfId="45" applyNumberFormat="1" applyFont="1" applyBorder="1" applyAlignment="1">
      <alignment horizontal="center" vertical="center"/>
    </xf>
    <xf numFmtId="1" fontId="8" fillId="0" borderId="103" xfId="45" applyNumberFormat="1" applyFont="1" applyBorder="1" applyAlignment="1">
      <alignment horizontal="center" vertical="center"/>
    </xf>
    <xf numFmtId="185" fontId="9" fillId="0" borderId="104" xfId="45" applyNumberFormat="1" applyFont="1" applyBorder="1" applyAlignment="1">
      <alignment horizontal="center" vertical="center"/>
    </xf>
    <xf numFmtId="177" fontId="8" fillId="0" borderId="106" xfId="45" applyNumberFormat="1" applyFont="1" applyBorder="1" applyAlignment="1">
      <alignment horizontal="right" vertical="center"/>
    </xf>
    <xf numFmtId="177" fontId="8" fillId="0" borderId="108" xfId="45" applyNumberFormat="1" applyFont="1" applyBorder="1" applyAlignment="1">
      <alignment horizontal="right" vertical="center"/>
    </xf>
    <xf numFmtId="178" fontId="8" fillId="0" borderId="106" xfId="45" applyNumberFormat="1" applyFont="1" applyBorder="1" applyAlignment="1">
      <alignment horizontal="center" vertical="center"/>
    </xf>
    <xf numFmtId="180" fontId="40" fillId="0" borderId="59" xfId="45" applyNumberFormat="1" applyFont="1" applyBorder="1" applyAlignment="1">
      <alignment horizontal="center" vertical="center"/>
    </xf>
    <xf numFmtId="178" fontId="8" fillId="0" borderId="101" xfId="45" applyNumberFormat="1" applyFont="1" applyBorder="1" applyAlignment="1">
      <alignment horizontal="center" vertical="center"/>
    </xf>
    <xf numFmtId="208" fontId="39" fillId="6" borderId="45" xfId="36" applyNumberFormat="1" applyFont="1" applyFill="1" applyBorder="1" applyAlignment="1">
      <alignment horizontal="center" vertical="center"/>
    </xf>
    <xf numFmtId="178" fontId="8" fillId="10" borderId="105" xfId="45" applyNumberFormat="1" applyFont="1" applyFill="1" applyBorder="1" applyAlignment="1">
      <alignment horizontal="center" vertical="center"/>
    </xf>
    <xf numFmtId="208" fontId="39" fillId="10" borderId="45" xfId="36" applyNumberFormat="1" applyFont="1" applyFill="1" applyBorder="1" applyAlignment="1">
      <alignment horizontal="center" vertical="center"/>
    </xf>
    <xf numFmtId="178" fontId="8" fillId="0" borderId="108" xfId="45" applyNumberFormat="1" applyFont="1" applyBorder="1" applyAlignment="1">
      <alignment horizontal="center" vertical="center"/>
    </xf>
    <xf numFmtId="180" fontId="40" fillId="0" borderId="45" xfId="45" applyNumberFormat="1" applyFont="1" applyBorder="1" applyAlignment="1">
      <alignment horizontal="center" vertical="center"/>
    </xf>
    <xf numFmtId="180" fontId="40" fillId="10" borderId="45" xfId="45" applyNumberFormat="1" applyFont="1" applyFill="1" applyBorder="1" applyAlignment="1">
      <alignment horizontal="center" vertical="center"/>
    </xf>
    <xf numFmtId="178" fontId="8" fillId="11" borderId="42" xfId="45" applyNumberFormat="1" applyFont="1" applyFill="1" applyBorder="1" applyAlignment="1">
      <alignment horizontal="right" vertical="center"/>
    </xf>
    <xf numFmtId="180" fontId="8" fillId="11" borderId="42" xfId="45" applyNumberFormat="1" applyFont="1" applyFill="1" applyBorder="1" applyAlignment="1">
      <alignment horizontal="right" vertical="center"/>
    </xf>
    <xf numFmtId="10" fontId="8" fillId="11" borderId="28" xfId="30" applyNumberFormat="1" applyFont="1" applyFill="1" applyBorder="1" applyAlignment="1">
      <alignment horizontal="center" vertical="center"/>
    </xf>
    <xf numFmtId="178" fontId="8" fillId="11" borderId="41" xfId="45" applyNumberFormat="1" applyFont="1" applyFill="1" applyBorder="1" applyAlignment="1">
      <alignment horizontal="right" vertical="center"/>
    </xf>
    <xf numFmtId="180" fontId="8" fillId="11" borderId="41" xfId="45" applyNumberFormat="1" applyFont="1" applyFill="1" applyBorder="1" applyAlignment="1">
      <alignment horizontal="right" vertical="center"/>
    </xf>
    <xf numFmtId="10" fontId="8" fillId="11" borderId="30" xfId="30" applyNumberFormat="1" applyFont="1" applyFill="1" applyBorder="1" applyAlignment="1">
      <alignment horizontal="center" vertical="center"/>
    </xf>
    <xf numFmtId="177" fontId="8" fillId="4" borderId="16" xfId="45" applyNumberFormat="1" applyFont="1" applyFill="1" applyBorder="1" applyAlignment="1">
      <alignment horizontal="right" vertical="center"/>
    </xf>
    <xf numFmtId="179" fontId="8" fillId="4" borderId="18" xfId="45" applyNumberFormat="1" applyFont="1" applyFill="1" applyBorder="1" applyAlignment="1">
      <alignment horizontal="right" vertical="center"/>
    </xf>
    <xf numFmtId="179" fontId="8" fillId="4" borderId="19" xfId="45" applyNumberFormat="1" applyFont="1" applyFill="1" applyBorder="1" applyAlignment="1">
      <alignment horizontal="right" vertical="center"/>
    </xf>
    <xf numFmtId="179" fontId="8" fillId="4" borderId="21" xfId="45" applyNumberFormat="1" applyFont="1" applyFill="1" applyBorder="1" applyAlignment="1">
      <alignment horizontal="right" vertical="center"/>
    </xf>
    <xf numFmtId="179" fontId="8" fillId="4" borderId="22" xfId="45" applyNumberFormat="1" applyFont="1" applyFill="1" applyBorder="1" applyAlignment="1">
      <alignment horizontal="right" vertical="center"/>
    </xf>
    <xf numFmtId="180" fontId="36" fillId="0" borderId="107" xfId="45" applyNumberFormat="1" applyFont="1" applyBorder="1" applyAlignment="1">
      <alignment horizontal="right" vertical="center"/>
    </xf>
    <xf numFmtId="0" fontId="2" fillId="0" borderId="0" xfId="0" applyFont="1" applyAlignment="1"/>
    <xf numFmtId="205" fontId="44" fillId="0" borderId="0" xfId="0" applyNumberFormat="1" applyFont="1" applyAlignment="1"/>
    <xf numFmtId="0" fontId="43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1" fontId="45" fillId="0" borderId="0" xfId="0" applyNumberFormat="1" applyFont="1" applyAlignment="1">
      <alignment horizontal="center" vertical="center"/>
    </xf>
    <xf numFmtId="1" fontId="46" fillId="0" borderId="0" xfId="0" applyNumberFormat="1" applyFont="1" applyAlignment="1">
      <alignment horizontal="center"/>
    </xf>
    <xf numFmtId="1" fontId="45" fillId="0" borderId="0" xfId="0" applyNumberFormat="1" applyFont="1" applyAlignment="1">
      <alignment horizontal="center"/>
    </xf>
    <xf numFmtId="0" fontId="47" fillId="0" borderId="1" xfId="0" applyFont="1" applyBorder="1" applyAlignment="1">
      <alignment horizontal="center"/>
    </xf>
    <xf numFmtId="0" fontId="48" fillId="0" borderId="1" xfId="45" applyFont="1" applyBorder="1" applyAlignment="1">
      <alignment horizontal="center" vertical="center"/>
    </xf>
    <xf numFmtId="209" fontId="46" fillId="0" borderId="1" xfId="0" applyNumberFormat="1" applyFont="1" applyBorder="1" applyAlignment="1">
      <alignment horizontal="center"/>
    </xf>
    <xf numFmtId="209" fontId="45" fillId="0" borderId="1" xfId="0" applyNumberFormat="1" applyFont="1" applyBorder="1" applyAlignment="1">
      <alignment horizontal="center"/>
    </xf>
    <xf numFmtId="0" fontId="49" fillId="0" borderId="1" xfId="45" applyFont="1" applyBorder="1" applyAlignment="1">
      <alignment horizontal="center" vertical="center"/>
    </xf>
    <xf numFmtId="0" fontId="49" fillId="0" borderId="1" xfId="0" applyFont="1" applyBorder="1" applyAlignment="1">
      <alignment horizontal="center"/>
    </xf>
    <xf numFmtId="0" fontId="6" fillId="0" borderId="1" xfId="45" applyFont="1" applyBorder="1" applyAlignment="1">
      <alignment horizontal="center" vertical="center"/>
    </xf>
    <xf numFmtId="0" fontId="50" fillId="0" borderId="1" xfId="0" applyFont="1" applyBorder="1" applyAlignment="1">
      <alignment horizontal="center"/>
    </xf>
    <xf numFmtId="219" fontId="49" fillId="0" borderId="1" xfId="0" applyNumberFormat="1" applyFont="1" applyBorder="1" applyAlignment="1">
      <alignment horizontal="center"/>
    </xf>
    <xf numFmtId="205" fontId="49" fillId="0" borderId="1" xfId="0" applyNumberFormat="1" applyFont="1" applyBorder="1" applyAlignment="1">
      <alignment horizontal="center"/>
    </xf>
    <xf numFmtId="219" fontId="49" fillId="0" borderId="1" xfId="45" applyNumberFormat="1" applyFont="1" applyBorder="1" applyAlignment="1">
      <alignment horizontal="center" vertical="center"/>
    </xf>
    <xf numFmtId="0" fontId="6" fillId="0" borderId="0" xfId="45" applyFont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76" fontId="51" fillId="0" borderId="1" xfId="0" applyNumberFormat="1" applyFont="1" applyBorder="1" applyAlignment="1">
      <alignment horizontal="center" vertical="center"/>
    </xf>
    <xf numFmtId="178" fontId="52" fillId="0" borderId="1" xfId="0" applyNumberFormat="1" applyFont="1" applyBorder="1" applyAlignment="1">
      <alignment horizontal="center" vertical="center"/>
    </xf>
    <xf numFmtId="178" fontId="52" fillId="0" borderId="1" xfId="45" applyNumberFormat="1" applyFont="1" applyBorder="1" applyAlignment="1">
      <alignment horizontal="center" vertical="center"/>
    </xf>
    <xf numFmtId="182" fontId="53" fillId="0" borderId="1" xfId="45" applyNumberFormat="1" applyFont="1" applyBorder="1" applyAlignment="1">
      <alignment horizontal="center" vertical="center"/>
    </xf>
    <xf numFmtId="0" fontId="5" fillId="0" borderId="1" xfId="45" applyFont="1" applyBorder="1" applyAlignment="1">
      <alignment horizontal="center" vertical="center"/>
    </xf>
    <xf numFmtId="205" fontId="54" fillId="0" borderId="1" xfId="0" applyNumberFormat="1" applyFont="1" applyBorder="1" applyAlignment="1">
      <alignment horizontal="center" vertical="center"/>
    </xf>
    <xf numFmtId="205" fontId="54" fillId="0" borderId="1" xfId="45" applyNumberFormat="1" applyFont="1" applyBorder="1" applyAlignment="1">
      <alignment horizontal="center" vertical="center"/>
    </xf>
    <xf numFmtId="205" fontId="8" fillId="0" borderId="1" xfId="45" applyNumberFormat="1" applyFont="1" applyBorder="1" applyAlignment="1">
      <alignment horizontal="center" vertical="center"/>
    </xf>
    <xf numFmtId="205" fontId="8" fillId="0" borderId="1" xfId="0" applyNumberFormat="1" applyFont="1" applyBorder="1" applyAlignment="1">
      <alignment horizontal="center" vertical="center"/>
    </xf>
    <xf numFmtId="0" fontId="49" fillId="0" borderId="1" xfId="0" applyFont="1" applyBorder="1" applyAlignment="1">
      <alignment horizontal="center" vertical="center"/>
    </xf>
    <xf numFmtId="180" fontId="36" fillId="15" borderId="45" xfId="45" applyNumberFormat="1" applyFont="1" applyFill="1" applyBorder="1" applyAlignment="1">
      <alignment horizontal="right" vertical="center"/>
    </xf>
    <xf numFmtId="220" fontId="6" fillId="0" borderId="0" xfId="45" applyNumberFormat="1" applyFont="1" applyAlignment="1">
      <alignment vertical="center"/>
    </xf>
    <xf numFmtId="10" fontId="6" fillId="0" borderId="0" xfId="30" applyNumberFormat="1" applyFont="1" applyAlignment="1">
      <alignment vertical="center"/>
    </xf>
    <xf numFmtId="0" fontId="0" fillId="0" borderId="123" xfId="0" applyBorder="1">
      <alignment vertical="center"/>
    </xf>
    <xf numFmtId="0" fontId="36" fillId="0" borderId="43" xfId="45" applyFont="1" applyBorder="1" applyAlignment="1">
      <alignment horizontal="center" vertical="center"/>
    </xf>
    <xf numFmtId="9" fontId="9" fillId="0" borderId="100" xfId="30" applyFont="1" applyFill="1" applyBorder="1" applyAlignment="1">
      <alignment horizontal="center" vertical="center" wrapText="1"/>
    </xf>
    <xf numFmtId="216" fontId="6" fillId="0" borderId="0" xfId="36" applyNumberFormat="1" applyFont="1" applyBorder="1" applyAlignment="1">
      <alignment horizontal="center" vertical="center"/>
    </xf>
    <xf numFmtId="0" fontId="8" fillId="6" borderId="42" xfId="0" applyFont="1" applyFill="1" applyBorder="1" applyAlignment="1">
      <alignment horizontal="center" vertical="center" wrapText="1" shrinkToFit="1"/>
    </xf>
    <xf numFmtId="176" fontId="8" fillId="11" borderId="4" xfId="0" applyNumberFormat="1" applyFont="1" applyFill="1" applyBorder="1" applyAlignment="1">
      <alignment horizontal="center" vertical="center"/>
    </xf>
    <xf numFmtId="176" fontId="8" fillId="11" borderId="45" xfId="0" applyNumberFormat="1" applyFont="1" applyFill="1" applyBorder="1" applyAlignment="1">
      <alignment horizontal="center" vertical="center"/>
    </xf>
    <xf numFmtId="176" fontId="8" fillId="0" borderId="81" xfId="45" applyNumberFormat="1" applyFont="1" applyBorder="1" applyAlignment="1">
      <alignment horizontal="center" vertical="center"/>
    </xf>
    <xf numFmtId="213" fontId="8" fillId="0" borderId="45" xfId="45" applyNumberFormat="1" applyFont="1" applyBorder="1" applyAlignment="1">
      <alignment horizontal="center" vertical="center"/>
    </xf>
    <xf numFmtId="207" fontId="9" fillId="6" borderId="65" xfId="0" applyNumberFormat="1" applyFont="1" applyFill="1" applyBorder="1" applyAlignment="1">
      <alignment horizontal="center" vertical="center"/>
    </xf>
    <xf numFmtId="207" fontId="9" fillId="11" borderId="65" xfId="45" applyNumberFormat="1" applyFont="1" applyFill="1" applyBorder="1" applyAlignment="1">
      <alignment horizontal="center" vertical="center"/>
    </xf>
    <xf numFmtId="217" fontId="9" fillId="0" borderId="124" xfId="0" applyNumberFormat="1" applyFont="1" applyBorder="1" applyAlignment="1">
      <alignment horizontal="center" vertical="center" wrapText="1"/>
    </xf>
    <xf numFmtId="217" fontId="9" fillId="0" borderId="125" xfId="0" applyNumberFormat="1" applyFont="1" applyBorder="1" applyAlignment="1">
      <alignment horizontal="center" vertical="center" wrapText="1"/>
    </xf>
    <xf numFmtId="176" fontId="36" fillId="0" borderId="41" xfId="45" applyNumberFormat="1" applyFont="1" applyBorder="1" applyAlignment="1">
      <alignment horizontal="center" vertical="center"/>
    </xf>
    <xf numFmtId="176" fontId="36" fillId="0" borderId="59" xfId="45" applyNumberFormat="1" applyFont="1" applyBorder="1" applyAlignment="1">
      <alignment horizontal="center" vertical="center"/>
    </xf>
    <xf numFmtId="0" fontId="42" fillId="15" borderId="127" xfId="45" applyFont="1" applyFill="1" applyBorder="1" applyAlignment="1">
      <alignment horizontal="center" vertical="center"/>
    </xf>
    <xf numFmtId="0" fontId="42" fillId="15" borderId="1" xfId="45" applyFont="1" applyFill="1" applyBorder="1" applyAlignment="1">
      <alignment horizontal="center" vertical="center"/>
    </xf>
    <xf numFmtId="0" fontId="42" fillId="15" borderId="27" xfId="45" applyFont="1" applyFill="1" applyBorder="1" applyAlignment="1">
      <alignment horizontal="center" vertical="center"/>
    </xf>
    <xf numFmtId="183" fontId="56" fillId="6" borderId="24" xfId="45" applyNumberFormat="1" applyFont="1" applyFill="1" applyBorder="1" applyAlignment="1">
      <alignment horizontal="right" vertical="center"/>
    </xf>
    <xf numFmtId="218" fontId="9" fillId="11" borderId="59" xfId="0" applyNumberFormat="1" applyFont="1" applyFill="1" applyBorder="1" applyAlignment="1">
      <alignment horizontal="center" vertical="center" wrapText="1"/>
    </xf>
    <xf numFmtId="218" fontId="9" fillId="11" borderId="4" xfId="0" applyNumberFormat="1" applyFont="1" applyFill="1" applyBorder="1" applyAlignment="1">
      <alignment horizontal="center" vertical="center" wrapText="1"/>
    </xf>
    <xf numFmtId="218" fontId="9" fillId="11" borderId="42" xfId="0" applyNumberFormat="1" applyFont="1" applyFill="1" applyBorder="1" applyAlignment="1">
      <alignment horizontal="center" vertical="center" wrapText="1"/>
    </xf>
    <xf numFmtId="217" fontId="9" fillId="0" borderId="88" xfId="0" applyNumberFormat="1" applyFont="1" applyBorder="1" applyAlignment="1">
      <alignment horizontal="center" vertical="center" wrapText="1"/>
    </xf>
    <xf numFmtId="217" fontId="6" fillId="0" borderId="0" xfId="45" applyNumberFormat="1" applyFont="1" applyAlignment="1">
      <alignment vertical="center"/>
    </xf>
    <xf numFmtId="222" fontId="9" fillId="11" borderId="59" xfId="0" applyNumberFormat="1" applyFont="1" applyFill="1" applyBorder="1" applyAlignment="1">
      <alignment horizontal="center" vertical="center" wrapText="1"/>
    </xf>
    <xf numFmtId="223" fontId="9" fillId="11" borderId="59" xfId="0" applyNumberFormat="1" applyFont="1" applyFill="1" applyBorder="1" applyAlignment="1">
      <alignment horizontal="center" vertical="center" wrapText="1"/>
    </xf>
    <xf numFmtId="223" fontId="9" fillId="11" borderId="128" xfId="0" applyNumberFormat="1" applyFont="1" applyFill="1" applyBorder="1" applyAlignment="1">
      <alignment horizontal="center" vertical="center" wrapText="1"/>
    </xf>
    <xf numFmtId="226" fontId="6" fillId="0" borderId="0" xfId="45" applyNumberFormat="1" applyFont="1" applyAlignment="1">
      <alignment vertical="center"/>
    </xf>
    <xf numFmtId="176" fontId="57" fillId="7" borderId="129" xfId="0" applyNumberFormat="1" applyFont="1" applyFill="1" applyBorder="1" applyAlignment="1">
      <alignment horizontal="center" vertical="center"/>
    </xf>
    <xf numFmtId="176" fontId="57" fillId="7" borderId="131" xfId="0" applyNumberFormat="1" applyFont="1" applyFill="1" applyBorder="1" applyAlignment="1">
      <alignment horizontal="center" vertical="center"/>
    </xf>
    <xf numFmtId="176" fontId="59" fillId="7" borderId="131" xfId="0" applyNumberFormat="1" applyFont="1" applyFill="1" applyBorder="1" applyAlignment="1">
      <alignment horizontal="center" vertical="center"/>
    </xf>
    <xf numFmtId="10" fontId="6" fillId="0" borderId="0" xfId="30" applyNumberFormat="1" applyFont="1" applyBorder="1" applyAlignment="1">
      <alignment vertical="center"/>
    </xf>
    <xf numFmtId="207" fontId="8" fillId="6" borderId="58" xfId="0" applyNumberFormat="1" applyFont="1" applyFill="1" applyBorder="1" applyAlignment="1">
      <alignment horizontal="right" vertical="center"/>
    </xf>
    <xf numFmtId="207" fontId="8" fillId="6" borderId="88" xfId="0" applyNumberFormat="1" applyFont="1" applyFill="1" applyBorder="1" applyAlignment="1">
      <alignment horizontal="right" vertical="center"/>
    </xf>
    <xf numFmtId="207" fontId="8" fillId="11" borderId="79" xfId="0" applyNumberFormat="1" applyFont="1" applyFill="1" applyBorder="1" applyAlignment="1">
      <alignment horizontal="right" vertical="center"/>
    </xf>
    <xf numFmtId="207" fontId="8" fillId="6" borderId="89" xfId="0" applyNumberFormat="1" applyFont="1" applyFill="1" applyBorder="1" applyAlignment="1">
      <alignment horizontal="right" vertical="center"/>
    </xf>
    <xf numFmtId="207" fontId="8" fillId="6" borderId="46" xfId="0" applyNumberFormat="1" applyFont="1" applyFill="1" applyBorder="1" applyAlignment="1">
      <alignment horizontal="right" vertical="center"/>
    </xf>
    <xf numFmtId="207" fontId="8" fillId="11" borderId="46" xfId="45" applyNumberFormat="1" applyFont="1" applyFill="1" applyBorder="1" applyAlignment="1">
      <alignment horizontal="right" vertical="center"/>
    </xf>
    <xf numFmtId="0" fontId="8" fillId="0" borderId="134" xfId="45" applyFont="1" applyBorder="1" applyAlignment="1">
      <alignment horizontal="center"/>
    </xf>
    <xf numFmtId="215" fontId="8" fillId="6" borderId="15" xfId="45" applyNumberFormat="1" applyFont="1" applyFill="1" applyBorder="1" applyAlignment="1">
      <alignment horizontal="left" vertical="center"/>
    </xf>
    <xf numFmtId="215" fontId="8" fillId="6" borderId="15" xfId="45" applyNumberFormat="1" applyFont="1" applyFill="1" applyBorder="1" applyAlignment="1">
      <alignment vertical="center"/>
    </xf>
    <xf numFmtId="230" fontId="8" fillId="6" borderId="39" xfId="45" applyNumberFormat="1" applyFont="1" applyFill="1" applyBorder="1" applyAlignment="1">
      <alignment horizontal="center" vertical="top"/>
    </xf>
    <xf numFmtId="234" fontId="8" fillId="6" borderId="37" xfId="0" applyNumberFormat="1" applyFont="1" applyFill="1" applyBorder="1" applyAlignment="1">
      <alignment horizontal="right" vertical="center" indent="1"/>
    </xf>
    <xf numFmtId="226" fontId="6" fillId="0" borderId="60" xfId="45" applyNumberFormat="1" applyFont="1" applyBorder="1" applyAlignment="1">
      <alignment vertical="center"/>
    </xf>
    <xf numFmtId="232" fontId="8" fillId="0" borderId="83" xfId="0" applyNumberFormat="1" applyFont="1" applyBorder="1">
      <alignment vertical="center"/>
    </xf>
    <xf numFmtId="178" fontId="6" fillId="0" borderId="60" xfId="45" applyNumberFormat="1" applyFont="1" applyBorder="1" applyAlignment="1">
      <alignment vertical="center"/>
    </xf>
    <xf numFmtId="235" fontId="6" fillId="0" borderId="60" xfId="45" applyNumberFormat="1" applyFont="1" applyBorder="1" applyAlignment="1">
      <alignment vertical="center"/>
    </xf>
    <xf numFmtId="9" fontId="9" fillId="0" borderId="0" xfId="30" applyFont="1" applyFill="1" applyBorder="1" applyAlignment="1">
      <alignment horizontal="center" vertical="center" wrapText="1"/>
    </xf>
    <xf numFmtId="236" fontId="9" fillId="0" borderId="64" xfId="0" applyNumberFormat="1" applyFont="1" applyBorder="1" applyAlignment="1">
      <alignment horizontal="center" vertical="center"/>
    </xf>
    <xf numFmtId="237" fontId="9" fillId="0" borderId="82" xfId="0" applyNumberFormat="1" applyFont="1" applyBorder="1" applyAlignment="1">
      <alignment horizontal="left" vertical="center"/>
    </xf>
    <xf numFmtId="0" fontId="9" fillId="0" borderId="0" xfId="45" applyFont="1" applyAlignment="1">
      <alignment horizontal="right" vertical="center"/>
    </xf>
    <xf numFmtId="0" fontId="8" fillId="6" borderId="41" xfId="0" applyFont="1" applyFill="1" applyBorder="1" applyAlignment="1">
      <alignment horizontal="center" vertical="center" wrapText="1" shrinkToFit="1"/>
    </xf>
    <xf numFmtId="189" fontId="8" fillId="9" borderId="38" xfId="0" applyNumberFormat="1" applyFont="1" applyFill="1" applyBorder="1" applyAlignment="1">
      <alignment horizontal="right" vertical="center" indent="1"/>
    </xf>
    <xf numFmtId="189" fontId="8" fillId="6" borderId="58" xfId="0" applyNumberFormat="1" applyFont="1" applyFill="1" applyBorder="1" applyAlignment="1">
      <alignment horizontal="right" vertical="center" indent="1"/>
    </xf>
    <xf numFmtId="178" fontId="8" fillId="6" borderId="50" xfId="0" applyNumberFormat="1" applyFont="1" applyFill="1" applyBorder="1" applyAlignment="1">
      <alignment horizontal="right" vertical="center" indent="1"/>
    </xf>
    <xf numFmtId="191" fontId="35" fillId="7" borderId="72" xfId="0" applyNumberFormat="1" applyFont="1" applyFill="1" applyBorder="1" applyAlignment="1">
      <alignment horizontal="center" vertical="center"/>
    </xf>
    <xf numFmtId="192" fontId="36" fillId="6" borderId="42" xfId="0" applyNumberFormat="1" applyFont="1" applyFill="1" applyBorder="1" applyAlignment="1">
      <alignment horizontal="center" vertical="center"/>
    </xf>
    <xf numFmtId="0" fontId="6" fillId="0" borderId="93" xfId="45" applyFont="1" applyBorder="1" applyAlignment="1">
      <alignment horizontal="center" vertical="center"/>
    </xf>
    <xf numFmtId="188" fontId="8" fillId="6" borderId="44" xfId="45" applyNumberFormat="1" applyFont="1" applyFill="1" applyBorder="1" applyAlignment="1">
      <alignment horizontal="center" vertical="center"/>
    </xf>
    <xf numFmtId="188" fontId="8" fillId="6" borderId="46" xfId="45" applyNumberFormat="1" applyFont="1" applyFill="1" applyBorder="1" applyAlignment="1">
      <alignment horizontal="center" vertical="center"/>
    </xf>
    <xf numFmtId="1" fontId="8" fillId="0" borderId="140" xfId="45" applyNumberFormat="1" applyFont="1" applyBorder="1" applyAlignment="1">
      <alignment horizontal="center" vertical="center"/>
    </xf>
    <xf numFmtId="180" fontId="36" fillId="0" borderId="141" xfId="45" applyNumberFormat="1" applyFont="1" applyBorder="1" applyAlignment="1">
      <alignment horizontal="right" vertical="center"/>
    </xf>
    <xf numFmtId="180" fontId="8" fillId="0" borderId="141" xfId="45" applyNumberFormat="1" applyFont="1" applyBorder="1" applyAlignment="1">
      <alignment horizontal="right" vertical="center"/>
    </xf>
    <xf numFmtId="185" fontId="9" fillId="16" borderId="142" xfId="45" applyNumberFormat="1" applyFont="1" applyFill="1" applyBorder="1" applyAlignment="1">
      <alignment horizontal="center" vertical="center"/>
    </xf>
    <xf numFmtId="177" fontId="8" fillId="16" borderId="144" xfId="45" applyNumberFormat="1" applyFont="1" applyFill="1" applyBorder="1" applyAlignment="1">
      <alignment horizontal="right" vertical="center"/>
    </xf>
    <xf numFmtId="177" fontId="8" fillId="16" borderId="145" xfId="45" applyNumberFormat="1" applyFont="1" applyFill="1" applyBorder="1" applyAlignment="1">
      <alignment horizontal="right" vertical="center"/>
    </xf>
    <xf numFmtId="1" fontId="8" fillId="16" borderId="150" xfId="45" applyNumberFormat="1" applyFont="1" applyFill="1" applyBorder="1" applyAlignment="1">
      <alignment horizontal="center" vertical="center"/>
    </xf>
    <xf numFmtId="180" fontId="36" fillId="16" borderId="152" xfId="45" applyNumberFormat="1" applyFont="1" applyFill="1" applyBorder="1" applyAlignment="1">
      <alignment horizontal="right" vertical="center"/>
    </xf>
    <xf numFmtId="180" fontId="8" fillId="16" borderId="152" xfId="45" applyNumberFormat="1" applyFont="1" applyFill="1" applyBorder="1" applyAlignment="1">
      <alignment horizontal="right" vertical="center"/>
    </xf>
    <xf numFmtId="180" fontId="8" fillId="16" borderId="153" xfId="45" applyNumberFormat="1" applyFont="1" applyFill="1" applyBorder="1" applyAlignment="1">
      <alignment horizontal="right" vertical="center"/>
    </xf>
    <xf numFmtId="1" fontId="8" fillId="16" borderId="146" xfId="45" applyNumberFormat="1" applyFont="1" applyFill="1" applyBorder="1" applyAlignment="1">
      <alignment horizontal="center" vertical="center"/>
    </xf>
    <xf numFmtId="180" fontId="36" fillId="16" borderId="107" xfId="45" applyNumberFormat="1" applyFont="1" applyFill="1" applyBorder="1" applyAlignment="1">
      <alignment horizontal="right" vertical="center"/>
    </xf>
    <xf numFmtId="180" fontId="8" fillId="16" borderId="107" xfId="45" applyNumberFormat="1" applyFont="1" applyFill="1" applyBorder="1" applyAlignment="1">
      <alignment horizontal="right" vertical="center"/>
    </xf>
    <xf numFmtId="180" fontId="8" fillId="16" borderId="147" xfId="45" applyNumberFormat="1" applyFont="1" applyFill="1" applyBorder="1" applyAlignment="1">
      <alignment horizontal="right" vertical="center"/>
    </xf>
    <xf numFmtId="180" fontId="36" fillId="16" borderId="147" xfId="45" applyNumberFormat="1" applyFont="1" applyFill="1" applyBorder="1" applyAlignment="1">
      <alignment horizontal="right" vertical="center"/>
    </xf>
    <xf numFmtId="185" fontId="9" fillId="17" borderId="148" xfId="45" applyNumberFormat="1" applyFont="1" applyFill="1" applyBorder="1" applyAlignment="1">
      <alignment horizontal="center" vertical="center"/>
    </xf>
    <xf numFmtId="177" fontId="8" fillId="17" borderId="108" xfId="45" applyNumberFormat="1" applyFont="1" applyFill="1" applyBorder="1" applyAlignment="1">
      <alignment horizontal="right" vertical="center"/>
    </xf>
    <xf numFmtId="177" fontId="8" fillId="17" borderId="149" xfId="45" applyNumberFormat="1" applyFont="1" applyFill="1" applyBorder="1" applyAlignment="1">
      <alignment horizontal="right" vertical="center"/>
    </xf>
    <xf numFmtId="1" fontId="8" fillId="17" borderId="150" xfId="45" applyNumberFormat="1" applyFont="1" applyFill="1" applyBorder="1" applyAlignment="1">
      <alignment horizontal="center" vertical="center"/>
    </xf>
    <xf numFmtId="180" fontId="36" fillId="17" borderId="152" xfId="45" applyNumberFormat="1" applyFont="1" applyFill="1" applyBorder="1" applyAlignment="1">
      <alignment horizontal="right" vertical="center"/>
    </xf>
    <xf numFmtId="180" fontId="8" fillId="17" borderId="152" xfId="45" applyNumberFormat="1" applyFont="1" applyFill="1" applyBorder="1" applyAlignment="1">
      <alignment horizontal="right" vertical="center"/>
    </xf>
    <xf numFmtId="180" fontId="8" fillId="17" borderId="153" xfId="45" applyNumberFormat="1" applyFont="1" applyFill="1" applyBorder="1" applyAlignment="1">
      <alignment horizontal="right" vertical="center"/>
    </xf>
    <xf numFmtId="180" fontId="36" fillId="17" borderId="153" xfId="45" applyNumberFormat="1" applyFont="1" applyFill="1" applyBorder="1" applyAlignment="1">
      <alignment horizontal="right" vertical="center"/>
    </xf>
    <xf numFmtId="233" fontId="33" fillId="0" borderId="64" xfId="0" applyNumberFormat="1" applyFont="1" applyBorder="1" applyAlignment="1">
      <alignment horizontal="left" vertical="center"/>
    </xf>
    <xf numFmtId="218" fontId="9" fillId="11" borderId="101" xfId="0" applyNumberFormat="1" applyFont="1" applyFill="1" applyBorder="1" applyAlignment="1">
      <alignment horizontal="center" vertical="center" wrapText="1"/>
    </xf>
    <xf numFmtId="217" fontId="9" fillId="0" borderId="155" xfId="0" applyNumberFormat="1" applyFont="1" applyBorder="1" applyAlignment="1">
      <alignment horizontal="center" vertical="center" wrapText="1"/>
    </xf>
    <xf numFmtId="222" fontId="9" fillId="11" borderId="101" xfId="0" applyNumberFormat="1" applyFont="1" applyFill="1" applyBorder="1" applyAlignment="1">
      <alignment horizontal="center" vertical="center" wrapText="1"/>
    </xf>
    <xf numFmtId="239" fontId="8" fillId="0" borderId="87" xfId="0" applyNumberFormat="1" applyFont="1" applyBorder="1">
      <alignment vertical="center"/>
    </xf>
    <xf numFmtId="240" fontId="8" fillId="0" borderId="91" xfId="0" applyNumberFormat="1" applyFont="1" applyBorder="1" applyAlignment="1">
      <alignment horizontal="right" vertical="center" indent="1"/>
    </xf>
    <xf numFmtId="241" fontId="8" fillId="0" borderId="87" xfId="0" applyNumberFormat="1" applyFont="1" applyBorder="1" applyAlignment="1">
      <alignment horizontal="right" vertical="center" indent="1"/>
    </xf>
    <xf numFmtId="176" fontId="8" fillId="0" borderId="63" xfId="0" applyNumberFormat="1" applyFont="1" applyBorder="1">
      <alignment vertical="center"/>
    </xf>
    <xf numFmtId="219" fontId="8" fillId="0" borderId="63" xfId="0" applyNumberFormat="1" applyFont="1" applyBorder="1" applyAlignment="1">
      <alignment horizontal="right" vertical="center" indent="1"/>
    </xf>
    <xf numFmtId="231" fontId="8" fillId="0" borderId="72" xfId="0" applyNumberFormat="1" applyFont="1" applyBorder="1" applyAlignment="1">
      <alignment horizontal="left" vertical="center" indent="1"/>
    </xf>
    <xf numFmtId="228" fontId="8" fillId="0" borderId="80" xfId="0" applyNumberFormat="1" applyFont="1" applyBorder="1" applyAlignment="1">
      <alignment horizontal="left" vertical="center" indent="1"/>
    </xf>
    <xf numFmtId="228" fontId="8" fillId="0" borderId="156" xfId="0" applyNumberFormat="1" applyFont="1" applyBorder="1" applyAlignment="1">
      <alignment horizontal="left" vertical="center" indent="1"/>
    </xf>
    <xf numFmtId="239" fontId="8" fillId="0" borderId="135" xfId="0" applyNumberFormat="1" applyFont="1" applyBorder="1">
      <alignment vertical="center"/>
    </xf>
    <xf numFmtId="240" fontId="8" fillId="0" borderId="135" xfId="0" applyNumberFormat="1" applyFont="1" applyBorder="1" applyAlignment="1">
      <alignment horizontal="right" vertical="center" indent="1"/>
    </xf>
    <xf numFmtId="241" fontId="8" fillId="0" borderId="95" xfId="0" applyNumberFormat="1" applyFont="1" applyBorder="1" applyAlignment="1">
      <alignment horizontal="right" vertical="center" indent="1"/>
    </xf>
    <xf numFmtId="177" fontId="8" fillId="15" borderId="101" xfId="45" applyNumberFormat="1" applyFont="1" applyFill="1" applyBorder="1" applyAlignment="1">
      <alignment horizontal="right" vertical="center"/>
    </xf>
    <xf numFmtId="180" fontId="36" fillId="15" borderId="101" xfId="45" applyNumberFormat="1" applyFont="1" applyFill="1" applyBorder="1" applyAlignment="1">
      <alignment horizontal="right" vertical="center"/>
    </xf>
    <xf numFmtId="177" fontId="8" fillId="18" borderId="105" xfId="45" applyNumberFormat="1" applyFont="1" applyFill="1" applyBorder="1" applyAlignment="1">
      <alignment horizontal="right" vertical="center"/>
    </xf>
    <xf numFmtId="177" fontId="8" fillId="18" borderId="73" xfId="45" applyNumberFormat="1" applyFont="1" applyFill="1" applyBorder="1" applyAlignment="1">
      <alignment horizontal="right" vertical="center"/>
    </xf>
    <xf numFmtId="180" fontId="36" fillId="18" borderId="45" xfId="45" applyNumberFormat="1" applyFont="1" applyFill="1" applyBorder="1" applyAlignment="1">
      <alignment horizontal="right" vertical="center"/>
    </xf>
    <xf numFmtId="49" fontId="36" fillId="18" borderId="87" xfId="45" applyNumberFormat="1" applyFont="1" applyFill="1" applyBorder="1" applyAlignment="1">
      <alignment horizontal="right" vertical="center"/>
    </xf>
    <xf numFmtId="178" fontId="37" fillId="6" borderId="51" xfId="0" applyNumberFormat="1" applyFont="1" applyFill="1" applyBorder="1" applyAlignment="1">
      <alignment horizontal="right" vertical="center" indent="1"/>
    </xf>
    <xf numFmtId="178" fontId="33" fillId="6" borderId="53" xfId="0" applyNumberFormat="1" applyFont="1" applyFill="1" applyBorder="1" applyAlignment="1">
      <alignment horizontal="right" vertical="center" indent="1"/>
    </xf>
    <xf numFmtId="178" fontId="33" fillId="6" borderId="51" xfId="0" applyNumberFormat="1" applyFont="1" applyFill="1" applyBorder="1" applyAlignment="1">
      <alignment horizontal="right" vertical="center" indent="1"/>
    </xf>
    <xf numFmtId="178" fontId="60" fillId="6" borderId="51" xfId="0" applyNumberFormat="1" applyFont="1" applyFill="1" applyBorder="1" applyAlignment="1">
      <alignment horizontal="right" vertical="center" indent="1"/>
    </xf>
    <xf numFmtId="178" fontId="9" fillId="9" borderId="54" xfId="0" applyNumberFormat="1" applyFont="1" applyFill="1" applyBorder="1" applyAlignment="1">
      <alignment horizontal="right" vertical="center" indent="1"/>
    </xf>
    <xf numFmtId="178" fontId="33" fillId="6" borderId="52" xfId="0" applyNumberFormat="1" applyFont="1" applyFill="1" applyBorder="1" applyAlignment="1">
      <alignment horizontal="right" vertical="center" indent="1"/>
    </xf>
    <xf numFmtId="244" fontId="8" fillId="0" borderId="83" xfId="0" applyNumberFormat="1" applyFont="1" applyBorder="1" applyAlignment="1">
      <alignment horizontal="left" vertical="center" indent="1"/>
    </xf>
    <xf numFmtId="238" fontId="8" fillId="0" borderId="102" xfId="0" applyNumberFormat="1" applyFont="1" applyBorder="1" applyAlignment="1">
      <alignment horizontal="left" vertical="center" indent="1"/>
    </xf>
    <xf numFmtId="228" fontId="8" fillId="0" borderId="138" xfId="0" applyNumberFormat="1" applyFont="1" applyBorder="1" applyAlignment="1">
      <alignment horizontal="left" vertical="center" indent="1"/>
    </xf>
    <xf numFmtId="243" fontId="8" fillId="0" borderId="158" xfId="0" applyNumberFormat="1" applyFont="1" applyBorder="1" applyAlignment="1">
      <alignment horizontal="center" vertical="center"/>
    </xf>
    <xf numFmtId="0" fontId="6" fillId="0" borderId="5" xfId="45" applyFont="1" applyBorder="1" applyAlignment="1">
      <alignment vertical="center"/>
    </xf>
    <xf numFmtId="0" fontId="42" fillId="0" borderId="0" xfId="45" applyFont="1" applyAlignment="1">
      <alignment horizontal="center" vertical="center"/>
    </xf>
    <xf numFmtId="0" fontId="42" fillId="0" borderId="5" xfId="45" applyFont="1" applyBorder="1" applyAlignment="1">
      <alignment vertical="center"/>
    </xf>
    <xf numFmtId="0" fontId="41" fillId="11" borderId="4" xfId="45" applyFont="1" applyFill="1" applyBorder="1" applyAlignment="1">
      <alignment horizontal="center" vertical="center"/>
    </xf>
    <xf numFmtId="178" fontId="9" fillId="0" borderId="4" xfId="45" applyNumberFormat="1" applyFont="1" applyBorder="1" applyAlignment="1">
      <alignment horizontal="right" vertical="center"/>
    </xf>
    <xf numFmtId="249" fontId="6" fillId="0" borderId="0" xfId="45" applyNumberFormat="1" applyFont="1" applyAlignment="1">
      <alignment horizontal="center" vertical="center"/>
    </xf>
    <xf numFmtId="250" fontId="6" fillId="0" borderId="0" xfId="45" applyNumberFormat="1" applyFont="1" applyAlignment="1">
      <alignment horizontal="center" vertical="center"/>
    </xf>
    <xf numFmtId="180" fontId="36" fillId="17" borderId="107" xfId="45" applyNumberFormat="1" applyFont="1" applyFill="1" applyBorder="1" applyAlignment="1">
      <alignment horizontal="right" vertical="center"/>
    </xf>
    <xf numFmtId="180" fontId="36" fillId="17" borderId="147" xfId="45" applyNumberFormat="1" applyFont="1" applyFill="1" applyBorder="1" applyAlignment="1">
      <alignment horizontal="right" vertical="center"/>
    </xf>
    <xf numFmtId="185" fontId="9" fillId="17" borderId="111" xfId="45" applyNumberFormat="1" applyFont="1" applyFill="1" applyBorder="1" applyAlignment="1">
      <alignment horizontal="center" vertical="center"/>
    </xf>
    <xf numFmtId="0" fontId="6" fillId="0" borderId="159" xfId="45" applyFont="1" applyBorder="1" applyAlignment="1">
      <alignment vertical="center"/>
    </xf>
    <xf numFmtId="251" fontId="8" fillId="17" borderId="160" xfId="45" applyNumberFormat="1" applyFont="1" applyFill="1" applyBorder="1" applyAlignment="1">
      <alignment horizontal="center" vertical="center"/>
    </xf>
    <xf numFmtId="252" fontId="8" fillId="0" borderId="103" xfId="45" applyNumberFormat="1" applyFont="1" applyBorder="1" applyAlignment="1">
      <alignment horizontal="center" vertical="center"/>
    </xf>
    <xf numFmtId="253" fontId="8" fillId="0" borderId="103" xfId="45" applyNumberFormat="1" applyFont="1" applyBorder="1" applyAlignment="1">
      <alignment horizontal="center" vertical="center"/>
    </xf>
    <xf numFmtId="0" fontId="0" fillId="0" borderId="47" xfId="0" applyBorder="1">
      <alignment vertical="center"/>
    </xf>
    <xf numFmtId="10" fontId="2" fillId="0" borderId="29" xfId="30" applyNumberFormat="1" applyFont="1" applyBorder="1" applyAlignment="1">
      <alignment horizontal="center" vertical="center"/>
    </xf>
    <xf numFmtId="10" fontId="6" fillId="0" borderId="60" xfId="30" applyNumberFormat="1" applyFont="1" applyBorder="1" applyAlignment="1">
      <alignment horizontal="center" vertical="center"/>
    </xf>
    <xf numFmtId="178" fontId="8" fillId="6" borderId="51" xfId="0" applyNumberFormat="1" applyFont="1" applyFill="1" applyBorder="1" applyAlignment="1">
      <alignment horizontal="right" vertical="center" indent="1"/>
    </xf>
    <xf numFmtId="180" fontId="8" fillId="0" borderId="107" xfId="45" applyNumberFormat="1" applyFont="1" applyBorder="1" applyAlignment="1">
      <alignment horizontal="right" vertical="center"/>
    </xf>
    <xf numFmtId="176" fontId="35" fillId="7" borderId="70" xfId="0" applyNumberFormat="1" applyFont="1" applyFill="1" applyBorder="1" applyAlignment="1">
      <alignment horizontal="distributed" vertical="center" indent="1"/>
    </xf>
    <xf numFmtId="176" fontId="35" fillId="7" borderId="71" xfId="0" applyNumberFormat="1" applyFont="1" applyFill="1" applyBorder="1" applyAlignment="1">
      <alignment horizontal="distributed" vertical="center" indent="1"/>
    </xf>
    <xf numFmtId="176" fontId="35" fillId="7" borderId="72" xfId="0" applyNumberFormat="1" applyFont="1" applyFill="1" applyBorder="1" applyAlignment="1">
      <alignment horizontal="distributed" vertical="center" indent="1"/>
    </xf>
    <xf numFmtId="191" fontId="35" fillId="7" borderId="72" xfId="0" applyNumberFormat="1" applyFont="1" applyFill="1" applyBorder="1" applyAlignment="1">
      <alignment horizontal="distributed" vertical="center" indent="1"/>
    </xf>
    <xf numFmtId="178" fontId="8" fillId="6" borderId="53" xfId="0" applyNumberFormat="1" applyFont="1" applyFill="1" applyBorder="1" applyAlignment="1">
      <alignment horizontal="right" vertical="center" indent="1"/>
    </xf>
    <xf numFmtId="207" fontId="8" fillId="6" borderId="58" xfId="0" applyNumberFormat="1" applyFont="1" applyFill="1" applyBorder="1" applyAlignment="1">
      <alignment horizontal="right" vertical="center" indent="1"/>
    </xf>
    <xf numFmtId="207" fontId="8" fillId="11" borderId="79" xfId="0" applyNumberFormat="1" applyFont="1" applyFill="1" applyBorder="1" applyAlignment="1">
      <alignment horizontal="right" vertical="center" indent="1"/>
    </xf>
    <xf numFmtId="207" fontId="8" fillId="6" borderId="89" xfId="0" applyNumberFormat="1" applyFont="1" applyFill="1" applyBorder="1" applyAlignment="1">
      <alignment horizontal="right" vertical="center" indent="1"/>
    </xf>
    <xf numFmtId="207" fontId="8" fillId="6" borderId="46" xfId="0" applyNumberFormat="1" applyFont="1" applyFill="1" applyBorder="1" applyAlignment="1">
      <alignment horizontal="right" vertical="center" indent="1"/>
    </xf>
    <xf numFmtId="207" fontId="8" fillId="11" borderId="46" xfId="45" applyNumberFormat="1" applyFont="1" applyFill="1" applyBorder="1" applyAlignment="1">
      <alignment horizontal="right" vertical="center" indent="1"/>
    </xf>
    <xf numFmtId="256" fontId="6" fillId="0" borderId="0" xfId="45" applyNumberFormat="1" applyFont="1" applyAlignment="1">
      <alignment horizontal="center" vertical="center"/>
    </xf>
    <xf numFmtId="207" fontId="9" fillId="6" borderId="65" xfId="0" applyNumberFormat="1" applyFont="1" applyFill="1" applyBorder="1" applyAlignment="1">
      <alignment horizontal="right" vertical="center" indent="1"/>
    </xf>
    <xf numFmtId="207" fontId="9" fillId="11" borderId="65" xfId="45" applyNumberFormat="1" applyFont="1" applyFill="1" applyBorder="1" applyAlignment="1">
      <alignment horizontal="right" vertical="center" indent="1"/>
    </xf>
    <xf numFmtId="180" fontId="36" fillId="10" borderId="45" xfId="45" applyNumberFormat="1" applyFont="1" applyFill="1" applyBorder="1" applyAlignment="1">
      <alignment horizontal="right" vertical="center"/>
    </xf>
    <xf numFmtId="178" fontId="8" fillId="15" borderId="105" xfId="45" applyNumberFormat="1" applyFont="1" applyFill="1" applyBorder="1" applyAlignment="1">
      <alignment horizontal="center" vertical="center"/>
    </xf>
    <xf numFmtId="208" fontId="39" fillId="15" borderId="45" xfId="36" applyNumberFormat="1" applyFont="1" applyFill="1" applyBorder="1" applyAlignment="1">
      <alignment horizontal="center" vertical="center"/>
    </xf>
    <xf numFmtId="180" fontId="40" fillId="15" borderId="45" xfId="45" applyNumberFormat="1" applyFont="1" applyFill="1" applyBorder="1" applyAlignment="1">
      <alignment horizontal="center" vertical="center"/>
    </xf>
    <xf numFmtId="1" fontId="8" fillId="19" borderId="126" xfId="45" applyNumberFormat="1" applyFont="1" applyFill="1" applyBorder="1" applyAlignment="1">
      <alignment horizontal="center" vertical="center"/>
    </xf>
    <xf numFmtId="185" fontId="9" fillId="19" borderId="77" xfId="45" applyNumberFormat="1" applyFont="1" applyFill="1" applyBorder="1" applyAlignment="1">
      <alignment horizontal="center" vertical="center"/>
    </xf>
    <xf numFmtId="180" fontId="36" fillId="19" borderId="59" xfId="45" applyNumberFormat="1" applyFont="1" applyFill="1" applyBorder="1" applyAlignment="1">
      <alignment horizontal="right" vertical="center"/>
    </xf>
    <xf numFmtId="177" fontId="8" fillId="19" borderId="105" xfId="45" applyNumberFormat="1" applyFont="1" applyFill="1" applyBorder="1" applyAlignment="1">
      <alignment horizontal="right" vertical="center"/>
    </xf>
    <xf numFmtId="185" fontId="9" fillId="19" borderId="120" xfId="45" applyNumberFormat="1" applyFont="1" applyFill="1" applyBorder="1" applyAlignment="1">
      <alignment horizontal="center" vertical="center"/>
    </xf>
    <xf numFmtId="180" fontId="8" fillId="19" borderId="59" xfId="45" applyNumberFormat="1" applyFont="1" applyFill="1" applyBorder="1" applyAlignment="1">
      <alignment horizontal="right" vertical="center"/>
    </xf>
    <xf numFmtId="177" fontId="8" fillId="19" borderId="43" xfId="45" applyNumberFormat="1" applyFont="1" applyFill="1" applyBorder="1" applyAlignment="1">
      <alignment horizontal="right" vertical="center"/>
    </xf>
    <xf numFmtId="254" fontId="41" fillId="0" borderId="164" xfId="36" applyNumberFormat="1" applyFont="1" applyBorder="1" applyAlignment="1">
      <alignment vertical="center"/>
    </xf>
    <xf numFmtId="0" fontId="6" fillId="0" borderId="164" xfId="45" applyFont="1" applyBorder="1" applyAlignment="1">
      <alignment vertical="center"/>
    </xf>
    <xf numFmtId="10" fontId="8" fillId="0" borderId="101" xfId="30" applyNumberFormat="1" applyFont="1" applyFill="1" applyBorder="1" applyAlignment="1">
      <alignment horizontal="center" vertical="center"/>
    </xf>
    <xf numFmtId="183" fontId="8" fillId="11" borderId="90" xfId="0" applyNumberFormat="1" applyFont="1" applyFill="1" applyBorder="1" applyAlignment="1">
      <alignment horizontal="center" vertical="center"/>
    </xf>
    <xf numFmtId="183" fontId="8" fillId="11" borderId="69" xfId="0" applyNumberFormat="1" applyFont="1" applyFill="1" applyBorder="1" applyAlignment="1">
      <alignment horizontal="center" vertical="center"/>
    </xf>
    <xf numFmtId="248" fontId="6" fillId="0" borderId="0" xfId="45" applyNumberFormat="1" applyFont="1" applyAlignment="1">
      <alignment horizontal="right" vertical="center" indent="1"/>
    </xf>
    <xf numFmtId="0" fontId="42" fillId="0" borderId="114" xfId="45" applyFont="1" applyBorder="1" applyAlignment="1">
      <alignment horizontal="center" vertical="center"/>
    </xf>
    <xf numFmtId="258" fontId="6" fillId="5" borderId="25" xfId="30" applyNumberFormat="1" applyFont="1" applyFill="1" applyBorder="1" applyAlignment="1">
      <alignment horizontal="right" vertical="center"/>
    </xf>
    <xf numFmtId="259" fontId="6" fillId="5" borderId="26" xfId="45" applyNumberFormat="1" applyFont="1" applyFill="1" applyBorder="1" applyAlignment="1">
      <alignment horizontal="right" vertical="center"/>
    </xf>
    <xf numFmtId="257" fontId="63" fillId="0" borderId="0" xfId="45" applyNumberFormat="1" applyFont="1" applyAlignment="1">
      <alignment vertical="center"/>
    </xf>
    <xf numFmtId="0" fontId="0" fillId="0" borderId="29" xfId="0" applyBorder="1">
      <alignment vertical="center"/>
    </xf>
    <xf numFmtId="223" fontId="9" fillId="11" borderId="6" xfId="0" applyNumberFormat="1" applyFont="1" applyFill="1" applyBorder="1" applyAlignment="1">
      <alignment horizontal="center" vertical="center" wrapText="1"/>
    </xf>
    <xf numFmtId="177" fontId="8" fillId="19" borderId="101" xfId="45" applyNumberFormat="1" applyFont="1" applyFill="1" applyBorder="1" applyAlignment="1">
      <alignment horizontal="right" vertical="center"/>
    </xf>
    <xf numFmtId="185" fontId="9" fillId="20" borderId="120" xfId="45" applyNumberFormat="1" applyFont="1" applyFill="1" applyBorder="1" applyAlignment="1">
      <alignment horizontal="center" vertical="center"/>
    </xf>
    <xf numFmtId="177" fontId="8" fillId="20" borderId="43" xfId="45" applyNumberFormat="1" applyFont="1" applyFill="1" applyBorder="1" applyAlignment="1">
      <alignment horizontal="right" vertical="center"/>
    </xf>
    <xf numFmtId="1" fontId="8" fillId="20" borderId="126" xfId="45" applyNumberFormat="1" applyFont="1" applyFill="1" applyBorder="1" applyAlignment="1">
      <alignment horizontal="center" vertical="center"/>
    </xf>
    <xf numFmtId="180" fontId="36" fillId="20" borderId="59" xfId="45" applyNumberFormat="1" applyFont="1" applyFill="1" applyBorder="1" applyAlignment="1">
      <alignment horizontal="right" vertical="center"/>
    </xf>
    <xf numFmtId="180" fontId="8" fillId="20" borderId="59" xfId="45" applyNumberFormat="1" applyFont="1" applyFill="1" applyBorder="1" applyAlignment="1">
      <alignment horizontal="right" vertical="center"/>
    </xf>
    <xf numFmtId="10" fontId="6" fillId="0" borderId="0" xfId="45" applyNumberFormat="1" applyFont="1" applyAlignment="1">
      <alignment vertical="center"/>
    </xf>
    <xf numFmtId="10" fontId="8" fillId="0" borderId="0" xfId="45" applyNumberFormat="1" applyFont="1" applyAlignment="1">
      <alignment vertical="center"/>
    </xf>
    <xf numFmtId="252" fontId="8" fillId="0" borderId="78" xfId="45" applyNumberFormat="1" applyFont="1" applyBorder="1" applyAlignment="1">
      <alignment horizontal="center" vertical="center"/>
    </xf>
    <xf numFmtId="1" fontId="8" fillId="0" borderId="78" xfId="45" applyNumberFormat="1" applyFont="1" applyBorder="1" applyAlignment="1">
      <alignment horizontal="center" vertical="center"/>
    </xf>
    <xf numFmtId="178" fontId="8" fillId="11" borderId="41" xfId="45" applyNumberFormat="1" applyFont="1" applyFill="1" applyBorder="1" applyAlignment="1">
      <alignment horizontal="right" vertical="center" indent="1"/>
    </xf>
    <xf numFmtId="178" fontId="8" fillId="0" borderId="42" xfId="45" applyNumberFormat="1" applyFont="1" applyBorder="1" applyAlignment="1">
      <alignment horizontal="right" vertical="center" indent="1"/>
    </xf>
    <xf numFmtId="178" fontId="8" fillId="11" borderId="42" xfId="45" applyNumberFormat="1" applyFont="1" applyFill="1" applyBorder="1" applyAlignment="1">
      <alignment horizontal="right" vertical="center" indent="1"/>
    </xf>
    <xf numFmtId="178" fontId="9" fillId="6" borderId="4" xfId="45" applyNumberFormat="1" applyFont="1" applyFill="1" applyBorder="1" applyAlignment="1">
      <alignment horizontal="right" vertical="center" indent="1"/>
    </xf>
    <xf numFmtId="205" fontId="8" fillId="6" borderId="42" xfId="45" applyNumberFormat="1" applyFont="1" applyFill="1" applyBorder="1" applyAlignment="1">
      <alignment horizontal="right" vertical="center" indent="1"/>
    </xf>
    <xf numFmtId="178" fontId="9" fillId="0" borderId="4" xfId="45" applyNumberFormat="1" applyFont="1" applyBorder="1" applyAlignment="1">
      <alignment horizontal="right" vertical="center" indent="1"/>
    </xf>
    <xf numFmtId="180" fontId="8" fillId="11" borderId="41" xfId="45" applyNumberFormat="1" applyFont="1" applyFill="1" applyBorder="1" applyAlignment="1">
      <alignment horizontal="right" vertical="center" indent="1"/>
    </xf>
    <xf numFmtId="180" fontId="8" fillId="6" borderId="42" xfId="45" applyNumberFormat="1" applyFont="1" applyFill="1" applyBorder="1" applyAlignment="1">
      <alignment horizontal="right" vertical="center" indent="1"/>
    </xf>
    <xf numFmtId="180" fontId="8" fillId="11" borderId="42" xfId="45" applyNumberFormat="1" applyFont="1" applyFill="1" applyBorder="1" applyAlignment="1">
      <alignment horizontal="right" vertical="center" indent="1"/>
    </xf>
    <xf numFmtId="180" fontId="9" fillId="6" borderId="4" xfId="45" applyNumberFormat="1" applyFont="1" applyFill="1" applyBorder="1" applyAlignment="1">
      <alignment horizontal="right" vertical="center" indent="1"/>
    </xf>
    <xf numFmtId="176" fontId="41" fillId="10" borderId="30" xfId="45" applyNumberFormat="1" applyFont="1" applyFill="1" applyBorder="1" applyAlignment="1">
      <alignment horizontal="center" vertical="center"/>
    </xf>
    <xf numFmtId="10" fontId="6" fillId="0" borderId="0" xfId="30" applyNumberFormat="1" applyFont="1" applyBorder="1" applyAlignment="1">
      <alignment horizontal="center" vertical="center"/>
    </xf>
    <xf numFmtId="0" fontId="6" fillId="5" borderId="0" xfId="45" applyFont="1" applyFill="1" applyAlignment="1">
      <alignment horizontal="center" vertical="center"/>
    </xf>
    <xf numFmtId="218" fontId="6" fillId="5" borderId="0" xfId="45" applyNumberFormat="1" applyFont="1" applyFill="1" applyAlignment="1">
      <alignment horizontal="center" vertical="center"/>
    </xf>
    <xf numFmtId="232" fontId="8" fillId="20" borderId="66" xfId="0" applyNumberFormat="1" applyFont="1" applyFill="1" applyBorder="1">
      <alignment vertical="center"/>
    </xf>
    <xf numFmtId="233" fontId="33" fillId="20" borderId="36" xfId="0" applyNumberFormat="1" applyFont="1" applyFill="1" applyBorder="1" applyAlignment="1">
      <alignment horizontal="left" vertical="center"/>
    </xf>
    <xf numFmtId="244" fontId="8" fillId="20" borderId="36" xfId="0" applyNumberFormat="1" applyFont="1" applyFill="1" applyBorder="1" applyAlignment="1">
      <alignment horizontal="left" vertical="center" indent="1"/>
    </xf>
    <xf numFmtId="238" fontId="8" fillId="20" borderId="8" xfId="0" applyNumberFormat="1" applyFont="1" applyFill="1" applyBorder="1" applyAlignment="1">
      <alignment horizontal="left" vertical="center" indent="1"/>
    </xf>
    <xf numFmtId="176" fontId="8" fillId="20" borderId="92" xfId="0" applyNumberFormat="1" applyFont="1" applyFill="1" applyBorder="1">
      <alignment vertical="center"/>
    </xf>
    <xf numFmtId="219" fontId="8" fillId="20" borderId="5" xfId="0" applyNumberFormat="1" applyFont="1" applyFill="1" applyBorder="1" applyAlignment="1">
      <alignment horizontal="right" vertical="center" indent="1"/>
    </xf>
    <xf numFmtId="231" fontId="8" fillId="20" borderId="5" xfId="0" applyNumberFormat="1" applyFont="1" applyFill="1" applyBorder="1" applyAlignment="1">
      <alignment horizontal="left" vertical="center" indent="1"/>
    </xf>
    <xf numFmtId="228" fontId="8" fillId="20" borderId="18" xfId="0" applyNumberFormat="1" applyFont="1" applyFill="1" applyBorder="1" applyAlignment="1">
      <alignment horizontal="left" vertical="center" indent="1"/>
    </xf>
    <xf numFmtId="239" fontId="8" fillId="20" borderId="119" xfId="0" applyNumberFormat="1" applyFont="1" applyFill="1" applyBorder="1">
      <alignment vertical="center"/>
    </xf>
    <xf numFmtId="240" fontId="8" fillId="20" borderId="14" xfId="0" applyNumberFormat="1" applyFont="1" applyFill="1" applyBorder="1" applyAlignment="1">
      <alignment horizontal="right" vertical="center" indent="1"/>
    </xf>
    <xf numFmtId="261" fontId="8" fillId="20" borderId="14" xfId="0" applyNumberFormat="1" applyFont="1" applyFill="1" applyBorder="1" applyAlignment="1">
      <alignment horizontal="right" vertical="center" indent="1"/>
    </xf>
    <xf numFmtId="228" fontId="8" fillId="20" borderId="129" xfId="0" applyNumberFormat="1" applyFont="1" applyFill="1" applyBorder="1" applyAlignment="1">
      <alignment horizontal="left" vertical="center" indent="1"/>
    </xf>
    <xf numFmtId="239" fontId="8" fillId="20" borderId="68" xfId="0" applyNumberFormat="1" applyFont="1" applyFill="1" applyBorder="1">
      <alignment vertical="center"/>
    </xf>
    <xf numFmtId="240" fontId="8" fillId="20" borderId="15" xfId="0" applyNumberFormat="1" applyFont="1" applyFill="1" applyBorder="1" applyAlignment="1">
      <alignment horizontal="right" vertical="center" indent="1"/>
    </xf>
    <xf numFmtId="261" fontId="8" fillId="20" borderId="15" xfId="0" applyNumberFormat="1" applyFont="1" applyFill="1" applyBorder="1" applyAlignment="1">
      <alignment horizontal="right" vertical="center" indent="1"/>
    </xf>
    <xf numFmtId="228" fontId="8" fillId="20" borderId="131" xfId="0" applyNumberFormat="1" applyFont="1" applyFill="1" applyBorder="1" applyAlignment="1">
      <alignment horizontal="left" vertical="center" indent="1"/>
    </xf>
    <xf numFmtId="239" fontId="8" fillId="20" borderId="92" xfId="0" applyNumberFormat="1" applyFont="1" applyFill="1" applyBorder="1">
      <alignment vertical="center"/>
    </xf>
    <xf numFmtId="240" fontId="8" fillId="20" borderId="5" xfId="0" applyNumberFormat="1" applyFont="1" applyFill="1" applyBorder="1" applyAlignment="1">
      <alignment horizontal="right" vertical="center" indent="1"/>
    </xf>
    <xf numFmtId="261" fontId="8" fillId="20" borderId="5" xfId="0" applyNumberFormat="1" applyFont="1" applyFill="1" applyBorder="1" applyAlignment="1">
      <alignment horizontal="right" vertical="center" indent="1"/>
    </xf>
    <xf numFmtId="177" fontId="6" fillId="15" borderId="73" xfId="45" applyNumberFormat="1" applyFont="1" applyFill="1" applyBorder="1" applyAlignment="1">
      <alignment horizontal="right" vertical="center"/>
    </xf>
    <xf numFmtId="180" fontId="8" fillId="15" borderId="45" xfId="45" applyNumberFormat="1" applyFont="1" applyFill="1" applyBorder="1" applyAlignment="1">
      <alignment horizontal="right" vertical="center"/>
    </xf>
    <xf numFmtId="49" fontId="8" fillId="15" borderId="87" xfId="45" applyNumberFormat="1" applyFont="1" applyFill="1" applyBorder="1" applyAlignment="1">
      <alignment horizontal="right" vertical="center"/>
    </xf>
    <xf numFmtId="178" fontId="37" fillId="21" borderId="53" xfId="0" applyNumberFormat="1" applyFont="1" applyFill="1" applyBorder="1" applyAlignment="1">
      <alignment horizontal="right" vertical="center" indent="1"/>
    </xf>
    <xf numFmtId="178" fontId="37" fillId="21" borderId="51" xfId="0" applyNumberFormat="1" applyFont="1" applyFill="1" applyBorder="1" applyAlignment="1">
      <alignment horizontal="right" vertical="center" indent="1"/>
    </xf>
    <xf numFmtId="178" fontId="37" fillId="21" borderId="52" xfId="0" applyNumberFormat="1" applyFont="1" applyFill="1" applyBorder="1" applyAlignment="1">
      <alignment horizontal="right" vertical="center" indent="1"/>
    </xf>
    <xf numFmtId="178" fontId="42" fillId="20" borderId="43" xfId="45" applyNumberFormat="1" applyFont="1" applyFill="1" applyBorder="1" applyAlignment="1">
      <alignment horizontal="right" vertical="center"/>
    </xf>
    <xf numFmtId="178" fontId="8" fillId="10" borderId="101" xfId="45" applyNumberFormat="1" applyFont="1" applyFill="1" applyBorder="1" applyAlignment="1">
      <alignment horizontal="right" vertical="center"/>
    </xf>
    <xf numFmtId="178" fontId="42" fillId="0" borderId="108" xfId="45" applyNumberFormat="1" applyFont="1" applyBorder="1" applyAlignment="1">
      <alignment horizontal="right" vertical="center"/>
    </xf>
    <xf numFmtId="178" fontId="42" fillId="0" borderId="162" xfId="45" applyNumberFormat="1" applyFont="1" applyBorder="1" applyAlignment="1">
      <alignment horizontal="right" vertical="center"/>
    </xf>
    <xf numFmtId="178" fontId="42" fillId="15" borderId="105" xfId="45" applyNumberFormat="1" applyFont="1" applyFill="1" applyBorder="1" applyAlignment="1">
      <alignment horizontal="right" vertical="center"/>
    </xf>
    <xf numFmtId="10" fontId="8" fillId="20" borderId="101" xfId="30" applyNumberFormat="1" applyFont="1" applyFill="1" applyBorder="1" applyAlignment="1">
      <alignment horizontal="center" vertical="center"/>
    </xf>
    <xf numFmtId="10" fontId="8" fillId="10" borderId="101" xfId="30" applyNumberFormat="1" applyFont="1" applyFill="1" applyBorder="1" applyAlignment="1">
      <alignment horizontal="center" vertical="center"/>
    </xf>
    <xf numFmtId="10" fontId="8" fillId="10" borderId="43" xfId="30" applyNumberFormat="1" applyFont="1" applyFill="1" applyBorder="1" applyAlignment="1">
      <alignment horizontal="center" vertical="center"/>
    </xf>
    <xf numFmtId="10" fontId="8" fillId="6" borderId="101" xfId="30" applyNumberFormat="1" applyFont="1" applyFill="1" applyBorder="1" applyAlignment="1">
      <alignment horizontal="center" vertical="center"/>
    </xf>
    <xf numFmtId="262" fontId="8" fillId="20" borderId="59" xfId="30" applyNumberFormat="1" applyFont="1" applyFill="1" applyBorder="1" applyAlignment="1">
      <alignment horizontal="center" vertical="center"/>
    </xf>
    <xf numFmtId="262" fontId="8" fillId="6" borderId="59" xfId="30" applyNumberFormat="1" applyFont="1" applyFill="1" applyBorder="1" applyAlignment="1">
      <alignment horizontal="center" vertical="center"/>
    </xf>
    <xf numFmtId="262" fontId="8" fillId="10" borderId="59" xfId="30" applyNumberFormat="1" applyFont="1" applyFill="1" applyBorder="1" applyAlignment="1">
      <alignment horizontal="center" vertical="center"/>
    </xf>
    <xf numFmtId="262" fontId="8" fillId="10" borderId="45" xfId="30" applyNumberFormat="1" applyFont="1" applyFill="1" applyBorder="1" applyAlignment="1">
      <alignment horizontal="center" vertical="center"/>
    </xf>
    <xf numFmtId="10" fontId="8" fillId="6" borderId="43" xfId="30" applyNumberFormat="1" applyFont="1" applyFill="1" applyBorder="1" applyAlignment="1">
      <alignment horizontal="center" vertical="center"/>
    </xf>
    <xf numFmtId="263" fontId="8" fillId="10" borderId="6" xfId="0" applyNumberFormat="1" applyFont="1" applyFill="1" applyBorder="1" applyAlignment="1">
      <alignment horizontal="center" vertical="center"/>
    </xf>
    <xf numFmtId="226" fontId="6" fillId="0" borderId="0" xfId="45" applyNumberFormat="1" applyFont="1" applyAlignment="1">
      <alignment horizontal="center" vertical="center"/>
    </xf>
    <xf numFmtId="0" fontId="4" fillId="0" borderId="92" xfId="45" applyFont="1" applyBorder="1" applyAlignment="1">
      <alignment vertical="center"/>
    </xf>
    <xf numFmtId="0" fontId="4" fillId="0" borderId="5" xfId="45" applyFont="1" applyBorder="1" applyAlignment="1">
      <alignment vertical="center"/>
    </xf>
    <xf numFmtId="182" fontId="6" fillId="0" borderId="0" xfId="45" applyNumberFormat="1" applyFont="1" applyAlignment="1">
      <alignment horizontal="center" vertical="center"/>
    </xf>
    <xf numFmtId="10" fontId="8" fillId="0" borderId="43" xfId="30" applyNumberFormat="1" applyFont="1" applyFill="1" applyBorder="1" applyAlignment="1">
      <alignment horizontal="center" vertical="center"/>
    </xf>
    <xf numFmtId="0" fontId="6" fillId="0" borderId="0" xfId="45" applyFont="1" applyAlignment="1">
      <alignment horizontal="left" vertical="center"/>
    </xf>
    <xf numFmtId="184" fontId="6" fillId="0" borderId="0" xfId="45" applyNumberFormat="1" applyFont="1" applyAlignment="1">
      <alignment horizontal="right" vertical="center"/>
    </xf>
    <xf numFmtId="0" fontId="6" fillId="0" borderId="0" xfId="45" applyFont="1" applyAlignment="1">
      <alignment horizontal="right" vertical="center"/>
    </xf>
    <xf numFmtId="0" fontId="65" fillId="0" borderId="0" xfId="45" applyFont="1" applyAlignment="1">
      <alignment horizontal="left" vertical="center"/>
    </xf>
    <xf numFmtId="209" fontId="8" fillId="0" borderId="50" xfId="0" applyNumberFormat="1" applyFont="1" applyBorder="1" applyAlignment="1">
      <alignment horizontal="right" vertical="center" indent="1"/>
    </xf>
    <xf numFmtId="176" fontId="8" fillId="0" borderId="51" xfId="0" applyNumberFormat="1" applyFont="1" applyBorder="1" applyAlignment="1">
      <alignment horizontal="right" vertical="center" indent="1"/>
    </xf>
    <xf numFmtId="49" fontId="41" fillId="0" borderId="118" xfId="45" applyNumberFormat="1" applyFont="1" applyBorder="1" applyAlignment="1">
      <alignment vertical="center"/>
    </xf>
    <xf numFmtId="49" fontId="41" fillId="0" borderId="121" xfId="45" applyNumberFormat="1" applyFont="1" applyBorder="1" applyAlignment="1">
      <alignment vertical="center"/>
    </xf>
    <xf numFmtId="1" fontId="8" fillId="0" borderId="138" xfId="45" applyNumberFormat="1" applyFont="1" applyBorder="1" applyAlignment="1">
      <alignment horizontal="center" vertical="center"/>
    </xf>
    <xf numFmtId="10" fontId="42" fillId="20" borderId="101" xfId="30" applyNumberFormat="1" applyFont="1" applyFill="1" applyBorder="1" applyAlignment="1">
      <alignment horizontal="center" vertical="center"/>
    </xf>
    <xf numFmtId="262" fontId="42" fillId="20" borderId="59" xfId="30" applyNumberFormat="1" applyFont="1" applyFill="1" applyBorder="1" applyAlignment="1">
      <alignment horizontal="center" vertical="center"/>
    </xf>
    <xf numFmtId="180" fontId="42" fillId="20" borderId="59" xfId="45" applyNumberFormat="1" applyFont="1" applyFill="1" applyBorder="1" applyAlignment="1">
      <alignment horizontal="right" vertical="center"/>
    </xf>
    <xf numFmtId="177" fontId="42" fillId="20" borderId="43" xfId="45" applyNumberFormat="1" applyFont="1" applyFill="1" applyBorder="1" applyAlignment="1">
      <alignment horizontal="right" vertical="center"/>
    </xf>
    <xf numFmtId="10" fontId="42" fillId="10" borderId="101" xfId="30" applyNumberFormat="1" applyFont="1" applyFill="1" applyBorder="1" applyAlignment="1">
      <alignment horizontal="center" vertical="center"/>
    </xf>
    <xf numFmtId="178" fontId="42" fillId="10" borderId="101" xfId="45" applyNumberFormat="1" applyFont="1" applyFill="1" applyBorder="1" applyAlignment="1">
      <alignment horizontal="right" vertical="center"/>
    </xf>
    <xf numFmtId="262" fontId="42" fillId="10" borderId="45" xfId="30" applyNumberFormat="1" applyFont="1" applyFill="1" applyBorder="1" applyAlignment="1">
      <alignment horizontal="center" vertical="center"/>
    </xf>
    <xf numFmtId="180" fontId="42" fillId="10" borderId="45" xfId="45" applyNumberFormat="1" applyFont="1" applyFill="1" applyBorder="1" applyAlignment="1">
      <alignment horizontal="right" vertical="center"/>
    </xf>
    <xf numFmtId="177" fontId="42" fillId="0" borderId="106" xfId="45" applyNumberFormat="1" applyFont="1" applyBorder="1" applyAlignment="1">
      <alignment horizontal="right" vertical="center"/>
    </xf>
    <xf numFmtId="180" fontId="42" fillId="0" borderId="107" xfId="45" applyNumberFormat="1" applyFont="1" applyBorder="1" applyAlignment="1">
      <alignment horizontal="right" vertical="center"/>
    </xf>
    <xf numFmtId="10" fontId="42" fillId="6" borderId="101" xfId="30" applyNumberFormat="1" applyFont="1" applyFill="1" applyBorder="1" applyAlignment="1">
      <alignment horizontal="center" vertical="center"/>
    </xf>
    <xf numFmtId="262" fontId="42" fillId="6" borderId="59" xfId="30" applyNumberFormat="1" applyFont="1" applyFill="1" applyBorder="1" applyAlignment="1">
      <alignment horizontal="center" vertical="center"/>
    </xf>
    <xf numFmtId="10" fontId="42" fillId="6" borderId="43" xfId="30" applyNumberFormat="1" applyFont="1" applyFill="1" applyBorder="1" applyAlignment="1">
      <alignment horizontal="center" vertical="center"/>
    </xf>
    <xf numFmtId="262" fontId="42" fillId="6" borderId="45" xfId="30" applyNumberFormat="1" applyFont="1" applyFill="1" applyBorder="1" applyAlignment="1">
      <alignment horizontal="center" vertical="center"/>
    </xf>
    <xf numFmtId="180" fontId="42" fillId="0" borderId="167" xfId="45" applyNumberFormat="1" applyFont="1" applyBorder="1" applyAlignment="1">
      <alignment horizontal="right" vertical="center"/>
    </xf>
    <xf numFmtId="10" fontId="42" fillId="0" borderId="43" xfId="30" applyNumberFormat="1" applyFont="1" applyFill="1" applyBorder="1" applyAlignment="1">
      <alignment horizontal="center" vertical="center"/>
    </xf>
    <xf numFmtId="177" fontId="42" fillId="0" borderId="108" xfId="45" applyNumberFormat="1" applyFont="1" applyBorder="1" applyAlignment="1">
      <alignment horizontal="right" vertical="center"/>
    </xf>
    <xf numFmtId="10" fontId="42" fillId="0" borderId="101" xfId="30" applyNumberFormat="1" applyFont="1" applyFill="1" applyBorder="1" applyAlignment="1">
      <alignment horizontal="center" vertical="center"/>
    </xf>
    <xf numFmtId="10" fontId="42" fillId="10" borderId="43" xfId="30" applyNumberFormat="1" applyFont="1" applyFill="1" applyBorder="1" applyAlignment="1">
      <alignment horizontal="center" vertical="center"/>
    </xf>
    <xf numFmtId="262" fontId="42" fillId="10" borderId="59" xfId="30" applyNumberFormat="1" applyFont="1" applyFill="1" applyBorder="1" applyAlignment="1">
      <alignment horizontal="center" vertical="center"/>
    </xf>
    <xf numFmtId="180" fontId="42" fillId="15" borderId="45" xfId="45" applyNumberFormat="1" applyFont="1" applyFill="1" applyBorder="1" applyAlignment="1">
      <alignment horizontal="right" vertical="center"/>
    </xf>
    <xf numFmtId="10" fontId="42" fillId="0" borderId="59" xfId="30" applyNumberFormat="1" applyFont="1" applyFill="1" applyBorder="1" applyAlignment="1">
      <alignment horizontal="center" vertical="center"/>
    </xf>
    <xf numFmtId="0" fontId="6" fillId="0" borderId="168" xfId="45" applyFont="1" applyBorder="1" applyAlignment="1">
      <alignment vertical="center"/>
    </xf>
    <xf numFmtId="226" fontId="6" fillId="0" borderId="168" xfId="45" applyNumberFormat="1" applyFont="1" applyBorder="1" applyAlignment="1">
      <alignment vertical="center"/>
    </xf>
    <xf numFmtId="10" fontId="6" fillId="0" borderId="168" xfId="30" applyNumberFormat="1" applyFont="1" applyBorder="1" applyAlignment="1">
      <alignment horizontal="center" vertical="center"/>
    </xf>
    <xf numFmtId="0" fontId="4" fillId="0" borderId="123" xfId="45" applyFont="1" applyBorder="1" applyAlignment="1">
      <alignment vertical="center"/>
    </xf>
    <xf numFmtId="0" fontId="4" fillId="0" borderId="0" xfId="45" applyFont="1" applyAlignment="1">
      <alignment vertical="center"/>
    </xf>
    <xf numFmtId="176" fontId="35" fillId="7" borderId="169" xfId="0" applyNumberFormat="1" applyFont="1" applyFill="1" applyBorder="1" applyAlignment="1">
      <alignment horizontal="center" vertical="center"/>
    </xf>
    <xf numFmtId="176" fontId="32" fillId="14" borderId="3" xfId="0" applyNumberFormat="1" applyFont="1" applyFill="1" applyBorder="1" applyAlignment="1">
      <alignment horizontal="left" vertical="center" indent="1"/>
    </xf>
    <xf numFmtId="176" fontId="32" fillId="14" borderId="3" xfId="0" applyNumberFormat="1" applyFont="1" applyFill="1" applyBorder="1" applyAlignment="1">
      <alignment horizontal="center" vertical="center"/>
    </xf>
    <xf numFmtId="176" fontId="32" fillId="14" borderId="3" xfId="0" applyNumberFormat="1" applyFont="1" applyFill="1" applyBorder="1" applyAlignment="1">
      <alignment horizontal="left" vertical="center"/>
    </xf>
    <xf numFmtId="176" fontId="32" fillId="14" borderId="170" xfId="0" applyNumberFormat="1" applyFont="1" applyFill="1" applyBorder="1" applyAlignment="1">
      <alignment horizontal="center" vertical="center"/>
    </xf>
    <xf numFmtId="176" fontId="35" fillId="7" borderId="171" xfId="0" applyNumberFormat="1" applyFont="1" applyFill="1" applyBorder="1" applyAlignment="1">
      <alignment horizontal="distributed" vertical="center" indent="1"/>
    </xf>
    <xf numFmtId="176" fontId="8" fillId="6" borderId="129" xfId="0" applyNumberFormat="1" applyFont="1" applyFill="1" applyBorder="1" applyAlignment="1">
      <alignment horizontal="left" vertical="center"/>
    </xf>
    <xf numFmtId="176" fontId="35" fillId="7" borderId="172" xfId="0" applyNumberFormat="1" applyFont="1" applyFill="1" applyBorder="1" applyAlignment="1">
      <alignment horizontal="distributed" vertical="center" indent="1"/>
    </xf>
    <xf numFmtId="176" fontId="8" fillId="6" borderId="131" xfId="0" applyNumberFormat="1" applyFont="1" applyFill="1" applyBorder="1" applyAlignment="1">
      <alignment horizontal="left" vertical="center"/>
    </xf>
    <xf numFmtId="176" fontId="35" fillId="7" borderId="173" xfId="0" applyNumberFormat="1" applyFont="1" applyFill="1" applyBorder="1" applyAlignment="1">
      <alignment horizontal="distributed" vertical="center" indent="1"/>
    </xf>
    <xf numFmtId="176" fontId="35" fillId="7" borderId="172" xfId="0" applyNumberFormat="1" applyFont="1" applyFill="1" applyBorder="1" applyAlignment="1">
      <alignment horizontal="center" vertical="center"/>
    </xf>
    <xf numFmtId="183" fontId="8" fillId="11" borderId="27" xfId="0" applyNumberFormat="1" applyFont="1" applyFill="1" applyBorder="1" applyAlignment="1">
      <alignment horizontal="center" vertical="center"/>
    </xf>
    <xf numFmtId="176" fontId="35" fillId="7" borderId="176" xfId="0" applyNumberFormat="1" applyFont="1" applyFill="1" applyBorder="1" applyAlignment="1">
      <alignment horizontal="distributed" vertical="center" indent="1"/>
    </xf>
    <xf numFmtId="189" fontId="8" fillId="6" borderId="178" xfId="0" applyNumberFormat="1" applyFont="1" applyFill="1" applyBorder="1" applyAlignment="1">
      <alignment horizontal="right" vertical="center" indent="1"/>
    </xf>
    <xf numFmtId="176" fontId="35" fillId="7" borderId="177" xfId="0" applyNumberFormat="1" applyFont="1" applyFill="1" applyBorder="1" applyAlignment="1">
      <alignment horizontal="distributed" vertical="center" indent="1"/>
    </xf>
    <xf numFmtId="0" fontId="10" fillId="0" borderId="183" xfId="45" applyFont="1" applyBorder="1" applyAlignment="1">
      <alignment vertical="center"/>
    </xf>
    <xf numFmtId="0" fontId="10" fillId="0" borderId="0" xfId="45" applyFont="1" applyAlignment="1">
      <alignment vertical="center"/>
    </xf>
    <xf numFmtId="0" fontId="10" fillId="0" borderId="184" xfId="45" applyFont="1" applyBorder="1" applyAlignment="1">
      <alignment vertical="center"/>
    </xf>
    <xf numFmtId="0" fontId="10" fillId="0" borderId="183" xfId="45" applyFont="1" applyBorder="1" applyAlignment="1">
      <alignment horizontal="center" vertical="center"/>
    </xf>
    <xf numFmtId="0" fontId="10" fillId="0" borderId="0" xfId="45" applyFont="1" applyAlignment="1">
      <alignment horizontal="center" vertical="center"/>
    </xf>
    <xf numFmtId="184" fontId="10" fillId="0" borderId="184" xfId="45" applyNumberFormat="1" applyFont="1" applyBorder="1" applyAlignment="1">
      <alignment horizontal="right" vertical="center"/>
    </xf>
    <xf numFmtId="0" fontId="10" fillId="0" borderId="183" xfId="45" applyFont="1" applyBorder="1" applyAlignment="1">
      <alignment horizontal="left" vertical="center"/>
    </xf>
    <xf numFmtId="0" fontId="10" fillId="0" borderId="0" xfId="45" applyFont="1" applyAlignment="1">
      <alignment horizontal="left" vertical="center"/>
    </xf>
    <xf numFmtId="0" fontId="10" fillId="0" borderId="184" xfId="45" applyFont="1" applyBorder="1" applyAlignment="1">
      <alignment horizontal="left" vertical="center"/>
    </xf>
    <xf numFmtId="0" fontId="10" fillId="0" borderId="184" xfId="45" applyFont="1" applyBorder="1" applyAlignment="1">
      <alignment horizontal="right" vertical="center"/>
    </xf>
    <xf numFmtId="0" fontId="67" fillId="0" borderId="183" xfId="45" applyFont="1" applyBorder="1" applyAlignment="1">
      <alignment vertical="center"/>
    </xf>
    <xf numFmtId="0" fontId="67" fillId="0" borderId="0" xfId="45" applyFont="1" applyAlignment="1">
      <alignment horizontal="left" vertical="center"/>
    </xf>
    <xf numFmtId="0" fontId="67" fillId="0" borderId="184" xfId="45" applyFont="1" applyBorder="1" applyAlignment="1">
      <alignment horizontal="right" vertical="center"/>
    </xf>
    <xf numFmtId="0" fontId="67" fillId="0" borderId="183" xfId="45" applyFont="1" applyBorder="1" applyAlignment="1">
      <alignment horizontal="left" vertical="center"/>
    </xf>
    <xf numFmtId="0" fontId="67" fillId="0" borderId="185" xfId="45" applyFont="1" applyBorder="1" applyAlignment="1">
      <alignment vertical="center"/>
    </xf>
    <xf numFmtId="0" fontId="67" fillId="0" borderId="186" xfId="45" applyFont="1" applyBorder="1" applyAlignment="1">
      <alignment horizontal="left" vertical="center"/>
    </xf>
    <xf numFmtId="0" fontId="67" fillId="0" borderId="187" xfId="45" applyFont="1" applyBorder="1" applyAlignment="1">
      <alignment horizontal="right" vertical="center"/>
    </xf>
    <xf numFmtId="0" fontId="67" fillId="0" borderId="185" xfId="45" applyFont="1" applyBorder="1" applyAlignment="1">
      <alignment horizontal="left" vertical="center"/>
    </xf>
    <xf numFmtId="0" fontId="10" fillId="0" borderId="183" xfId="45" applyFont="1" applyBorder="1" applyAlignment="1">
      <alignment horizontal="right" vertical="center"/>
    </xf>
    <xf numFmtId="0" fontId="10" fillId="0" borderId="0" xfId="45" applyFont="1" applyAlignment="1">
      <alignment horizontal="right" vertical="center"/>
    </xf>
    <xf numFmtId="0" fontId="67" fillId="5" borderId="188" xfId="45" applyFont="1" applyFill="1" applyBorder="1" applyAlignment="1">
      <alignment horizontal="center" vertical="center"/>
    </xf>
    <xf numFmtId="0" fontId="67" fillId="5" borderId="2" xfId="45" applyFont="1" applyFill="1" applyBorder="1" applyAlignment="1">
      <alignment horizontal="center" vertical="center"/>
    </xf>
    <xf numFmtId="184" fontId="67" fillId="5" borderId="189" xfId="45" applyNumberFormat="1" applyFont="1" applyFill="1" applyBorder="1" applyAlignment="1">
      <alignment horizontal="right" vertical="center"/>
    </xf>
    <xf numFmtId="0" fontId="67" fillId="5" borderId="188" xfId="45" applyFont="1" applyFill="1" applyBorder="1" applyAlignment="1">
      <alignment horizontal="right" vertical="center"/>
    </xf>
    <xf numFmtId="0" fontId="67" fillId="5" borderId="2" xfId="45" applyFont="1" applyFill="1" applyBorder="1" applyAlignment="1">
      <alignment horizontal="right" vertical="center"/>
    </xf>
    <xf numFmtId="0" fontId="67" fillId="5" borderId="189" xfId="45" applyFont="1" applyFill="1" applyBorder="1" applyAlignment="1">
      <alignment horizontal="right" vertical="center"/>
    </xf>
    <xf numFmtId="0" fontId="5" fillId="0" borderId="26" xfId="45" applyFont="1" applyBorder="1" applyAlignment="1">
      <alignment horizontal="center" vertical="center"/>
    </xf>
    <xf numFmtId="0" fontId="6" fillId="0" borderId="25" xfId="45" applyFont="1" applyBorder="1" applyAlignment="1">
      <alignment vertical="center"/>
    </xf>
    <xf numFmtId="0" fontId="6" fillId="0" borderId="182" xfId="45" applyFont="1" applyBorder="1" applyAlignment="1">
      <alignment vertical="center"/>
    </xf>
    <xf numFmtId="0" fontId="9" fillId="0" borderId="190" xfId="45" applyFont="1" applyBorder="1" applyAlignment="1">
      <alignment horizontal="center" vertical="center"/>
    </xf>
    <xf numFmtId="0" fontId="9" fillId="0" borderId="0" xfId="45" applyFont="1" applyAlignment="1">
      <alignment horizontal="center" vertical="center"/>
    </xf>
    <xf numFmtId="0" fontId="9" fillId="0" borderId="26" xfId="45" applyFont="1" applyBorder="1" applyAlignment="1">
      <alignment horizontal="center" vertical="center"/>
    </xf>
    <xf numFmtId="0" fontId="9" fillId="0" borderId="186" xfId="45" applyFont="1" applyBorder="1" applyAlignment="1">
      <alignment horizontal="center" vertical="center"/>
    </xf>
    <xf numFmtId="0" fontId="9" fillId="0" borderId="190" xfId="45" applyFont="1" applyBorder="1" applyAlignment="1">
      <alignment horizontal="right" vertical="center"/>
    </xf>
    <xf numFmtId="0" fontId="9" fillId="0" borderId="26" xfId="45" applyFont="1" applyBorder="1" applyAlignment="1">
      <alignment horizontal="right" vertical="center"/>
    </xf>
    <xf numFmtId="0" fontId="5" fillId="0" borderId="190" xfId="45" applyFont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73" fillId="16" borderId="195" xfId="0" applyFont="1" applyFill="1" applyBorder="1" applyAlignment="1">
      <alignment horizontal="right"/>
    </xf>
    <xf numFmtId="0" fontId="73" fillId="16" borderId="143" xfId="0" applyFont="1" applyFill="1" applyBorder="1" applyAlignment="1">
      <alignment horizontal="right"/>
    </xf>
    <xf numFmtId="0" fontId="73" fillId="16" borderId="194" xfId="0" applyFont="1" applyFill="1" applyBorder="1" applyAlignment="1">
      <alignment horizontal="right"/>
    </xf>
    <xf numFmtId="0" fontId="73" fillId="16" borderId="198" xfId="0" applyFont="1" applyFill="1" applyBorder="1">
      <alignment vertical="center"/>
    </xf>
    <xf numFmtId="0" fontId="73" fillId="16" borderId="199" xfId="0" applyFont="1" applyFill="1" applyBorder="1">
      <alignment vertical="center"/>
    </xf>
    <xf numFmtId="0" fontId="73" fillId="11" borderId="6" xfId="0" applyFont="1" applyFill="1" applyBorder="1" applyAlignment="1">
      <alignment horizontal="right" vertical="center"/>
    </xf>
    <xf numFmtId="0" fontId="73" fillId="0" borderId="59" xfId="0" applyFont="1" applyBorder="1" applyAlignment="1">
      <alignment horizontal="right" vertical="center"/>
    </xf>
    <xf numFmtId="0" fontId="73" fillId="11" borderId="59" xfId="0" applyFont="1" applyFill="1" applyBorder="1" applyAlignment="1">
      <alignment horizontal="right" vertical="center"/>
    </xf>
    <xf numFmtId="0" fontId="73" fillId="0" borderId="37" xfId="0" applyFont="1" applyBorder="1" applyAlignment="1">
      <alignment horizontal="right" vertical="center"/>
    </xf>
    <xf numFmtId="0" fontId="73" fillId="11" borderId="31" xfId="0" applyFont="1" applyFill="1" applyBorder="1" applyAlignment="1">
      <alignment horizontal="right" vertical="center"/>
    </xf>
    <xf numFmtId="0" fontId="73" fillId="0" borderId="42" xfId="0" applyFont="1" applyBorder="1" applyAlignment="1">
      <alignment horizontal="right" vertical="center"/>
    </xf>
    <xf numFmtId="0" fontId="73" fillId="11" borderId="42" xfId="0" applyFont="1" applyFill="1" applyBorder="1" applyAlignment="1">
      <alignment horizontal="right" vertical="center"/>
    </xf>
    <xf numFmtId="0" fontId="73" fillId="0" borderId="28" xfId="0" applyFont="1" applyBorder="1" applyAlignment="1">
      <alignment horizontal="right" vertical="center"/>
    </xf>
    <xf numFmtId="0" fontId="73" fillId="0" borderId="15" xfId="0" applyFont="1" applyBorder="1">
      <alignment vertical="center"/>
    </xf>
    <xf numFmtId="0" fontId="73" fillId="0" borderId="131" xfId="0" applyFont="1" applyBorder="1" applyAlignment="1">
      <alignment horizontal="center" vertical="center"/>
    </xf>
    <xf numFmtId="0" fontId="73" fillId="11" borderId="15" xfId="0" applyFont="1" applyFill="1" applyBorder="1" applyAlignment="1">
      <alignment horizontal="right" vertical="center"/>
    </xf>
    <xf numFmtId="0" fontId="73" fillId="0" borderId="15" xfId="0" applyFont="1" applyBorder="1" applyAlignment="1">
      <alignment horizontal="right" vertical="center"/>
    </xf>
    <xf numFmtId="0" fontId="73" fillId="0" borderId="132" xfId="0" applyFont="1" applyBorder="1">
      <alignment vertical="center"/>
    </xf>
    <xf numFmtId="0" fontId="73" fillId="16" borderId="43" xfId="0" applyFont="1" applyFill="1" applyBorder="1" applyAlignment="1">
      <alignment horizontal="center" vertical="center"/>
    </xf>
    <xf numFmtId="0" fontId="73" fillId="16" borderId="208" xfId="0" applyFont="1" applyFill="1" applyBorder="1" applyAlignment="1">
      <alignment horizontal="center" vertical="center"/>
    </xf>
    <xf numFmtId="0" fontId="73" fillId="11" borderId="33" xfId="0" applyFont="1" applyFill="1" applyBorder="1">
      <alignment vertical="center"/>
    </xf>
    <xf numFmtId="0" fontId="73" fillId="0" borderId="43" xfId="0" applyFont="1" applyBorder="1">
      <alignment vertical="center"/>
    </xf>
    <xf numFmtId="0" fontId="73" fillId="11" borderId="43" xfId="0" applyFont="1" applyFill="1" applyBorder="1">
      <alignment vertical="center"/>
    </xf>
    <xf numFmtId="0" fontId="73" fillId="0" borderId="38" xfId="0" applyFont="1" applyBorder="1">
      <alignment vertical="center"/>
    </xf>
    <xf numFmtId="0" fontId="73" fillId="23" borderId="209" xfId="0" applyFont="1" applyFill="1" applyBorder="1" applyAlignment="1">
      <alignment horizontal="center" vertical="center"/>
    </xf>
    <xf numFmtId="0" fontId="73" fillId="23" borderId="88" xfId="0" applyFont="1" applyFill="1" applyBorder="1" applyAlignment="1">
      <alignment horizontal="center" vertical="center"/>
    </xf>
    <xf numFmtId="0" fontId="73" fillId="23" borderId="124" xfId="0" applyFont="1" applyFill="1" applyBorder="1" applyAlignment="1">
      <alignment horizontal="center" vertical="center"/>
    </xf>
    <xf numFmtId="266" fontId="74" fillId="16" borderId="81" xfId="0" applyNumberFormat="1" applyFont="1" applyFill="1" applyBorder="1" applyAlignment="1">
      <alignment horizontal="right" vertical="top"/>
    </xf>
    <xf numFmtId="266" fontId="74" fillId="16" borderId="45" xfId="0" applyNumberFormat="1" applyFont="1" applyFill="1" applyBorder="1" applyAlignment="1">
      <alignment horizontal="right" vertical="top"/>
    </xf>
    <xf numFmtId="266" fontId="74" fillId="16" borderId="46" xfId="0" applyNumberFormat="1" applyFont="1" applyFill="1" applyBorder="1" applyAlignment="1">
      <alignment horizontal="right" vertical="top"/>
    </xf>
    <xf numFmtId="0" fontId="75" fillId="17" borderId="212" xfId="0" applyFont="1" applyFill="1" applyBorder="1" applyAlignment="1">
      <alignment horizontal="right" vertical="center" indent="1"/>
    </xf>
    <xf numFmtId="0" fontId="75" fillId="17" borderId="213" xfId="0" applyFont="1" applyFill="1" applyBorder="1" applyAlignment="1">
      <alignment horizontal="right" vertical="center" indent="1"/>
    </xf>
    <xf numFmtId="0" fontId="75" fillId="17" borderId="214" xfId="0" applyFont="1" applyFill="1" applyBorder="1" applyAlignment="1">
      <alignment horizontal="right" vertical="center" indent="1"/>
    </xf>
    <xf numFmtId="0" fontId="75" fillId="0" borderId="206" xfId="0" applyFont="1" applyBorder="1" applyAlignment="1">
      <alignment horizontal="right" vertical="center" indent="1"/>
    </xf>
    <xf numFmtId="0" fontId="75" fillId="0" borderId="191" xfId="0" applyFont="1" applyBorder="1" applyAlignment="1">
      <alignment horizontal="right" vertical="center" indent="1"/>
    </xf>
    <xf numFmtId="0" fontId="75" fillId="0" borderId="197" xfId="0" applyFont="1" applyBorder="1" applyAlignment="1">
      <alignment horizontal="right" vertical="center" indent="1"/>
    </xf>
    <xf numFmtId="0" fontId="75" fillId="0" borderId="203" xfId="0" applyFont="1" applyBorder="1" applyAlignment="1">
      <alignment horizontal="right" vertical="center" indent="1"/>
    </xf>
    <xf numFmtId="262" fontId="0" fillId="0" borderId="0" xfId="0" applyNumberFormat="1">
      <alignment vertical="center"/>
    </xf>
    <xf numFmtId="0" fontId="73" fillId="16" borderId="200" xfId="0" applyFont="1" applyFill="1" applyBorder="1">
      <alignment vertical="center"/>
    </xf>
    <xf numFmtId="0" fontId="73" fillId="16" borderId="128" xfId="0" applyFont="1" applyFill="1" applyBorder="1">
      <alignment vertical="center"/>
    </xf>
    <xf numFmtId="0" fontId="73" fillId="16" borderId="201" xfId="0" applyFont="1" applyFill="1" applyBorder="1" applyAlignment="1">
      <alignment horizontal="center" vertical="center"/>
    </xf>
    <xf numFmtId="0" fontId="80" fillId="16" borderId="198" xfId="0" applyFont="1" applyFill="1" applyBorder="1" applyAlignment="1">
      <alignment horizontal="right"/>
    </xf>
    <xf numFmtId="0" fontId="80" fillId="16" borderId="143" xfId="0" applyFont="1" applyFill="1" applyBorder="1" applyAlignment="1">
      <alignment horizontal="right"/>
    </xf>
    <xf numFmtId="0" fontId="80" fillId="16" borderId="220" xfId="0" applyFont="1" applyFill="1" applyBorder="1" applyAlignment="1">
      <alignment horizontal="right"/>
    </xf>
    <xf numFmtId="0" fontId="80" fillId="16" borderId="195" xfId="0" applyFont="1" applyFill="1" applyBorder="1" applyAlignment="1">
      <alignment horizontal="right"/>
    </xf>
    <xf numFmtId="0" fontId="80" fillId="16" borderId="194" xfId="0" applyFont="1" applyFill="1" applyBorder="1" applyAlignment="1">
      <alignment horizontal="right"/>
    </xf>
    <xf numFmtId="0" fontId="80" fillId="16" borderId="10" xfId="0" applyFont="1" applyFill="1" applyBorder="1" applyAlignment="1">
      <alignment horizontal="right"/>
    </xf>
    <xf numFmtId="0" fontId="81" fillId="16" borderId="182" xfId="0" applyFont="1" applyFill="1" applyBorder="1">
      <alignment vertical="center"/>
    </xf>
    <xf numFmtId="266" fontId="82" fillId="16" borderId="199" xfId="0" applyNumberFormat="1" applyFont="1" applyFill="1" applyBorder="1" applyAlignment="1">
      <alignment horizontal="right" vertical="top"/>
    </xf>
    <xf numFmtId="266" fontId="82" fillId="16" borderId="45" xfId="0" applyNumberFormat="1" applyFont="1" applyFill="1" applyBorder="1" applyAlignment="1">
      <alignment horizontal="right" vertical="top"/>
    </xf>
    <xf numFmtId="266" fontId="82" fillId="16" borderId="216" xfId="0" applyNumberFormat="1" applyFont="1" applyFill="1" applyBorder="1" applyAlignment="1">
      <alignment horizontal="right" vertical="top"/>
    </xf>
    <xf numFmtId="266" fontId="82" fillId="16" borderId="81" xfId="0" applyNumberFormat="1" applyFont="1" applyFill="1" applyBorder="1" applyAlignment="1">
      <alignment horizontal="right" vertical="top"/>
    </xf>
    <xf numFmtId="266" fontId="82" fillId="16" borderId="46" xfId="0" applyNumberFormat="1" applyFont="1" applyFill="1" applyBorder="1" applyAlignment="1">
      <alignment horizontal="right" vertical="top"/>
    </xf>
    <xf numFmtId="266" fontId="82" fillId="16" borderId="19" xfId="0" applyNumberFormat="1" applyFont="1" applyFill="1" applyBorder="1" applyAlignment="1">
      <alignment horizontal="right" vertical="top"/>
    </xf>
    <xf numFmtId="0" fontId="81" fillId="16" borderId="5" xfId="0" applyFont="1" applyFill="1" applyBorder="1">
      <alignment vertical="center"/>
    </xf>
    <xf numFmtId="0" fontId="81" fillId="0" borderId="14" xfId="0" applyFont="1" applyBorder="1">
      <alignment vertical="center"/>
    </xf>
    <xf numFmtId="0" fontId="81" fillId="0" borderId="24" xfId="0" applyFont="1" applyBorder="1">
      <alignment vertical="center"/>
    </xf>
    <xf numFmtId="0" fontId="83" fillId="16" borderId="0" xfId="0" applyFont="1" applyFill="1">
      <alignment vertical="center"/>
    </xf>
    <xf numFmtId="0" fontId="83" fillId="16" borderId="0" xfId="0" applyFont="1" applyFill="1" applyAlignment="1">
      <alignment horizontal="center" vertical="center"/>
    </xf>
    <xf numFmtId="0" fontId="83" fillId="0" borderId="199" xfId="0" applyFont="1" applyBorder="1">
      <alignment vertical="center"/>
    </xf>
    <xf numFmtId="0" fontId="83" fillId="0" borderId="45" xfId="0" applyFont="1" applyBorder="1">
      <alignment vertical="center"/>
    </xf>
    <xf numFmtId="0" fontId="83" fillId="0" borderId="216" xfId="0" applyFont="1" applyBorder="1">
      <alignment vertical="center"/>
    </xf>
    <xf numFmtId="0" fontId="83" fillId="0" borderId="81" xfId="0" applyFont="1" applyBorder="1">
      <alignment vertical="center"/>
    </xf>
    <xf numFmtId="0" fontId="83" fillId="0" borderId="46" xfId="0" applyFont="1" applyBorder="1">
      <alignment vertical="center"/>
    </xf>
    <xf numFmtId="0" fontId="83" fillId="0" borderId="19" xfId="0" applyFont="1" applyBorder="1">
      <alignment vertical="center"/>
    </xf>
    <xf numFmtId="0" fontId="83" fillId="0" borderId="0" xfId="0" applyFont="1">
      <alignment vertical="center"/>
    </xf>
    <xf numFmtId="0" fontId="81" fillId="0" borderId="223" xfId="0" applyFont="1" applyBorder="1" applyAlignment="1">
      <alignment horizontal="right" vertical="center"/>
    </xf>
    <xf numFmtId="0" fontId="81" fillId="0" borderId="105" xfId="0" applyFont="1" applyBorder="1" applyAlignment="1">
      <alignment horizontal="right" vertical="center"/>
    </xf>
    <xf numFmtId="0" fontId="81" fillId="0" borderId="215" xfId="0" applyFont="1" applyBorder="1" applyAlignment="1">
      <alignment horizontal="right" vertical="center"/>
    </xf>
    <xf numFmtId="0" fontId="81" fillId="0" borderId="109" xfId="0" applyFont="1" applyBorder="1" applyAlignment="1">
      <alignment horizontal="right" vertical="center"/>
    </xf>
    <xf numFmtId="0" fontId="81" fillId="0" borderId="44" xfId="0" applyFont="1" applyBorder="1" applyAlignment="1">
      <alignment horizontal="right" vertical="center"/>
    </xf>
    <xf numFmtId="0" fontId="81" fillId="0" borderId="16" xfId="0" applyFont="1" applyBorder="1" applyAlignment="1">
      <alignment horizontal="right" vertical="center"/>
    </xf>
    <xf numFmtId="0" fontId="81" fillId="11" borderId="199" xfId="0" applyFont="1" applyFill="1" applyBorder="1" applyAlignment="1">
      <alignment horizontal="right" vertical="center" indent="1"/>
    </xf>
    <xf numFmtId="0" fontId="81" fillId="11" borderId="45" xfId="0" applyFont="1" applyFill="1" applyBorder="1" applyAlignment="1">
      <alignment horizontal="right" vertical="center" indent="1"/>
    </xf>
    <xf numFmtId="0" fontId="81" fillId="11" borderId="216" xfId="0" applyFont="1" applyFill="1" applyBorder="1" applyAlignment="1">
      <alignment horizontal="right" vertical="center" indent="1"/>
    </xf>
    <xf numFmtId="0" fontId="81" fillId="11" borderId="81" xfId="0" applyFont="1" applyFill="1" applyBorder="1" applyAlignment="1">
      <alignment horizontal="right" vertical="center" indent="1"/>
    </xf>
    <xf numFmtId="267" fontId="84" fillId="11" borderId="45" xfId="0" applyNumberFormat="1" applyFont="1" applyFill="1" applyBorder="1">
      <alignment vertical="center"/>
    </xf>
    <xf numFmtId="267" fontId="84" fillId="11" borderId="46" xfId="0" applyNumberFormat="1" applyFont="1" applyFill="1" applyBorder="1">
      <alignment vertical="center"/>
    </xf>
    <xf numFmtId="267" fontId="84" fillId="11" borderId="199" xfId="0" applyNumberFormat="1" applyFont="1" applyFill="1" applyBorder="1">
      <alignment vertical="center"/>
    </xf>
    <xf numFmtId="267" fontId="84" fillId="11" borderId="19" xfId="0" applyNumberFormat="1" applyFont="1" applyFill="1" applyBorder="1">
      <alignment vertical="center"/>
    </xf>
    <xf numFmtId="0" fontId="81" fillId="0" borderId="8" xfId="0" applyFont="1" applyBorder="1" applyAlignment="1">
      <alignment horizontal="right" vertical="center"/>
    </xf>
    <xf numFmtId="0" fontId="81" fillId="0" borderId="36" xfId="0" applyFont="1" applyBorder="1" applyAlignment="1">
      <alignment horizontal="right" vertical="center"/>
    </xf>
    <xf numFmtId="267" fontId="84" fillId="11" borderId="216" xfId="0" applyNumberFormat="1" applyFont="1" applyFill="1" applyBorder="1">
      <alignment vertical="center"/>
    </xf>
    <xf numFmtId="267" fontId="84" fillId="11" borderId="81" xfId="0" applyNumberFormat="1" applyFont="1" applyFill="1" applyBorder="1">
      <alignment vertical="center"/>
    </xf>
    <xf numFmtId="262" fontId="83" fillId="11" borderId="46" xfId="0" applyNumberFormat="1" applyFont="1" applyFill="1" applyBorder="1">
      <alignment vertical="center"/>
    </xf>
    <xf numFmtId="262" fontId="83" fillId="11" borderId="199" xfId="0" applyNumberFormat="1" applyFont="1" applyFill="1" applyBorder="1">
      <alignment vertical="center"/>
    </xf>
    <xf numFmtId="262" fontId="83" fillId="11" borderId="19" xfId="0" applyNumberFormat="1" applyFont="1" applyFill="1" applyBorder="1">
      <alignment vertical="center"/>
    </xf>
    <xf numFmtId="262" fontId="83" fillId="11" borderId="45" xfId="0" applyNumberFormat="1" applyFont="1" applyFill="1" applyBorder="1">
      <alignment vertical="center"/>
    </xf>
    <xf numFmtId="0" fontId="85" fillId="24" borderId="203" xfId="0" applyFont="1" applyFill="1" applyBorder="1" applyAlignment="1">
      <alignment horizontal="right" vertical="center" indent="1"/>
    </xf>
    <xf numFmtId="0" fontId="85" fillId="24" borderId="206" xfId="0" applyFont="1" applyFill="1" applyBorder="1" applyAlignment="1">
      <alignment horizontal="right" vertical="center" indent="1"/>
    </xf>
    <xf numFmtId="0" fontId="85" fillId="24" borderId="204" xfId="0" applyFont="1" applyFill="1" applyBorder="1" applyAlignment="1">
      <alignment horizontal="right" vertical="center" indent="1"/>
    </xf>
    <xf numFmtId="0" fontId="85" fillId="24" borderId="2" xfId="0" applyFont="1" applyFill="1" applyBorder="1" applyAlignment="1">
      <alignment horizontal="right" vertical="center" indent="1"/>
    </xf>
    <xf numFmtId="0" fontId="85" fillId="24" borderId="219" xfId="0" applyFont="1" applyFill="1" applyBorder="1" applyAlignment="1">
      <alignment horizontal="right" vertical="center" indent="1"/>
    </xf>
    <xf numFmtId="0" fontId="83" fillId="0" borderId="182" xfId="0" applyFont="1" applyBorder="1">
      <alignment vertical="center"/>
    </xf>
    <xf numFmtId="0" fontId="83" fillId="0" borderId="182" xfId="0" applyFont="1" applyBorder="1" applyAlignment="1">
      <alignment horizontal="center" vertical="center"/>
    </xf>
    <xf numFmtId="262" fontId="82" fillId="0" borderId="11" xfId="0" applyNumberFormat="1" applyFont="1" applyBorder="1">
      <alignment vertical="center"/>
    </xf>
    <xf numFmtId="262" fontId="82" fillId="0" borderId="182" xfId="0" applyNumberFormat="1" applyFont="1" applyBorder="1">
      <alignment vertical="center"/>
    </xf>
    <xf numFmtId="262" fontId="82" fillId="0" borderId="9" xfId="0" applyNumberFormat="1" applyFont="1" applyBorder="1">
      <alignment vertical="center"/>
    </xf>
    <xf numFmtId="0" fontId="83" fillId="0" borderId="0" xfId="0" applyFont="1" applyAlignment="1">
      <alignment horizontal="center" vertical="center"/>
    </xf>
    <xf numFmtId="217" fontId="86" fillId="11" borderId="13" xfId="0" applyNumberFormat="1" applyFont="1" applyFill="1" applyBorder="1">
      <alignment vertical="center"/>
    </xf>
    <xf numFmtId="0" fontId="83" fillId="0" borderId="186" xfId="0" applyFont="1" applyBorder="1">
      <alignment vertical="center"/>
    </xf>
    <xf numFmtId="0" fontId="83" fillId="0" borderId="186" xfId="0" applyFont="1" applyBorder="1" applyAlignment="1">
      <alignment horizontal="center" vertical="center"/>
    </xf>
    <xf numFmtId="262" fontId="83" fillId="11" borderId="23" xfId="0" applyNumberFormat="1" applyFont="1" applyFill="1" applyBorder="1">
      <alignment vertical="center"/>
    </xf>
    <xf numFmtId="0" fontId="83" fillId="0" borderId="221" xfId="0" applyFont="1" applyBorder="1" applyAlignment="1">
      <alignment horizontal="right" vertical="center"/>
    </xf>
    <xf numFmtId="0" fontId="83" fillId="0" borderId="41" xfId="0" applyFont="1" applyBorder="1" applyAlignment="1">
      <alignment horizontal="right" vertical="center"/>
    </xf>
    <xf numFmtId="0" fontId="83" fillId="0" borderId="222" xfId="0" applyFont="1" applyBorder="1" applyAlignment="1">
      <alignment horizontal="right" vertical="center"/>
    </xf>
    <xf numFmtId="0" fontId="83" fillId="0" borderId="34" xfId="0" applyFont="1" applyBorder="1" applyAlignment="1">
      <alignment horizontal="right" vertical="center"/>
    </xf>
    <xf numFmtId="0" fontId="83" fillId="0" borderId="30" xfId="0" applyFont="1" applyBorder="1" applyAlignment="1">
      <alignment horizontal="right" vertical="center"/>
    </xf>
    <xf numFmtId="0" fontId="83" fillId="0" borderId="224" xfId="0" applyFont="1" applyBorder="1" applyAlignment="1">
      <alignment horizontal="right" vertical="center"/>
    </xf>
    <xf numFmtId="0" fontId="83" fillId="0" borderId="218" xfId="0" applyFont="1" applyBorder="1" applyAlignment="1">
      <alignment horizontal="right" vertical="center"/>
    </xf>
    <xf numFmtId="0" fontId="83" fillId="0" borderId="4" xfId="0" applyFont="1" applyBorder="1" applyAlignment="1">
      <alignment horizontal="right" vertical="center"/>
    </xf>
    <xf numFmtId="0" fontId="83" fillId="0" borderId="125" xfId="0" applyFont="1" applyBorder="1" applyAlignment="1">
      <alignment horizontal="right" vertical="center"/>
    </xf>
    <xf numFmtId="0" fontId="83" fillId="0" borderId="32" xfId="0" applyFont="1" applyBorder="1" applyAlignment="1">
      <alignment horizontal="right" vertical="center"/>
    </xf>
    <xf numFmtId="0" fontId="83" fillId="0" borderId="40" xfId="0" applyFont="1" applyBorder="1" applyAlignment="1">
      <alignment horizontal="right" vertical="center"/>
    </xf>
    <xf numFmtId="0" fontId="83" fillId="0" borderId="217" xfId="0" applyFont="1" applyBorder="1" applyAlignment="1">
      <alignment horizontal="right" vertical="center"/>
    </xf>
    <xf numFmtId="0" fontId="88" fillId="11" borderId="205" xfId="0" applyFont="1" applyFill="1" applyBorder="1" applyAlignment="1">
      <alignment horizontal="right" vertical="center" indent="1"/>
    </xf>
    <xf numFmtId="0" fontId="88" fillId="0" borderId="192" xfId="0" applyFont="1" applyBorder="1" applyAlignment="1">
      <alignment horizontal="right" vertical="center" indent="1"/>
    </xf>
    <xf numFmtId="0" fontId="88" fillId="11" borderId="192" xfId="0" applyFont="1" applyFill="1" applyBorder="1" applyAlignment="1">
      <alignment horizontal="right" vertical="center" indent="1"/>
    </xf>
    <xf numFmtId="0" fontId="88" fillId="0" borderId="196" xfId="0" applyFont="1" applyBorder="1" applyAlignment="1">
      <alignment horizontal="right" vertical="center" indent="1"/>
    </xf>
    <xf numFmtId="0" fontId="88" fillId="11" borderId="31" xfId="0" applyFont="1" applyFill="1" applyBorder="1" applyAlignment="1">
      <alignment horizontal="right" vertical="center" indent="1"/>
    </xf>
    <xf numFmtId="0" fontId="88" fillId="0" borderId="42" xfId="0" applyFont="1" applyBorder="1" applyAlignment="1">
      <alignment horizontal="right" vertical="center" indent="1"/>
    </xf>
    <xf numFmtId="0" fontId="88" fillId="11" borderId="42" xfId="0" applyFont="1" applyFill="1" applyBorder="1" applyAlignment="1">
      <alignment horizontal="right" vertical="center" indent="1"/>
    </xf>
    <xf numFmtId="0" fontId="88" fillId="0" borderId="28" xfId="0" applyFont="1" applyBorder="1" applyAlignment="1">
      <alignment horizontal="right" vertical="center" indent="1"/>
    </xf>
    <xf numFmtId="0" fontId="88" fillId="11" borderId="33" xfId="0" applyFont="1" applyFill="1" applyBorder="1" applyAlignment="1">
      <alignment horizontal="right" vertical="center" indent="1"/>
    </xf>
    <xf numFmtId="0" fontId="88" fillId="0" borderId="43" xfId="0" applyFont="1" applyBorder="1" applyAlignment="1">
      <alignment horizontal="right" vertical="center" indent="1"/>
    </xf>
    <xf numFmtId="0" fontId="88" fillId="11" borderId="43" xfId="0" applyFont="1" applyFill="1" applyBorder="1" applyAlignment="1">
      <alignment horizontal="right" vertical="center" indent="1"/>
    </xf>
    <xf numFmtId="0" fontId="88" fillId="0" borderId="38" xfId="0" applyFont="1" applyBorder="1" applyAlignment="1">
      <alignment horizontal="right" vertical="center" indent="1"/>
    </xf>
    <xf numFmtId="0" fontId="88" fillId="11" borderId="6" xfId="0" applyFont="1" applyFill="1" applyBorder="1" applyAlignment="1">
      <alignment horizontal="right" vertical="center" indent="1"/>
    </xf>
    <xf numFmtId="0" fontId="88" fillId="0" borderId="59" xfId="0" applyFont="1" applyBorder="1" applyAlignment="1">
      <alignment horizontal="right" vertical="center" indent="1"/>
    </xf>
    <xf numFmtId="0" fontId="88" fillId="11" borderId="59" xfId="0" applyFont="1" applyFill="1" applyBorder="1" applyAlignment="1">
      <alignment horizontal="right" vertical="center" indent="1"/>
    </xf>
    <xf numFmtId="0" fontId="88" fillId="0" borderId="37" xfId="0" applyFont="1" applyBorder="1" applyAlignment="1">
      <alignment horizontal="right" vertical="center" indent="1"/>
    </xf>
    <xf numFmtId="0" fontId="87" fillId="23" borderId="202" xfId="0" applyFont="1" applyFill="1" applyBorder="1" applyAlignment="1">
      <alignment horizontal="right" vertical="center" indent="1"/>
    </xf>
    <xf numFmtId="0" fontId="87" fillId="23" borderId="128" xfId="0" applyFont="1" applyFill="1" applyBorder="1" applyAlignment="1">
      <alignment horizontal="right" vertical="center" indent="1"/>
    </xf>
    <xf numFmtId="0" fontId="87" fillId="23" borderId="201" xfId="0" applyFont="1" applyFill="1" applyBorder="1" applyAlignment="1">
      <alignment horizontal="right" vertical="center" indent="1"/>
    </xf>
    <xf numFmtId="0" fontId="87" fillId="23" borderId="200" xfId="0" applyFont="1" applyFill="1" applyBorder="1" applyAlignment="1">
      <alignment horizontal="right" vertical="center" indent="1"/>
    </xf>
    <xf numFmtId="266" fontId="90" fillId="16" borderId="81" xfId="0" applyNumberFormat="1" applyFont="1" applyFill="1" applyBorder="1" applyAlignment="1">
      <alignment horizontal="right" vertical="top"/>
    </xf>
    <xf numFmtId="266" fontId="90" fillId="16" borderId="45" xfId="0" applyNumberFormat="1" applyFont="1" applyFill="1" applyBorder="1" applyAlignment="1">
      <alignment horizontal="right" vertical="top"/>
    </xf>
    <xf numFmtId="0" fontId="89" fillId="16" borderId="11" xfId="0" applyFont="1" applyFill="1" applyBorder="1">
      <alignment vertical="center"/>
    </xf>
    <xf numFmtId="0" fontId="89" fillId="16" borderId="20" xfId="0" applyFont="1" applyFill="1" applyBorder="1">
      <alignment vertical="center"/>
    </xf>
    <xf numFmtId="0" fontId="89" fillId="16" borderId="130" xfId="0" applyFont="1" applyFill="1" applyBorder="1">
      <alignment vertical="center"/>
    </xf>
    <xf numFmtId="0" fontId="0" fillId="16" borderId="0" xfId="0" applyFill="1">
      <alignment vertical="center"/>
    </xf>
    <xf numFmtId="0" fontId="0" fillId="16" borderId="12" xfId="0" applyFill="1" applyBorder="1">
      <alignment vertical="center"/>
    </xf>
    <xf numFmtId="0" fontId="0" fillId="16" borderId="13" xfId="0" applyFill="1" applyBorder="1">
      <alignment vertical="center"/>
    </xf>
    <xf numFmtId="266" fontId="90" fillId="16" borderId="5" xfId="0" applyNumberFormat="1" applyFont="1" applyFill="1" applyBorder="1" applyAlignment="1">
      <alignment horizontal="right" vertical="top"/>
    </xf>
    <xf numFmtId="266" fontId="90" fillId="16" borderId="199" xfId="0" applyNumberFormat="1" applyFont="1" applyFill="1" applyBorder="1" applyAlignment="1">
      <alignment horizontal="right" vertical="top"/>
    </xf>
    <xf numFmtId="266" fontId="90" fillId="16" borderId="216" xfId="0" applyNumberFormat="1" applyFont="1" applyFill="1" applyBorder="1" applyAlignment="1">
      <alignment horizontal="right" vertical="top"/>
    </xf>
    <xf numFmtId="266" fontId="90" fillId="16" borderId="19" xfId="0" applyNumberFormat="1" applyFont="1" applyFill="1" applyBorder="1" applyAlignment="1">
      <alignment horizontal="right" vertical="top"/>
    </xf>
    <xf numFmtId="0" fontId="0" fillId="0" borderId="199" xfId="0" applyBorder="1">
      <alignment vertical="center"/>
    </xf>
    <xf numFmtId="0" fontId="0" fillId="0" borderId="46" xfId="0" applyBorder="1">
      <alignment vertical="center"/>
    </xf>
    <xf numFmtId="0" fontId="0" fillId="0" borderId="45" xfId="0" applyBorder="1">
      <alignment vertical="center"/>
    </xf>
    <xf numFmtId="0" fontId="0" fillId="0" borderId="216" xfId="0" applyBorder="1">
      <alignment vertical="center"/>
    </xf>
    <xf numFmtId="0" fontId="0" fillId="0" borderId="81" xfId="0" applyBorder="1">
      <alignment vertical="center"/>
    </xf>
    <xf numFmtId="0" fontId="0" fillId="0" borderId="19" xfId="0" applyBorder="1">
      <alignment vertical="center"/>
    </xf>
    <xf numFmtId="0" fontId="91" fillId="0" borderId="34" xfId="0" applyFont="1" applyBorder="1" applyAlignment="1">
      <alignment horizontal="right" vertical="center"/>
    </xf>
    <xf numFmtId="0" fontId="91" fillId="0" borderId="14" xfId="0" applyFont="1" applyBorder="1" applyAlignment="1">
      <alignment horizontal="right" vertical="center"/>
    </xf>
    <xf numFmtId="0" fontId="91" fillId="0" borderId="221" xfId="0" applyFont="1" applyBorder="1" applyAlignment="1">
      <alignment horizontal="right" vertical="center"/>
    </xf>
    <xf numFmtId="0" fontId="91" fillId="0" borderId="41" xfId="0" applyFont="1" applyBorder="1" applyAlignment="1">
      <alignment horizontal="right" vertical="center"/>
    </xf>
    <xf numFmtId="0" fontId="91" fillId="0" borderId="222" xfId="0" applyFont="1" applyBorder="1" applyAlignment="1">
      <alignment horizontal="right" vertical="center"/>
    </xf>
    <xf numFmtId="0" fontId="91" fillId="0" borderId="30" xfId="0" applyFont="1" applyBorder="1" applyAlignment="1">
      <alignment horizontal="right" vertical="center"/>
    </xf>
    <xf numFmtId="0" fontId="91" fillId="0" borderId="224" xfId="0" applyFont="1" applyBorder="1" applyAlignment="1">
      <alignment horizontal="right" vertical="center"/>
    </xf>
    <xf numFmtId="0" fontId="91" fillId="0" borderId="32" xfId="0" applyFont="1" applyBorder="1" applyAlignment="1">
      <alignment horizontal="right" vertical="center"/>
    </xf>
    <xf numFmtId="0" fontId="91" fillId="0" borderId="24" xfId="0" applyFont="1" applyBorder="1" applyAlignment="1">
      <alignment horizontal="right" vertical="center"/>
    </xf>
    <xf numFmtId="0" fontId="91" fillId="0" borderId="218" xfId="0" applyFont="1" applyBorder="1" applyAlignment="1">
      <alignment horizontal="right" vertical="center"/>
    </xf>
    <xf numFmtId="0" fontId="91" fillId="0" borderId="4" xfId="0" applyFont="1" applyBorder="1" applyAlignment="1">
      <alignment horizontal="right" vertical="center"/>
    </xf>
    <xf numFmtId="0" fontId="91" fillId="0" borderId="125" xfId="0" applyFont="1" applyBorder="1" applyAlignment="1">
      <alignment horizontal="right" vertical="center"/>
    </xf>
    <xf numFmtId="0" fontId="91" fillId="0" borderId="40" xfId="0" applyFont="1" applyBorder="1" applyAlignment="1">
      <alignment horizontal="right" vertical="center"/>
    </xf>
    <xf numFmtId="0" fontId="91" fillId="0" borderId="217" xfId="0" applyFont="1" applyBorder="1" applyAlignment="1">
      <alignment horizontal="right" vertical="center"/>
    </xf>
    <xf numFmtId="0" fontId="89" fillId="16" borderId="231" xfId="0" applyFont="1" applyFill="1" applyBorder="1">
      <alignment vertical="center"/>
    </xf>
    <xf numFmtId="267" fontId="84" fillId="11" borderId="18" xfId="0" applyNumberFormat="1" applyFont="1" applyFill="1" applyBorder="1">
      <alignment vertical="center"/>
    </xf>
    <xf numFmtId="0" fontId="93" fillId="0" borderId="223" xfId="0" applyFont="1" applyBorder="1" applyAlignment="1">
      <alignment horizontal="right" vertical="center" indent="1"/>
    </xf>
    <xf numFmtId="0" fontId="93" fillId="0" borderId="36" xfId="0" applyFont="1" applyBorder="1" applyAlignment="1">
      <alignment horizontal="right" vertical="center" indent="1"/>
    </xf>
    <xf numFmtId="0" fontId="93" fillId="0" borderId="109" xfId="0" applyFont="1" applyBorder="1" applyAlignment="1">
      <alignment horizontal="right" vertical="center" indent="1"/>
    </xf>
    <xf numFmtId="0" fontId="93" fillId="0" borderId="8" xfId="0" applyFont="1" applyBorder="1" applyAlignment="1">
      <alignment horizontal="right" vertical="center" indent="1"/>
    </xf>
    <xf numFmtId="0" fontId="93" fillId="0" borderId="44" xfId="0" applyFont="1" applyBorder="1" applyAlignment="1">
      <alignment horizontal="right" vertical="center" indent="1"/>
    </xf>
    <xf numFmtId="0" fontId="93" fillId="0" borderId="16" xfId="0" applyFont="1" applyBorder="1" applyAlignment="1">
      <alignment horizontal="right" vertical="center" indent="1"/>
    </xf>
    <xf numFmtId="0" fontId="93" fillId="0" borderId="105" xfId="0" applyFont="1" applyBorder="1" applyAlignment="1">
      <alignment horizontal="right" vertical="center" indent="1"/>
    </xf>
    <xf numFmtId="0" fontId="93" fillId="0" borderId="215" xfId="0" applyFont="1" applyBorder="1" applyAlignment="1">
      <alignment horizontal="right" vertical="center" indent="1"/>
    </xf>
    <xf numFmtId="0" fontId="92" fillId="25" borderId="226" xfId="0" applyFont="1" applyFill="1" applyBorder="1" applyAlignment="1">
      <alignment horizontal="right" vertical="center" indent="1"/>
    </xf>
    <xf numFmtId="0" fontId="92" fillId="25" borderId="228" xfId="0" applyFont="1" applyFill="1" applyBorder="1" applyAlignment="1">
      <alignment horizontal="right" vertical="center" indent="1"/>
    </xf>
    <xf numFmtId="0" fontId="92" fillId="25" borderId="212" xfId="0" applyFont="1" applyFill="1" applyBorder="1" applyAlignment="1">
      <alignment horizontal="right" vertical="center" indent="1"/>
    </xf>
    <xf numFmtId="0" fontId="92" fillId="25" borderId="229" xfId="0" applyFont="1" applyFill="1" applyBorder="1" applyAlignment="1">
      <alignment horizontal="right" vertical="center" indent="1"/>
    </xf>
    <xf numFmtId="0" fontId="92" fillId="25" borderId="230" xfId="0" applyFont="1" applyFill="1" applyBorder="1" applyAlignment="1">
      <alignment horizontal="right" vertical="center" indent="1"/>
    </xf>
    <xf numFmtId="0" fontId="92" fillId="25" borderId="227" xfId="0" applyFont="1" applyFill="1" applyBorder="1" applyAlignment="1">
      <alignment horizontal="right" vertical="center" indent="1"/>
    </xf>
    <xf numFmtId="0" fontId="94" fillId="16" borderId="195" xfId="0" applyFont="1" applyFill="1" applyBorder="1" applyAlignment="1">
      <alignment horizontal="right"/>
    </xf>
    <xf numFmtId="0" fontId="95" fillId="16" borderId="182" xfId="0" applyFont="1" applyFill="1" applyBorder="1" applyAlignment="1">
      <alignment horizontal="right"/>
    </xf>
    <xf numFmtId="0" fontId="94" fillId="16" borderId="198" xfId="0" applyFont="1" applyFill="1" applyBorder="1" applyAlignment="1">
      <alignment horizontal="right"/>
    </xf>
    <xf numFmtId="0" fontId="94" fillId="16" borderId="143" xfId="0" applyFont="1" applyFill="1" applyBorder="1" applyAlignment="1">
      <alignment horizontal="right"/>
    </xf>
    <xf numFmtId="0" fontId="95" fillId="16" borderId="220" xfId="0" applyFont="1" applyFill="1" applyBorder="1" applyAlignment="1">
      <alignment horizontal="right"/>
    </xf>
    <xf numFmtId="0" fontId="94" fillId="16" borderId="194" xfId="0" applyFont="1" applyFill="1" applyBorder="1" applyAlignment="1">
      <alignment horizontal="right"/>
    </xf>
    <xf numFmtId="0" fontId="94" fillId="16" borderId="10" xfId="0" applyFont="1" applyFill="1" applyBorder="1" applyAlignment="1">
      <alignment horizontal="right"/>
    </xf>
    <xf numFmtId="0" fontId="97" fillId="11" borderId="59" xfId="0" applyFont="1" applyFill="1" applyBorder="1" applyAlignment="1">
      <alignment horizontal="center" vertical="center"/>
    </xf>
    <xf numFmtId="0" fontId="18" fillId="0" borderId="0" xfId="0" applyFont="1">
      <alignment vertical="center"/>
    </xf>
    <xf numFmtId="0" fontId="98" fillId="11" borderId="42" xfId="0" applyFont="1" applyFill="1" applyBorder="1">
      <alignment vertical="center"/>
    </xf>
    <xf numFmtId="0" fontId="99" fillId="0" borderId="42" xfId="0" applyFont="1" applyBorder="1" applyAlignment="1">
      <alignment horizontal="right" vertical="center" indent="1"/>
    </xf>
    <xf numFmtId="262" fontId="99" fillId="0" borderId="42" xfId="0" applyNumberFormat="1" applyFont="1" applyBorder="1">
      <alignment vertical="center"/>
    </xf>
    <xf numFmtId="0" fontId="98" fillId="0" borderId="42" xfId="0" applyFont="1" applyBorder="1" applyAlignment="1">
      <alignment horizontal="right" vertical="center" indent="1"/>
    </xf>
    <xf numFmtId="262" fontId="98" fillId="0" borderId="42" xfId="0" applyNumberFormat="1" applyFont="1" applyBorder="1">
      <alignment vertical="center"/>
    </xf>
    <xf numFmtId="0" fontId="98" fillId="11" borderId="42" xfId="0" applyFont="1" applyFill="1" applyBorder="1" applyAlignment="1">
      <alignment horizontal="right" vertical="center" indent="1"/>
    </xf>
    <xf numFmtId="268" fontId="98" fillId="11" borderId="28" xfId="0" applyNumberFormat="1" applyFont="1" applyFill="1" applyBorder="1">
      <alignment vertical="center"/>
    </xf>
    <xf numFmtId="0" fontId="97" fillId="11" borderId="192" xfId="0" applyFont="1" applyFill="1" applyBorder="1" applyAlignment="1">
      <alignment horizontal="center" vertical="center"/>
    </xf>
    <xf numFmtId="0" fontId="98" fillId="11" borderId="42" xfId="0" applyFont="1" applyFill="1" applyBorder="1" applyAlignment="1">
      <alignment horizontal="right" vertical="center"/>
    </xf>
    <xf numFmtId="270" fontId="0" fillId="0" borderId="29" xfId="0" applyNumberFormat="1" applyBorder="1">
      <alignment vertical="center"/>
    </xf>
    <xf numFmtId="0" fontId="98" fillId="11" borderId="42" xfId="0" applyFont="1" applyFill="1" applyBorder="1" applyAlignment="1">
      <alignment horizontal="center" vertical="center"/>
    </xf>
    <xf numFmtId="268" fontId="98" fillId="31" borderId="28" xfId="0" applyNumberFormat="1" applyFont="1" applyFill="1" applyBorder="1">
      <alignment vertical="center"/>
    </xf>
    <xf numFmtId="269" fontId="98" fillId="31" borderId="42" xfId="0" applyNumberFormat="1" applyFont="1" applyFill="1" applyBorder="1">
      <alignment vertical="center"/>
    </xf>
    <xf numFmtId="0" fontId="98" fillId="31" borderId="42" xfId="0" applyFont="1" applyFill="1" applyBorder="1" applyAlignment="1">
      <alignment horizontal="right" vertical="center" indent="1"/>
    </xf>
    <xf numFmtId="262" fontId="98" fillId="31" borderId="42" xfId="0" applyNumberFormat="1" applyFont="1" applyFill="1" applyBorder="1">
      <alignment vertical="center"/>
    </xf>
    <xf numFmtId="0" fontId="0" fillId="30" borderId="0" xfId="0" applyFill="1" applyAlignment="1">
      <alignment horizontal="center" vertical="center"/>
    </xf>
    <xf numFmtId="0" fontId="0" fillId="31" borderId="0" xfId="0" applyFill="1" applyAlignment="1">
      <alignment horizontal="center" vertical="center"/>
    </xf>
    <xf numFmtId="268" fontId="98" fillId="30" borderId="28" xfId="0" applyNumberFormat="1" applyFont="1" applyFill="1" applyBorder="1">
      <alignment vertical="center"/>
    </xf>
    <xf numFmtId="0" fontId="98" fillId="30" borderId="42" xfId="0" applyFont="1" applyFill="1" applyBorder="1">
      <alignment vertical="center"/>
    </xf>
    <xf numFmtId="0" fontId="98" fillId="30" borderId="42" xfId="0" applyFont="1" applyFill="1" applyBorder="1" applyAlignment="1">
      <alignment horizontal="right" vertical="center" indent="1"/>
    </xf>
    <xf numFmtId="262" fontId="98" fillId="30" borderId="42" xfId="0" applyNumberFormat="1" applyFont="1" applyFill="1" applyBorder="1">
      <alignment vertical="center"/>
    </xf>
    <xf numFmtId="268" fontId="99" fillId="11" borderId="28" xfId="0" applyNumberFormat="1" applyFont="1" applyFill="1" applyBorder="1">
      <alignment vertical="center"/>
    </xf>
    <xf numFmtId="0" fontId="99" fillId="11" borderId="42" xfId="0" applyFont="1" applyFill="1" applyBorder="1">
      <alignment vertical="center"/>
    </xf>
    <xf numFmtId="262" fontId="98" fillId="11" borderId="42" xfId="0" applyNumberFormat="1" applyFont="1" applyFill="1" applyBorder="1">
      <alignment vertical="center"/>
    </xf>
    <xf numFmtId="0" fontId="0" fillId="6" borderId="0" xfId="0" applyFill="1" applyAlignment="1">
      <alignment horizontal="center" vertical="center"/>
    </xf>
    <xf numFmtId="0" fontId="98" fillId="28" borderId="42" xfId="0" applyFont="1" applyFill="1" applyBorder="1" applyAlignment="1">
      <alignment horizontal="right" vertical="center" indent="1"/>
    </xf>
    <xf numFmtId="0" fontId="98" fillId="27" borderId="42" xfId="0" applyFont="1" applyFill="1" applyBorder="1" applyAlignment="1">
      <alignment horizontal="right" vertical="center" indent="1"/>
    </xf>
    <xf numFmtId="0" fontId="98" fillId="11" borderId="31" xfId="0" applyFont="1" applyFill="1" applyBorder="1" applyAlignment="1">
      <alignment horizontal="center" vertical="center"/>
    </xf>
    <xf numFmtId="0" fontId="98" fillId="6" borderId="42" xfId="0" applyFont="1" applyFill="1" applyBorder="1" applyAlignment="1">
      <alignment horizontal="right" vertical="center" indent="1"/>
    </xf>
    <xf numFmtId="262" fontId="98" fillId="6" borderId="42" xfId="0" applyNumberFormat="1" applyFont="1" applyFill="1" applyBorder="1">
      <alignment vertical="center"/>
    </xf>
    <xf numFmtId="0" fontId="94" fillId="16" borderId="182" xfId="0" applyFont="1" applyFill="1" applyBorder="1" applyAlignment="1">
      <alignment horizontal="right"/>
    </xf>
    <xf numFmtId="0" fontId="6" fillId="0" borderId="190" xfId="45" applyFont="1" applyBorder="1" applyAlignment="1">
      <alignment horizontal="center" vertical="center"/>
    </xf>
    <xf numFmtId="0" fontId="6" fillId="5" borderId="190" xfId="45" applyFont="1" applyFill="1" applyBorder="1" applyAlignment="1">
      <alignment horizontal="center" vertical="center"/>
    </xf>
    <xf numFmtId="185" fontId="9" fillId="0" borderId="234" xfId="45" applyNumberFormat="1" applyFont="1" applyBorder="1" applyAlignment="1">
      <alignment horizontal="center" vertical="center"/>
    </xf>
    <xf numFmtId="1" fontId="8" fillId="0" borderId="235" xfId="45" applyNumberFormat="1" applyFont="1" applyBorder="1" applyAlignment="1">
      <alignment horizontal="center" vertical="center"/>
    </xf>
    <xf numFmtId="185" fontId="9" fillId="0" borderId="236" xfId="45" applyNumberFormat="1" applyFont="1" applyBorder="1" applyAlignment="1">
      <alignment horizontal="center" vertical="center"/>
    </xf>
    <xf numFmtId="0" fontId="9" fillId="10" borderId="236" xfId="45" applyFont="1" applyFill="1" applyBorder="1" applyAlignment="1">
      <alignment horizontal="center" vertical="center"/>
    </xf>
    <xf numFmtId="0" fontId="8" fillId="10" borderId="235" xfId="45" applyFont="1" applyFill="1" applyBorder="1" applyAlignment="1">
      <alignment horizontal="center" vertical="center"/>
    </xf>
    <xf numFmtId="227" fontId="0" fillId="0" borderId="0" xfId="0" applyNumberFormat="1">
      <alignment vertical="center"/>
    </xf>
    <xf numFmtId="271" fontId="0" fillId="0" borderId="0" xfId="0" applyNumberFormat="1">
      <alignment vertical="center"/>
    </xf>
    <xf numFmtId="0" fontId="92" fillId="25" borderId="0" xfId="0" applyFont="1" applyFill="1" applyAlignment="1">
      <alignment horizontal="right" vertical="center" indent="1"/>
    </xf>
    <xf numFmtId="0" fontId="0" fillId="30" borderId="42" xfId="0" applyFill="1" applyBorder="1">
      <alignment vertical="center"/>
    </xf>
    <xf numFmtId="0" fontId="0" fillId="0" borderId="42" xfId="0" applyBorder="1">
      <alignment vertical="center"/>
    </xf>
    <xf numFmtId="0" fontId="0" fillId="31" borderId="42" xfId="0" applyFill="1" applyBorder="1">
      <alignment vertical="center"/>
    </xf>
    <xf numFmtId="0" fontId="0" fillId="10" borderId="42" xfId="0" applyFill="1" applyBorder="1">
      <alignment vertical="center"/>
    </xf>
    <xf numFmtId="0" fontId="18" fillId="0" borderId="101" xfId="0" applyFont="1" applyBorder="1">
      <alignment vertical="center"/>
    </xf>
    <xf numFmtId="0" fontId="101" fillId="0" borderId="0" xfId="0" applyFont="1">
      <alignment vertical="center"/>
    </xf>
    <xf numFmtId="235" fontId="6" fillId="0" borderId="0" xfId="45" applyNumberFormat="1" applyFont="1" applyAlignment="1">
      <alignment vertical="center"/>
    </xf>
    <xf numFmtId="266" fontId="0" fillId="0" borderId="0" xfId="0" applyNumberFormat="1">
      <alignment vertical="center"/>
    </xf>
    <xf numFmtId="0" fontId="102" fillId="0" borderId="0" xfId="0" applyFont="1">
      <alignment vertical="center"/>
    </xf>
    <xf numFmtId="262" fontId="0" fillId="0" borderId="42" xfId="0" applyNumberFormat="1" applyBorder="1" applyAlignment="1">
      <alignment horizontal="center" vertical="center"/>
    </xf>
    <xf numFmtId="0" fontId="98" fillId="11" borderId="59" xfId="0" applyFont="1" applyFill="1" applyBorder="1" applyAlignment="1">
      <alignment horizontal="center" vertical="center"/>
    </xf>
    <xf numFmtId="184" fontId="5" fillId="0" borderId="0" xfId="45" applyNumberFormat="1" applyFont="1" applyAlignment="1">
      <alignment horizontal="center" vertical="center"/>
    </xf>
    <xf numFmtId="0" fontId="5" fillId="0" borderId="0" xfId="45" applyFont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103" fillId="0" borderId="223" xfId="0" applyFont="1" applyBorder="1" applyAlignment="1">
      <alignment horizontal="right" vertical="center" indent="1"/>
    </xf>
    <xf numFmtId="0" fontId="103" fillId="0" borderId="36" xfId="0" applyFont="1" applyBorder="1" applyAlignment="1">
      <alignment horizontal="right" vertical="center" indent="1"/>
    </xf>
    <xf numFmtId="0" fontId="103" fillId="0" borderId="109" xfId="0" applyFont="1" applyBorder="1" applyAlignment="1">
      <alignment horizontal="right" vertical="center" indent="1"/>
    </xf>
    <xf numFmtId="0" fontId="103" fillId="0" borderId="8" xfId="0" applyFont="1" applyBorder="1" applyAlignment="1">
      <alignment horizontal="right" vertical="center" indent="1"/>
    </xf>
    <xf numFmtId="0" fontId="103" fillId="0" borderId="105" xfId="0" applyFont="1" applyBorder="1" applyAlignment="1">
      <alignment horizontal="right" vertical="center" indent="1"/>
    </xf>
    <xf numFmtId="0" fontId="103" fillId="0" borderId="215" xfId="0" applyFont="1" applyBorder="1" applyAlignment="1">
      <alignment horizontal="right" vertical="center" indent="1"/>
    </xf>
    <xf numFmtId="0" fontId="103" fillId="0" borderId="44" xfId="0" applyFont="1" applyBorder="1" applyAlignment="1">
      <alignment horizontal="right" vertical="center" indent="1"/>
    </xf>
    <xf numFmtId="0" fontId="103" fillId="0" borderId="0" xfId="0" applyFont="1" applyAlignment="1">
      <alignment horizontal="right" vertical="center" indent="1"/>
    </xf>
    <xf numFmtId="10" fontId="2" fillId="0" borderId="0" xfId="30" applyNumberFormat="1" applyFont="1" applyBorder="1" applyAlignment="1">
      <alignment horizontal="center" vertical="center"/>
    </xf>
    <xf numFmtId="263" fontId="8" fillId="10" borderId="0" xfId="0" applyNumberFormat="1" applyFont="1" applyFill="1" applyAlignment="1">
      <alignment horizontal="center" vertical="center"/>
    </xf>
    <xf numFmtId="226" fontId="61" fillId="0" borderId="0" xfId="0" applyNumberFormat="1" applyFont="1" applyAlignment="1">
      <alignment horizontal="center" vertical="center"/>
    </xf>
    <xf numFmtId="10" fontId="8" fillId="20" borderId="39" xfId="30" applyNumberFormat="1" applyFont="1" applyFill="1" applyBorder="1" applyAlignment="1">
      <alignment horizontal="center" vertical="center"/>
    </xf>
    <xf numFmtId="262" fontId="8" fillId="20" borderId="37" xfId="30" applyNumberFormat="1" applyFont="1" applyFill="1" applyBorder="1" applyAlignment="1">
      <alignment horizontal="center" vertical="center"/>
    </xf>
    <xf numFmtId="10" fontId="8" fillId="10" borderId="39" xfId="30" applyNumberFormat="1" applyFont="1" applyFill="1" applyBorder="1" applyAlignment="1">
      <alignment horizontal="center" vertical="center"/>
    </xf>
    <xf numFmtId="262" fontId="8" fillId="10" borderId="46" xfId="30" applyNumberFormat="1" applyFont="1" applyFill="1" applyBorder="1" applyAlignment="1">
      <alignment horizontal="center" vertical="center"/>
    </xf>
    <xf numFmtId="10" fontId="8" fillId="6" borderId="39" xfId="30" applyNumberFormat="1" applyFont="1" applyFill="1" applyBorder="1" applyAlignment="1">
      <alignment horizontal="center" vertical="center"/>
    </xf>
    <xf numFmtId="262" fontId="8" fillId="6" borderId="37" xfId="30" applyNumberFormat="1" applyFont="1" applyFill="1" applyBorder="1" applyAlignment="1">
      <alignment horizontal="center" vertical="center"/>
    </xf>
    <xf numFmtId="10" fontId="8" fillId="0" borderId="38" xfId="30" applyNumberFormat="1" applyFont="1" applyFill="1" applyBorder="1" applyAlignment="1">
      <alignment horizontal="center" vertical="center"/>
    </xf>
    <xf numFmtId="10" fontId="8" fillId="10" borderId="38" xfId="30" applyNumberFormat="1" applyFont="1" applyFill="1" applyBorder="1" applyAlignment="1">
      <alignment horizontal="center" vertical="center"/>
    </xf>
    <xf numFmtId="262" fontId="8" fillId="10" borderId="37" xfId="30" applyNumberFormat="1" applyFont="1" applyFill="1" applyBorder="1" applyAlignment="1">
      <alignment horizontal="center" vertical="center"/>
    </xf>
    <xf numFmtId="0" fontId="6" fillId="0" borderId="183" xfId="45" applyFont="1" applyBorder="1" applyAlignment="1">
      <alignment vertical="center"/>
    </xf>
    <xf numFmtId="0" fontId="6" fillId="0" borderId="184" xfId="45" applyFont="1" applyBorder="1" applyAlignment="1">
      <alignment vertical="center"/>
    </xf>
    <xf numFmtId="10" fontId="8" fillId="20" borderId="240" xfId="30" applyNumberFormat="1" applyFont="1" applyFill="1" applyBorder="1" applyAlignment="1">
      <alignment horizontal="center" vertical="center"/>
    </xf>
    <xf numFmtId="262" fontId="8" fillId="20" borderId="242" xfId="30" applyNumberFormat="1" applyFont="1" applyFill="1" applyBorder="1" applyAlignment="1">
      <alignment horizontal="center" vertical="center"/>
    </xf>
    <xf numFmtId="10" fontId="8" fillId="10" borderId="240" xfId="30" applyNumberFormat="1" applyFont="1" applyFill="1" applyBorder="1" applyAlignment="1">
      <alignment horizontal="center" vertical="center"/>
    </xf>
    <xf numFmtId="262" fontId="8" fillId="10" borderId="245" xfId="30" applyNumberFormat="1" applyFont="1" applyFill="1" applyBorder="1" applyAlignment="1">
      <alignment horizontal="center" vertical="center"/>
    </xf>
    <xf numFmtId="10" fontId="8" fillId="6" borderId="240" xfId="30" applyNumberFormat="1" applyFont="1" applyFill="1" applyBorder="1" applyAlignment="1">
      <alignment horizontal="center" vertical="center"/>
    </xf>
    <xf numFmtId="262" fontId="8" fillId="6" borderId="242" xfId="30" applyNumberFormat="1" applyFont="1" applyFill="1" applyBorder="1" applyAlignment="1">
      <alignment horizontal="center" vertical="center"/>
    </xf>
    <xf numFmtId="10" fontId="8" fillId="6" borderId="243" xfId="30" applyNumberFormat="1" applyFont="1" applyFill="1" applyBorder="1" applyAlignment="1">
      <alignment horizontal="center" vertical="center"/>
    </xf>
    <xf numFmtId="10" fontId="8" fillId="0" borderId="243" xfId="30" applyNumberFormat="1" applyFont="1" applyFill="1" applyBorder="1" applyAlignment="1">
      <alignment horizontal="center" vertical="center"/>
    </xf>
    <xf numFmtId="10" fontId="8" fillId="10" borderId="243" xfId="30" applyNumberFormat="1" applyFont="1" applyFill="1" applyBorder="1" applyAlignment="1">
      <alignment horizontal="center" vertical="center"/>
    </xf>
    <xf numFmtId="262" fontId="8" fillId="10" borderId="242" xfId="30" applyNumberFormat="1" applyFont="1" applyFill="1" applyBorder="1" applyAlignment="1">
      <alignment horizontal="center" vertical="center"/>
    </xf>
    <xf numFmtId="0" fontId="6" fillId="0" borderId="183" xfId="45" applyFont="1" applyBorder="1" applyAlignment="1">
      <alignment horizontal="center" vertical="center"/>
    </xf>
    <xf numFmtId="9" fontId="9" fillId="0" borderId="250" xfId="30" applyFont="1" applyFill="1" applyBorder="1" applyAlignment="1">
      <alignment horizontal="center" vertical="center" wrapText="1"/>
    </xf>
    <xf numFmtId="9" fontId="9" fillId="0" borderId="183" xfId="30" applyFont="1" applyFill="1" applyBorder="1" applyAlignment="1">
      <alignment horizontal="center" vertical="center" wrapText="1"/>
    </xf>
    <xf numFmtId="182" fontId="5" fillId="0" borderId="0" xfId="45" applyNumberFormat="1" applyFont="1" applyAlignment="1">
      <alignment horizontal="center" vertical="center"/>
    </xf>
    <xf numFmtId="270" fontId="0" fillId="0" borderId="0" xfId="0" applyNumberFormat="1">
      <alignment vertical="center"/>
    </xf>
    <xf numFmtId="184" fontId="6" fillId="0" borderId="93" xfId="45" applyNumberFormat="1" applyFont="1" applyBorder="1" applyAlignment="1">
      <alignment vertical="center"/>
    </xf>
    <xf numFmtId="235" fontId="6" fillId="0" borderId="93" xfId="45" applyNumberFormat="1" applyFont="1" applyBorder="1" applyAlignment="1">
      <alignment vertical="center"/>
    </xf>
    <xf numFmtId="192" fontId="36" fillId="6" borderId="59" xfId="0" applyNumberFormat="1" applyFont="1" applyFill="1" applyBorder="1" applyAlignment="1">
      <alignment horizontal="center" vertical="center"/>
    </xf>
    <xf numFmtId="206" fontId="8" fillId="6" borderId="42" xfId="0" applyNumberFormat="1" applyFont="1" applyFill="1" applyBorder="1" applyAlignment="1">
      <alignment horizontal="center" vertical="center"/>
    </xf>
    <xf numFmtId="0" fontId="65" fillId="0" borderId="0" xfId="45" applyFont="1" applyAlignment="1">
      <alignment vertical="center"/>
    </xf>
    <xf numFmtId="178" fontId="8" fillId="0" borderId="53" xfId="0" applyNumberFormat="1" applyFont="1" applyBorder="1" applyAlignment="1">
      <alignment horizontal="right" vertical="center" indent="1"/>
    </xf>
    <xf numFmtId="178" fontId="8" fillId="0" borderId="51" xfId="0" applyNumberFormat="1" applyFont="1" applyBorder="1" applyAlignment="1">
      <alignment horizontal="right" vertical="center" indent="1"/>
    </xf>
    <xf numFmtId="178" fontId="8" fillId="0" borderId="52" xfId="0" applyNumberFormat="1" applyFont="1" applyBorder="1" applyAlignment="1">
      <alignment horizontal="right" vertical="center" indent="1"/>
    </xf>
    <xf numFmtId="176" fontId="8" fillId="0" borderId="131" xfId="0" applyNumberFormat="1" applyFont="1" applyBorder="1" applyAlignment="1">
      <alignment horizontal="left" vertical="center"/>
    </xf>
    <xf numFmtId="176" fontId="8" fillId="0" borderId="15" xfId="0" applyNumberFormat="1" applyFont="1" applyBorder="1" applyAlignment="1">
      <alignment horizontal="left" vertical="center"/>
    </xf>
    <xf numFmtId="2" fontId="6" fillId="0" borderId="93" xfId="45" applyNumberFormat="1" applyFont="1" applyBorder="1" applyAlignment="1">
      <alignment vertical="center"/>
    </xf>
    <xf numFmtId="206" fontId="8" fillId="6" borderId="29" xfId="0" applyNumberFormat="1" applyFont="1" applyFill="1" applyBorder="1" applyAlignment="1">
      <alignment horizontal="right" vertical="center" indent="1"/>
    </xf>
    <xf numFmtId="206" fontId="8" fillId="0" borderId="37" xfId="0" applyNumberFormat="1" applyFont="1" applyBorder="1" applyAlignment="1">
      <alignment horizontal="right" vertical="center" indent="1"/>
    </xf>
    <xf numFmtId="178" fontId="8" fillId="0" borderId="15" xfId="0" applyNumberFormat="1" applyFont="1" applyBorder="1" applyAlignment="1">
      <alignment horizontal="left" vertical="center" indent="1"/>
    </xf>
    <xf numFmtId="206" fontId="8" fillId="0" borderId="29" xfId="0" applyNumberFormat="1" applyFont="1" applyBorder="1" applyAlignment="1">
      <alignment horizontal="right" vertical="center" indent="1"/>
    </xf>
    <xf numFmtId="189" fontId="8" fillId="6" borderId="181" xfId="0" applyNumberFormat="1" applyFont="1" applyFill="1" applyBorder="1" applyAlignment="1">
      <alignment horizontal="right" vertical="center" indent="1"/>
    </xf>
    <xf numFmtId="178" fontId="8" fillId="6" borderId="170" xfId="0" applyNumberFormat="1" applyFont="1" applyFill="1" applyBorder="1" applyAlignment="1">
      <alignment horizontal="right" vertical="center" indent="1"/>
    </xf>
    <xf numFmtId="178" fontId="8" fillId="6" borderId="15" xfId="0" applyNumberFormat="1" applyFont="1" applyFill="1" applyBorder="1" applyAlignment="1">
      <alignment horizontal="left" vertical="center" indent="1"/>
    </xf>
    <xf numFmtId="176" fontId="35" fillId="7" borderId="253" xfId="0" applyNumberFormat="1" applyFont="1" applyFill="1" applyBorder="1" applyAlignment="1">
      <alignment horizontal="center" vertical="center"/>
    </xf>
    <xf numFmtId="206" fontId="8" fillId="0" borderId="39" xfId="0" applyNumberFormat="1" applyFont="1" applyBorder="1" applyAlignment="1">
      <alignment horizontal="right" vertical="center" indent="1"/>
    </xf>
    <xf numFmtId="0" fontId="9" fillId="15" borderId="0" xfId="45" applyFont="1" applyFill="1" applyAlignment="1">
      <alignment horizontal="center" vertical="center"/>
    </xf>
    <xf numFmtId="180" fontId="39" fillId="15" borderId="0" xfId="36" applyNumberFormat="1" applyFont="1" applyFill="1" applyBorder="1" applyAlignment="1">
      <alignment horizontal="center" vertical="center"/>
    </xf>
    <xf numFmtId="180" fontId="40" fillId="15" borderId="0" xfId="45" applyNumberFormat="1" applyFont="1" applyFill="1" applyAlignment="1">
      <alignment horizontal="center" vertical="center"/>
    </xf>
    <xf numFmtId="208" fontId="39" fillId="15" borderId="0" xfId="36" applyNumberFormat="1" applyFont="1" applyFill="1" applyBorder="1" applyAlignment="1">
      <alignment horizontal="center" vertical="center"/>
    </xf>
    <xf numFmtId="0" fontId="38" fillId="15" borderId="0" xfId="0" applyFont="1" applyFill="1" applyAlignment="1">
      <alignment vertical="center" wrapText="1"/>
    </xf>
    <xf numFmtId="0" fontId="6" fillId="6" borderId="0" xfId="45" applyFont="1" applyFill="1" applyAlignment="1">
      <alignment vertical="center"/>
    </xf>
    <xf numFmtId="0" fontId="9" fillId="6" borderId="0" xfId="45" applyFont="1" applyFill="1" applyAlignment="1">
      <alignment horizontal="center" vertical="center"/>
    </xf>
    <xf numFmtId="180" fontId="39" fillId="6" borderId="0" xfId="36" applyNumberFormat="1" applyFont="1" applyFill="1" applyBorder="1" applyAlignment="1">
      <alignment horizontal="center" vertical="center"/>
    </xf>
    <xf numFmtId="180" fontId="40" fillId="6" borderId="0" xfId="45" applyNumberFormat="1" applyFont="1" applyFill="1" applyAlignment="1">
      <alignment horizontal="center" vertical="center"/>
    </xf>
    <xf numFmtId="208" fontId="39" fillId="6" borderId="0" xfId="36" applyNumberFormat="1" applyFont="1" applyFill="1" applyBorder="1" applyAlignment="1">
      <alignment horizontal="center" vertical="center"/>
    </xf>
    <xf numFmtId="0" fontId="38" fillId="6" borderId="0" xfId="0" applyFont="1" applyFill="1" applyAlignment="1">
      <alignment vertical="center" wrapText="1"/>
    </xf>
    <xf numFmtId="0" fontId="12" fillId="6" borderId="0" xfId="0" applyFont="1" applyFill="1">
      <alignment vertical="center"/>
    </xf>
    <xf numFmtId="0" fontId="8" fillId="6" borderId="0" xfId="45" applyFont="1" applyFill="1" applyAlignment="1">
      <alignment vertical="center"/>
    </xf>
    <xf numFmtId="176" fontId="8" fillId="6" borderId="78" xfId="0" applyNumberFormat="1" applyFont="1" applyFill="1" applyBorder="1">
      <alignment vertical="center"/>
    </xf>
    <xf numFmtId="207" fontId="9" fillId="6" borderId="262" xfId="0" applyNumberFormat="1" applyFont="1" applyFill="1" applyBorder="1">
      <alignment vertical="center"/>
    </xf>
    <xf numFmtId="176" fontId="36" fillId="0" borderId="101" xfId="45" applyNumberFormat="1" applyFont="1" applyBorder="1" applyAlignment="1">
      <alignment horizontal="center" vertical="center"/>
    </xf>
    <xf numFmtId="207" fontId="8" fillId="6" borderId="258" xfId="0" applyNumberFormat="1" applyFont="1" applyFill="1" applyBorder="1" applyAlignment="1">
      <alignment horizontal="right" vertical="center" indent="1"/>
    </xf>
    <xf numFmtId="207" fontId="9" fillId="6" borderId="263" xfId="0" applyNumberFormat="1" applyFont="1" applyFill="1" applyBorder="1">
      <alignment vertical="center"/>
    </xf>
    <xf numFmtId="176" fontId="8" fillId="6" borderId="266" xfId="0" applyNumberFormat="1" applyFont="1" applyFill="1" applyBorder="1" applyAlignment="1">
      <alignment horizontal="center" vertical="center"/>
    </xf>
    <xf numFmtId="213" fontId="8" fillId="0" borderId="267" xfId="45" applyNumberFormat="1" applyFont="1" applyBorder="1" applyAlignment="1">
      <alignment horizontal="center" vertical="center"/>
    </xf>
    <xf numFmtId="207" fontId="8" fillId="6" borderId="268" xfId="0" applyNumberFormat="1" applyFont="1" applyFill="1" applyBorder="1" applyAlignment="1">
      <alignment horizontal="right" vertical="center" indent="1"/>
    </xf>
    <xf numFmtId="207" fontId="9" fillId="6" borderId="269" xfId="0" applyNumberFormat="1" applyFont="1" applyFill="1" applyBorder="1" applyAlignment="1">
      <alignment horizontal="right" vertical="center" indent="1"/>
    </xf>
    <xf numFmtId="176" fontId="8" fillId="6" borderId="80" xfId="0" applyNumberFormat="1" applyFont="1" applyFill="1" applyBorder="1">
      <alignment vertical="center"/>
    </xf>
    <xf numFmtId="178" fontId="42" fillId="15" borderId="101" xfId="45" applyNumberFormat="1" applyFont="1" applyFill="1" applyBorder="1" applyAlignment="1">
      <alignment horizontal="right" vertical="center"/>
    </xf>
    <xf numFmtId="0" fontId="6" fillId="20" borderId="0" xfId="45" applyFont="1" applyFill="1" applyAlignment="1">
      <alignment vertical="center"/>
    </xf>
    <xf numFmtId="10" fontId="42" fillId="19" borderId="101" xfId="31" applyNumberFormat="1" applyFont="1" applyFill="1" applyBorder="1" applyAlignment="1">
      <alignment horizontal="center" vertical="center"/>
    </xf>
    <xf numFmtId="178" fontId="42" fillId="19" borderId="43" xfId="45" applyNumberFormat="1" applyFont="1" applyFill="1" applyBorder="1" applyAlignment="1">
      <alignment horizontal="right" vertical="center"/>
    </xf>
    <xf numFmtId="262" fontId="42" fillId="19" borderId="59" xfId="31" applyNumberFormat="1" applyFont="1" applyFill="1" applyBorder="1" applyAlignment="1">
      <alignment horizontal="center" vertical="center"/>
    </xf>
    <xf numFmtId="180" fontId="42" fillId="19" borderId="59" xfId="45" applyNumberFormat="1" applyFont="1" applyFill="1" applyBorder="1" applyAlignment="1">
      <alignment horizontal="right" vertical="center"/>
    </xf>
    <xf numFmtId="10" fontId="42" fillId="19" borderId="101" xfId="30" applyNumberFormat="1" applyFont="1" applyFill="1" applyBorder="1" applyAlignment="1">
      <alignment horizontal="center" vertical="center"/>
    </xf>
    <xf numFmtId="262" fontId="42" fillId="19" borderId="59" xfId="30" applyNumberFormat="1" applyFont="1" applyFill="1" applyBorder="1" applyAlignment="1">
      <alignment horizontal="center" vertical="center"/>
    </xf>
    <xf numFmtId="178" fontId="42" fillId="19" borderId="101" xfId="45" applyNumberFormat="1" applyFont="1" applyFill="1" applyBorder="1" applyAlignment="1">
      <alignment horizontal="right" vertical="center"/>
    </xf>
    <xf numFmtId="178" fontId="42" fillId="20" borderId="101" xfId="45" applyNumberFormat="1" applyFont="1" applyFill="1" applyBorder="1" applyAlignment="1">
      <alignment horizontal="right" vertical="center"/>
    </xf>
    <xf numFmtId="178" fontId="42" fillId="20" borderId="108" xfId="45" applyNumberFormat="1" applyFont="1" applyFill="1" applyBorder="1" applyAlignment="1">
      <alignment horizontal="right" vertical="center"/>
    </xf>
    <xf numFmtId="178" fontId="42" fillId="20" borderId="162" xfId="45" applyNumberFormat="1" applyFont="1" applyFill="1" applyBorder="1" applyAlignment="1">
      <alignment horizontal="right" vertical="center"/>
    </xf>
    <xf numFmtId="180" fontId="36" fillId="20" borderId="107" xfId="45" applyNumberFormat="1" applyFont="1" applyFill="1" applyBorder="1" applyAlignment="1">
      <alignment horizontal="right" vertical="center"/>
    </xf>
    <xf numFmtId="178" fontId="8" fillId="0" borderId="254" xfId="0" applyNumberFormat="1" applyFont="1" applyBorder="1" applyAlignment="1">
      <alignment horizontal="right" vertical="center" indent="1"/>
    </xf>
    <xf numFmtId="178" fontId="8" fillId="6" borderId="179" xfId="0" applyNumberFormat="1" applyFont="1" applyFill="1" applyBorder="1" applyAlignment="1">
      <alignment horizontal="right" vertical="center" indent="1"/>
    </xf>
    <xf numFmtId="178" fontId="8" fillId="0" borderId="54" xfId="0" applyNumberFormat="1" applyFont="1" applyBorder="1" applyAlignment="1">
      <alignment horizontal="right" vertical="center" indent="1"/>
    </xf>
    <xf numFmtId="191" fontId="35" fillId="7" borderId="169" xfId="0" applyNumberFormat="1" applyFont="1" applyFill="1" applyBorder="1" applyAlignment="1">
      <alignment horizontal="distributed" vertical="center" indent="1"/>
    </xf>
    <xf numFmtId="189" fontId="8" fillId="9" borderId="127" xfId="0" applyNumberFormat="1" applyFont="1" applyFill="1" applyBorder="1" applyAlignment="1">
      <alignment horizontal="right" vertical="center" indent="1"/>
    </xf>
    <xf numFmtId="178" fontId="9" fillId="9" borderId="170" xfId="0" applyNumberFormat="1" applyFont="1" applyFill="1" applyBorder="1" applyAlignment="1">
      <alignment horizontal="right" vertical="center" indent="1"/>
    </xf>
    <xf numFmtId="192" fontId="36" fillId="6" borderId="43" xfId="0" applyNumberFormat="1" applyFont="1" applyFill="1" applyBorder="1" applyAlignment="1">
      <alignment horizontal="center" vertical="center"/>
    </xf>
    <xf numFmtId="206" fontId="8" fillId="6" borderId="39" xfId="0" applyNumberFormat="1" applyFont="1" applyFill="1" applyBorder="1" applyAlignment="1">
      <alignment horizontal="right" vertical="center" indent="1"/>
    </xf>
    <xf numFmtId="0" fontId="8" fillId="0" borderId="114" xfId="45" applyFont="1" applyBorder="1" applyAlignment="1">
      <alignment horizontal="center" vertical="center" wrapText="1"/>
    </xf>
    <xf numFmtId="192" fontId="36" fillId="6" borderId="133" xfId="0" applyNumberFormat="1" applyFont="1" applyFill="1" applyBorder="1" applyAlignment="1">
      <alignment horizontal="center" vertical="center"/>
    </xf>
    <xf numFmtId="206" fontId="8" fillId="0" borderId="127" xfId="0" applyNumberFormat="1" applyFont="1" applyBorder="1" applyAlignment="1">
      <alignment horizontal="right" vertical="center" indent="1"/>
    </xf>
    <xf numFmtId="184" fontId="9" fillId="20" borderId="43" xfId="45" applyNumberFormat="1" applyFont="1" applyFill="1" applyBorder="1" applyAlignment="1">
      <alignment vertical="center"/>
    </xf>
    <xf numFmtId="184" fontId="9" fillId="20" borderId="101" xfId="45" applyNumberFormat="1" applyFont="1" applyFill="1" applyBorder="1" applyAlignment="1">
      <alignment vertical="center"/>
    </xf>
    <xf numFmtId="178" fontId="6" fillId="0" borderId="0" xfId="45" applyNumberFormat="1" applyFont="1" applyAlignment="1">
      <alignment vertical="center"/>
    </xf>
    <xf numFmtId="272" fontId="6" fillId="0" borderId="0" xfId="45" applyNumberFormat="1" applyFont="1" applyAlignment="1">
      <alignment vertical="center"/>
    </xf>
    <xf numFmtId="273" fontId="6" fillId="0" borderId="168" xfId="45" applyNumberFormat="1" applyFont="1" applyBorder="1" applyAlignment="1">
      <alignment vertical="center"/>
    </xf>
    <xf numFmtId="183" fontId="8" fillId="6" borderId="24" xfId="45" applyNumberFormat="1" applyFont="1" applyFill="1" applyBorder="1" applyAlignment="1">
      <alignment horizontal="right" vertical="center"/>
    </xf>
    <xf numFmtId="178" fontId="8" fillId="0" borderId="170" xfId="0" applyNumberFormat="1" applyFont="1" applyBorder="1" applyAlignment="1">
      <alignment horizontal="right" vertical="center" indent="1"/>
    </xf>
    <xf numFmtId="185" fontId="6" fillId="0" borderId="0" xfId="45" applyNumberFormat="1" applyFont="1" applyAlignment="1">
      <alignment vertical="center"/>
    </xf>
    <xf numFmtId="184" fontId="8" fillId="0" borderId="93" xfId="45" applyNumberFormat="1" applyFont="1" applyBorder="1" applyAlignment="1">
      <alignment vertical="center"/>
    </xf>
    <xf numFmtId="184" fontId="6" fillId="6" borderId="0" xfId="45" applyNumberFormat="1" applyFont="1" applyFill="1" applyAlignment="1">
      <alignment vertical="center"/>
    </xf>
    <xf numFmtId="185" fontId="8" fillId="0" borderId="0" xfId="45" applyNumberFormat="1" applyFont="1" applyAlignment="1">
      <alignment vertical="center"/>
    </xf>
    <xf numFmtId="226" fontId="0" fillId="0" borderId="0" xfId="0" applyNumberFormat="1">
      <alignment vertical="center"/>
    </xf>
    <xf numFmtId="274" fontId="0" fillId="0" borderId="0" xfId="0" applyNumberFormat="1">
      <alignment vertical="center"/>
    </xf>
    <xf numFmtId="226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6" fillId="0" borderId="93" xfId="45" applyFont="1" applyBorder="1" applyAlignment="1">
      <alignment horizontal="center" vertical="center"/>
    </xf>
    <xf numFmtId="0" fontId="4" fillId="0" borderId="5" xfId="45" applyFont="1" applyBorder="1" applyAlignment="1">
      <alignment horizontal="left" vertical="center"/>
    </xf>
    <xf numFmtId="0" fontId="4" fillId="0" borderId="87" xfId="45" applyFont="1" applyBorder="1" applyAlignment="1">
      <alignment horizontal="left" vertical="center"/>
    </xf>
    <xf numFmtId="0" fontId="10" fillId="0" borderId="92" xfId="45" applyFont="1" applyBorder="1" applyAlignment="1">
      <alignment horizontal="left" vertical="center"/>
    </xf>
    <xf numFmtId="0" fontId="10" fillId="0" borderId="5" xfId="45" applyFont="1" applyBorder="1" applyAlignment="1">
      <alignment horizontal="left" vertical="center"/>
    </xf>
    <xf numFmtId="0" fontId="10" fillId="0" borderId="87" xfId="45" applyFont="1" applyBorder="1" applyAlignment="1">
      <alignment horizontal="left" vertical="center"/>
    </xf>
    <xf numFmtId="176" fontId="9" fillId="6" borderId="6" xfId="45" applyNumberFormat="1" applyFont="1" applyFill="1" applyBorder="1" applyAlignment="1">
      <alignment horizontal="left" vertical="center" indent="1"/>
    </xf>
    <xf numFmtId="176" fontId="9" fillId="6" borderId="59" xfId="45" applyNumberFormat="1" applyFont="1" applyFill="1" applyBorder="1" applyAlignment="1">
      <alignment horizontal="left" vertical="center" indent="1"/>
    </xf>
    <xf numFmtId="176" fontId="9" fillId="6" borderId="37" xfId="45" applyNumberFormat="1" applyFont="1" applyFill="1" applyBorder="1" applyAlignment="1">
      <alignment horizontal="left" vertical="center" indent="1"/>
    </xf>
    <xf numFmtId="176" fontId="32" fillId="14" borderId="5" xfId="0" applyNumberFormat="1" applyFont="1" applyFill="1" applyBorder="1" applyAlignment="1">
      <alignment horizontal="center" vertical="center"/>
    </xf>
    <xf numFmtId="176" fontId="32" fillId="14" borderId="87" xfId="0" applyNumberFormat="1" applyFont="1" applyFill="1" applyBorder="1" applyAlignment="1">
      <alignment horizontal="center" vertical="center"/>
    </xf>
    <xf numFmtId="176" fontId="8" fillId="6" borderId="31" xfId="45" applyNumberFormat="1" applyFont="1" applyFill="1" applyBorder="1" applyAlignment="1">
      <alignment horizontal="left" vertical="center" indent="1"/>
    </xf>
    <xf numFmtId="176" fontId="8" fillId="6" borderId="42" xfId="45" applyNumberFormat="1" applyFont="1" applyFill="1" applyBorder="1" applyAlignment="1">
      <alignment horizontal="left" vertical="center" indent="1"/>
    </xf>
    <xf numFmtId="176" fontId="8" fillId="6" borderId="28" xfId="45" applyNumberFormat="1" applyFont="1" applyFill="1" applyBorder="1" applyAlignment="1">
      <alignment horizontal="left" vertical="center" indent="1"/>
    </xf>
    <xf numFmtId="176" fontId="8" fillId="6" borderId="14" xfId="0" applyNumberFormat="1" applyFont="1" applyFill="1" applyBorder="1" applyAlignment="1">
      <alignment horizontal="center" vertical="center" wrapText="1"/>
    </xf>
    <xf numFmtId="176" fontId="8" fillId="6" borderId="57" xfId="0" applyNumberFormat="1" applyFont="1" applyFill="1" applyBorder="1" applyAlignment="1">
      <alignment horizontal="center" vertical="center" wrapText="1"/>
    </xf>
    <xf numFmtId="181" fontId="33" fillId="6" borderId="67" xfId="45" applyNumberFormat="1" applyFont="1" applyFill="1" applyBorder="1" applyAlignment="1">
      <alignment horizontal="center" vertical="center"/>
    </xf>
    <xf numFmtId="181" fontId="33" fillId="6" borderId="24" xfId="45" applyNumberFormat="1" applyFont="1" applyFill="1" applyBorder="1" applyAlignment="1">
      <alignment horizontal="center" vertical="center"/>
    </xf>
    <xf numFmtId="181" fontId="33" fillId="6" borderId="32" xfId="45" applyNumberFormat="1" applyFont="1" applyFill="1" applyBorder="1" applyAlignment="1">
      <alignment horizontal="center" vertical="center"/>
    </xf>
    <xf numFmtId="176" fontId="8" fillId="6" borderId="15" xfId="0" applyNumberFormat="1" applyFont="1" applyFill="1" applyBorder="1" applyAlignment="1">
      <alignment horizontal="center" vertical="center"/>
    </xf>
    <xf numFmtId="176" fontId="8" fillId="6" borderId="96" xfId="0" applyNumberFormat="1" applyFont="1" applyFill="1" applyBorder="1" applyAlignment="1">
      <alignment horizontal="center" vertical="center"/>
    </xf>
    <xf numFmtId="176" fontId="8" fillId="6" borderId="74" xfId="0" applyNumberFormat="1" applyFont="1" applyFill="1" applyBorder="1" applyAlignment="1">
      <alignment horizontal="center" vertical="center"/>
    </xf>
    <xf numFmtId="176" fontId="8" fillId="6" borderId="97" xfId="0" applyNumberFormat="1" applyFont="1" applyFill="1" applyBorder="1" applyAlignment="1">
      <alignment horizontal="center" vertical="center"/>
    </xf>
    <xf numFmtId="176" fontId="8" fillId="6" borderId="55" xfId="0" applyNumberFormat="1" applyFont="1" applyFill="1" applyBorder="1" applyAlignment="1">
      <alignment horizontal="center" vertical="center"/>
    </xf>
    <xf numFmtId="214" fontId="8" fillId="6" borderId="15" xfId="0" applyNumberFormat="1" applyFont="1" applyFill="1" applyBorder="1" applyAlignment="1">
      <alignment horizontal="center" vertical="center"/>
    </xf>
    <xf numFmtId="176" fontId="8" fillId="6" borderId="33" xfId="45" applyNumberFormat="1" applyFont="1" applyFill="1" applyBorder="1" applyAlignment="1">
      <alignment horizontal="left" vertical="center" indent="1"/>
    </xf>
    <xf numFmtId="176" fontId="8" fillId="6" borderId="43" xfId="45" applyNumberFormat="1" applyFont="1" applyFill="1" applyBorder="1" applyAlignment="1">
      <alignment horizontal="left" vertical="center" indent="1"/>
    </xf>
    <xf numFmtId="176" fontId="8" fillId="6" borderId="38" xfId="45" applyNumberFormat="1" applyFont="1" applyFill="1" applyBorder="1" applyAlignment="1">
      <alignment horizontal="left" vertical="center" indent="1"/>
    </xf>
    <xf numFmtId="180" fontId="42" fillId="10" borderId="41" xfId="45" applyNumberFormat="1" applyFont="1" applyFill="1" applyBorder="1" applyAlignment="1">
      <alignment horizontal="center" vertical="center"/>
    </xf>
    <xf numFmtId="176" fontId="41" fillId="11" borderId="31" xfId="45" applyNumberFormat="1" applyFont="1" applyFill="1" applyBorder="1" applyAlignment="1">
      <alignment horizontal="center" vertical="center"/>
    </xf>
    <xf numFmtId="2" fontId="36" fillId="6" borderId="105" xfId="0" applyNumberFormat="1" applyFont="1" applyFill="1" applyBorder="1" applyAlignment="1">
      <alignment horizontal="center" vertical="center" wrapText="1"/>
    </xf>
    <xf numFmtId="2" fontId="36" fillId="6" borderId="101" xfId="0" applyNumberFormat="1" applyFont="1" applyFill="1" applyBorder="1" applyAlignment="1">
      <alignment horizontal="center" vertical="center"/>
    </xf>
    <xf numFmtId="2" fontId="36" fillId="6" borderId="59" xfId="0" applyNumberFormat="1" applyFont="1" applyFill="1" applyBorder="1" applyAlignment="1">
      <alignment horizontal="center" vertical="center"/>
    </xf>
    <xf numFmtId="184" fontId="41" fillId="6" borderId="44" xfId="0" applyNumberFormat="1" applyFont="1" applyFill="1" applyBorder="1" applyAlignment="1">
      <alignment horizontal="center" vertical="center" wrapText="1"/>
    </xf>
    <xf numFmtId="184" fontId="41" fillId="6" borderId="39" xfId="0" applyNumberFormat="1" applyFont="1" applyFill="1" applyBorder="1" applyAlignment="1">
      <alignment horizontal="center" vertical="center" wrapText="1"/>
    </xf>
    <xf numFmtId="184" fontId="41" fillId="6" borderId="46" xfId="0" applyNumberFormat="1" applyFont="1" applyFill="1" applyBorder="1" applyAlignment="1">
      <alignment horizontal="center" vertical="center" wrapText="1"/>
    </xf>
    <xf numFmtId="176" fontId="8" fillId="6" borderId="77" xfId="0" applyNumberFormat="1" applyFont="1" applyFill="1" applyBorder="1" applyAlignment="1">
      <alignment horizontal="center" vertical="center"/>
    </xf>
    <xf numFmtId="176" fontId="8" fillId="6" borderId="78" xfId="0" applyNumberFormat="1" applyFont="1" applyFill="1" applyBorder="1" applyAlignment="1">
      <alignment horizontal="center" vertical="center"/>
    </xf>
    <xf numFmtId="176" fontId="8" fillId="6" borderId="80" xfId="0" applyNumberFormat="1" applyFont="1" applyFill="1" applyBorder="1" applyAlignment="1">
      <alignment horizontal="center" vertical="center"/>
    </xf>
    <xf numFmtId="182" fontId="35" fillId="8" borderId="62" xfId="45" applyNumberFormat="1" applyFont="1" applyFill="1" applyBorder="1" applyAlignment="1">
      <alignment horizontal="center" vertical="center"/>
    </xf>
    <xf numFmtId="182" fontId="35" fillId="8" borderId="63" xfId="45" applyNumberFormat="1" applyFont="1" applyFill="1" applyBorder="1" applyAlignment="1">
      <alignment horizontal="center" vertical="center"/>
    </xf>
    <xf numFmtId="176" fontId="35" fillId="12" borderId="75" xfId="0" applyNumberFormat="1" applyFont="1" applyFill="1" applyBorder="1" applyAlignment="1">
      <alignment horizontal="center" vertical="center" wrapText="1"/>
    </xf>
    <xf numFmtId="176" fontId="35" fillId="12" borderId="91" xfId="0" applyNumberFormat="1" applyFont="1" applyFill="1" applyBorder="1" applyAlignment="1">
      <alignment horizontal="center" vertical="center" wrapText="1"/>
    </xf>
    <xf numFmtId="176" fontId="35" fillId="8" borderId="75" xfId="45" applyNumberFormat="1" applyFont="1" applyFill="1" applyBorder="1" applyAlignment="1">
      <alignment horizontal="center" vertical="center"/>
    </xf>
    <xf numFmtId="176" fontId="35" fillId="8" borderId="76" xfId="45" applyNumberFormat="1" applyFont="1" applyFill="1" applyBorder="1" applyAlignment="1">
      <alignment horizontal="center" vertical="center"/>
    </xf>
    <xf numFmtId="176" fontId="35" fillId="8" borderId="62" xfId="45" applyNumberFormat="1" applyFont="1" applyFill="1" applyBorder="1" applyAlignment="1">
      <alignment horizontal="center" vertical="center"/>
    </xf>
    <xf numFmtId="0" fontId="41" fillId="11" borderId="34" xfId="45" applyFont="1" applyFill="1" applyBorder="1" applyAlignment="1">
      <alignment horizontal="center" vertical="center"/>
    </xf>
    <xf numFmtId="0" fontId="41" fillId="11" borderId="41" xfId="45" applyFont="1" applyFill="1" applyBorder="1" applyAlignment="1">
      <alignment horizontal="center" vertical="center"/>
    </xf>
    <xf numFmtId="10" fontId="8" fillId="6" borderId="38" xfId="45" applyNumberFormat="1" applyFont="1" applyFill="1" applyBorder="1" applyAlignment="1">
      <alignment horizontal="center" vertical="center"/>
    </xf>
    <xf numFmtId="10" fontId="8" fillId="6" borderId="39" xfId="45" applyNumberFormat="1" applyFont="1" applyFill="1" applyBorder="1" applyAlignment="1">
      <alignment horizontal="center" vertical="center"/>
    </xf>
    <xf numFmtId="10" fontId="8" fillId="6" borderId="37" xfId="45" applyNumberFormat="1" applyFont="1" applyFill="1" applyBorder="1" applyAlignment="1">
      <alignment horizontal="center" vertical="center"/>
    </xf>
    <xf numFmtId="0" fontId="11" fillId="0" borderId="0" xfId="45" applyFont="1" applyAlignment="1">
      <alignment horizontal="left"/>
    </xf>
    <xf numFmtId="176" fontId="58" fillId="6" borderId="130" xfId="0" applyNumberFormat="1" applyFont="1" applyFill="1" applyBorder="1" applyAlignment="1">
      <alignment horizontal="center" vertical="center"/>
    </xf>
    <xf numFmtId="176" fontId="58" fillId="6" borderId="14" xfId="0" applyNumberFormat="1" applyFont="1" applyFill="1" applyBorder="1" applyAlignment="1">
      <alignment horizontal="center" vertical="center"/>
    </xf>
    <xf numFmtId="191" fontId="8" fillId="9" borderId="67" xfId="0" applyNumberFormat="1" applyFont="1" applyFill="1" applyBorder="1" applyAlignment="1">
      <alignment horizontal="center" vertical="center"/>
    </xf>
    <xf numFmtId="191" fontId="8" fillId="9" borderId="32" xfId="0" applyNumberFormat="1" applyFont="1" applyFill="1" applyBorder="1" applyAlignment="1">
      <alignment horizontal="center" vertical="center"/>
    </xf>
    <xf numFmtId="176" fontId="32" fillId="9" borderId="74" xfId="0" applyNumberFormat="1" applyFont="1" applyFill="1" applyBorder="1" applyAlignment="1">
      <alignment horizontal="center" vertical="center"/>
    </xf>
    <xf numFmtId="176" fontId="32" fillId="9" borderId="97" xfId="0" applyNumberFormat="1" applyFont="1" applyFill="1" applyBorder="1" applyAlignment="1">
      <alignment horizontal="center" vertical="center"/>
    </xf>
    <xf numFmtId="49" fontId="41" fillId="15" borderId="121" xfId="45" applyNumberFormat="1" applyFont="1" applyFill="1" applyBorder="1" applyAlignment="1">
      <alignment horizontal="center" vertical="center"/>
    </xf>
    <xf numFmtId="49" fontId="41" fillId="15" borderId="122" xfId="45" applyNumberFormat="1" applyFont="1" applyFill="1" applyBorder="1" applyAlignment="1">
      <alignment horizontal="center" vertical="center"/>
    </xf>
    <xf numFmtId="49" fontId="41" fillId="0" borderId="118" xfId="45" applyNumberFormat="1" applyFont="1" applyBorder="1" applyAlignment="1">
      <alignment horizontal="center" vertical="center"/>
    </xf>
    <xf numFmtId="49" fontId="41" fillId="0" borderId="121" xfId="45" applyNumberFormat="1" applyFont="1" applyBorder="1" applyAlignment="1">
      <alignment horizontal="center" vertical="center"/>
    </xf>
    <xf numFmtId="49" fontId="41" fillId="0" borderId="93" xfId="45" applyNumberFormat="1" applyFont="1" applyBorder="1" applyAlignment="1">
      <alignment horizontal="center" vertical="center"/>
    </xf>
    <xf numFmtId="49" fontId="41" fillId="0" borderId="98" xfId="45" applyNumberFormat="1" applyFont="1" applyBorder="1" applyAlignment="1">
      <alignment horizontal="center" vertical="center"/>
    </xf>
    <xf numFmtId="49" fontId="41" fillId="0" borderId="73" xfId="45" applyNumberFormat="1" applyFont="1" applyBorder="1" applyAlignment="1">
      <alignment horizontal="center" vertical="center"/>
    </xf>
    <xf numFmtId="242" fontId="8" fillId="0" borderId="109" xfId="45" applyNumberFormat="1" applyFont="1" applyBorder="1" applyAlignment="1">
      <alignment horizontal="center" vertical="center"/>
    </xf>
    <xf numFmtId="242" fontId="8" fillId="0" borderId="81" xfId="45" applyNumberFormat="1" applyFont="1" applyBorder="1" applyAlignment="1">
      <alignment horizontal="center" vertical="center"/>
    </xf>
    <xf numFmtId="184" fontId="5" fillId="0" borderId="0" xfId="45" applyNumberFormat="1" applyFont="1" applyAlignment="1">
      <alignment horizontal="center" vertical="center"/>
    </xf>
    <xf numFmtId="0" fontId="5" fillId="0" borderId="0" xfId="45" applyFont="1" applyAlignment="1">
      <alignment horizontal="center" vertical="center"/>
    </xf>
    <xf numFmtId="176" fontId="58" fillId="6" borderId="30" xfId="0" applyNumberFormat="1" applyFont="1" applyFill="1" applyBorder="1" applyAlignment="1">
      <alignment horizontal="center" vertical="center"/>
    </xf>
    <xf numFmtId="227" fontId="58" fillId="6" borderId="132" xfId="45" applyNumberFormat="1" applyFont="1" applyFill="1" applyBorder="1" applyAlignment="1">
      <alignment horizontal="center" vertical="center"/>
    </xf>
    <xf numFmtId="227" fontId="58" fillId="6" borderId="15" xfId="45" applyNumberFormat="1" applyFont="1" applyFill="1" applyBorder="1" applyAlignment="1">
      <alignment horizontal="center" vertical="center"/>
    </xf>
    <xf numFmtId="176" fontId="58" fillId="6" borderId="28" xfId="0" applyNumberFormat="1" applyFont="1" applyFill="1" applyBorder="1" applyAlignment="1">
      <alignment horizontal="center" vertical="center"/>
    </xf>
    <xf numFmtId="176" fontId="58" fillId="6" borderId="15" xfId="0" applyNumberFormat="1" applyFont="1" applyFill="1" applyBorder="1" applyAlignment="1">
      <alignment horizontal="center" vertical="center"/>
    </xf>
    <xf numFmtId="0" fontId="8" fillId="11" borderId="114" xfId="45" applyFont="1" applyFill="1" applyBorder="1" applyAlignment="1">
      <alignment horizontal="center" vertical="center"/>
    </xf>
    <xf numFmtId="0" fontId="8" fillId="11" borderId="133" xfId="45" applyFont="1" applyFill="1" applyBorder="1" applyAlignment="1">
      <alignment horizontal="center" vertical="center"/>
    </xf>
    <xf numFmtId="221" fontId="9" fillId="6" borderId="90" xfId="0" applyNumberFormat="1" applyFont="1" applyFill="1" applyBorder="1" applyAlignment="1">
      <alignment horizontal="center" vertical="center"/>
    </xf>
    <xf numFmtId="221" fontId="9" fillId="6" borderId="69" xfId="0" applyNumberFormat="1" applyFont="1" applyFill="1" applyBorder="1" applyAlignment="1">
      <alignment horizontal="center" vertical="center"/>
    </xf>
    <xf numFmtId="183" fontId="8" fillId="11" borderId="90" xfId="0" applyNumberFormat="1" applyFont="1" applyFill="1" applyBorder="1" applyAlignment="1">
      <alignment horizontal="center" vertical="center"/>
    </xf>
    <xf numFmtId="183" fontId="8" fillId="11" borderId="69" xfId="0" applyNumberFormat="1" applyFont="1" applyFill="1" applyBorder="1" applyAlignment="1">
      <alignment horizontal="center" vertical="center"/>
    </xf>
    <xf numFmtId="176" fontId="35" fillId="12" borderId="77" xfId="0" applyNumberFormat="1" applyFont="1" applyFill="1" applyBorder="1" applyAlignment="1">
      <alignment horizontal="center" vertical="center" wrapText="1"/>
    </xf>
    <xf numFmtId="176" fontId="35" fillId="12" borderId="78" xfId="0" applyNumberFormat="1" applyFont="1" applyFill="1" applyBorder="1" applyAlignment="1">
      <alignment horizontal="center" vertical="center" wrapText="1"/>
    </xf>
    <xf numFmtId="176" fontId="35" fillId="12" borderId="80" xfId="0" applyNumberFormat="1" applyFont="1" applyFill="1" applyBorder="1" applyAlignment="1">
      <alignment horizontal="center" vertical="center" wrapText="1"/>
    </xf>
    <xf numFmtId="176" fontId="8" fillId="15" borderId="35" xfId="0" applyNumberFormat="1" applyFont="1" applyFill="1" applyBorder="1" applyAlignment="1">
      <alignment horizontal="center" vertical="center" wrapText="1"/>
    </xf>
    <xf numFmtId="176" fontId="8" fillId="15" borderId="69" xfId="0" applyNumberFormat="1" applyFont="1" applyFill="1" applyBorder="1" applyAlignment="1">
      <alignment horizontal="center" vertical="center" wrapText="1"/>
    </xf>
    <xf numFmtId="217" fontId="5" fillId="11" borderId="17" xfId="0" applyNumberFormat="1" applyFont="1" applyFill="1" applyBorder="1" applyAlignment="1">
      <alignment horizontal="center" wrapText="1"/>
    </xf>
    <xf numFmtId="217" fontId="5" fillId="11" borderId="73" xfId="0" applyNumberFormat="1" applyFont="1" applyFill="1" applyBorder="1" applyAlignment="1">
      <alignment horizontal="center" wrapText="1"/>
    </xf>
    <xf numFmtId="217" fontId="5" fillId="11" borderId="13" xfId="0" applyNumberFormat="1" applyFont="1" applyFill="1" applyBorder="1" applyAlignment="1">
      <alignment horizontal="center" wrapText="1"/>
    </xf>
    <xf numFmtId="217" fontId="5" fillId="11" borderId="93" xfId="0" applyNumberFormat="1" applyFont="1" applyFill="1" applyBorder="1" applyAlignment="1">
      <alignment horizontal="center" wrapText="1"/>
    </xf>
    <xf numFmtId="224" fontId="9" fillId="11" borderId="13" xfId="0" applyNumberFormat="1" applyFont="1" applyFill="1" applyBorder="1" applyAlignment="1">
      <alignment horizontal="right" vertical="top" wrapText="1"/>
    </xf>
    <xf numFmtId="224" fontId="9" fillId="11" borderId="20" xfId="0" applyNumberFormat="1" applyFont="1" applyFill="1" applyBorder="1" applyAlignment="1">
      <alignment horizontal="right" vertical="top" wrapText="1"/>
    </xf>
    <xf numFmtId="225" fontId="9" fillId="11" borderId="93" xfId="0" applyNumberFormat="1" applyFont="1" applyFill="1" applyBorder="1" applyAlignment="1">
      <alignment horizontal="left" vertical="top" wrapText="1"/>
    </xf>
    <xf numFmtId="225" fontId="9" fillId="11" borderId="87" xfId="0" applyNumberFormat="1" applyFont="1" applyFill="1" applyBorder="1" applyAlignment="1">
      <alignment horizontal="left" vertical="top" wrapText="1"/>
    </xf>
    <xf numFmtId="184" fontId="9" fillId="17" borderId="101" xfId="45" applyNumberFormat="1" applyFont="1" applyFill="1" applyBorder="1" applyAlignment="1">
      <alignment horizontal="center" vertical="center"/>
    </xf>
    <xf numFmtId="184" fontId="9" fillId="17" borderId="151" xfId="45" applyNumberFormat="1" applyFont="1" applyFill="1" applyBorder="1" applyAlignment="1">
      <alignment horizontal="center" vertical="center"/>
    </xf>
    <xf numFmtId="10" fontId="8" fillId="17" borderId="101" xfId="30" applyNumberFormat="1" applyFont="1" applyFill="1" applyBorder="1" applyAlignment="1">
      <alignment horizontal="center" vertical="center"/>
    </xf>
    <xf numFmtId="10" fontId="8" fillId="17" borderId="151" xfId="30" applyNumberFormat="1" applyFont="1" applyFill="1" applyBorder="1" applyAlignment="1">
      <alignment horizontal="center" vertical="center"/>
    </xf>
    <xf numFmtId="184" fontId="9" fillId="0" borderId="105" xfId="45" applyNumberFormat="1" applyFont="1" applyBorder="1" applyAlignment="1">
      <alignment horizontal="center" vertical="center"/>
    </xf>
    <xf numFmtId="184" fontId="9" fillId="0" borderId="59" xfId="45" applyNumberFormat="1" applyFont="1" applyBorder="1" applyAlignment="1">
      <alignment horizontal="center" vertical="center"/>
    </xf>
    <xf numFmtId="10" fontId="8" fillId="0" borderId="105" xfId="30" applyNumberFormat="1" applyFont="1" applyFill="1" applyBorder="1" applyAlignment="1">
      <alignment horizontal="center" vertical="center"/>
    </xf>
    <xf numFmtId="10" fontId="8" fillId="0" borderId="59" xfId="30" applyNumberFormat="1" applyFont="1" applyFill="1" applyBorder="1" applyAlignment="1">
      <alignment horizontal="center" vertical="center"/>
    </xf>
    <xf numFmtId="184" fontId="9" fillId="0" borderId="101" xfId="45" applyNumberFormat="1" applyFont="1" applyBorder="1" applyAlignment="1">
      <alignment horizontal="center" vertical="center"/>
    </xf>
    <xf numFmtId="10" fontId="8" fillId="0" borderId="101" xfId="30" applyNumberFormat="1" applyFont="1" applyFill="1" applyBorder="1" applyAlignment="1">
      <alignment horizontal="center" vertical="center"/>
    </xf>
    <xf numFmtId="184" fontId="9" fillId="16" borderId="143" xfId="45" applyNumberFormat="1" applyFont="1" applyFill="1" applyBorder="1" applyAlignment="1">
      <alignment horizontal="center" vertical="center"/>
    </xf>
    <xf numFmtId="184" fontId="9" fillId="16" borderId="151" xfId="45" applyNumberFormat="1" applyFont="1" applyFill="1" applyBorder="1" applyAlignment="1">
      <alignment horizontal="center" vertical="center"/>
    </xf>
    <xf numFmtId="10" fontId="8" fillId="16" borderId="143" xfId="30" applyNumberFormat="1" applyFont="1" applyFill="1" applyBorder="1" applyAlignment="1">
      <alignment horizontal="center" vertical="center"/>
    </xf>
    <xf numFmtId="10" fontId="8" fillId="16" borderId="151" xfId="30" applyNumberFormat="1" applyFont="1" applyFill="1" applyBorder="1" applyAlignment="1">
      <alignment horizontal="center" vertical="center"/>
    </xf>
    <xf numFmtId="184" fontId="9" fillId="16" borderId="59" xfId="45" applyNumberFormat="1" applyFont="1" applyFill="1" applyBorder="1" applyAlignment="1">
      <alignment horizontal="center" vertical="center"/>
    </xf>
    <xf numFmtId="10" fontId="8" fillId="16" borderId="59" xfId="30" applyNumberFormat="1" applyFont="1" applyFill="1" applyBorder="1" applyAlignment="1">
      <alignment horizontal="center" vertical="center"/>
    </xf>
    <xf numFmtId="184" fontId="33" fillId="15" borderId="101" xfId="45" applyNumberFormat="1" applyFont="1" applyFill="1" applyBorder="1" applyAlignment="1">
      <alignment horizontal="center" vertical="center"/>
    </xf>
    <xf numFmtId="10" fontId="8" fillId="15" borderId="101" xfId="30" applyNumberFormat="1" applyFont="1" applyFill="1" applyBorder="1" applyAlignment="1">
      <alignment horizontal="center" vertical="center"/>
    </xf>
    <xf numFmtId="229" fontId="34" fillId="6" borderId="67" xfId="45" applyNumberFormat="1" applyFont="1" applyFill="1" applyBorder="1" applyAlignment="1">
      <alignment horizontal="right" vertical="center" indent="4"/>
    </xf>
    <xf numFmtId="229" fontId="34" fillId="6" borderId="24" xfId="45" applyNumberFormat="1" applyFont="1" applyFill="1" applyBorder="1" applyAlignment="1">
      <alignment horizontal="right" vertical="center" indent="4"/>
    </xf>
    <xf numFmtId="176" fontId="4" fillId="0" borderId="5" xfId="45" applyNumberFormat="1" applyFont="1" applyBorder="1" applyAlignment="1">
      <alignment horizontal="left"/>
    </xf>
    <xf numFmtId="176" fontId="4" fillId="0" borderId="87" xfId="45" applyNumberFormat="1" applyFont="1" applyBorder="1" applyAlignment="1">
      <alignment horizontal="left"/>
    </xf>
    <xf numFmtId="0" fontId="41" fillId="11" borderId="31" xfId="45" applyFont="1" applyFill="1" applyBorder="1" applyAlignment="1">
      <alignment horizontal="center" vertical="center"/>
    </xf>
    <xf numFmtId="0" fontId="41" fillId="11" borderId="32" xfId="45" applyFont="1" applyFill="1" applyBorder="1" applyAlignment="1">
      <alignment horizontal="center" vertical="center"/>
    </xf>
    <xf numFmtId="10" fontId="8" fillId="6" borderId="46" xfId="45" applyNumberFormat="1" applyFont="1" applyFill="1" applyBorder="1" applyAlignment="1">
      <alignment horizontal="center" vertical="center"/>
    </xf>
    <xf numFmtId="182" fontId="35" fillId="8" borderId="64" xfId="45" applyNumberFormat="1" applyFont="1" applyFill="1" applyBorder="1" applyAlignment="1">
      <alignment horizontal="center" vertical="center"/>
    </xf>
    <xf numFmtId="182" fontId="35" fillId="8" borderId="70" xfId="45" applyNumberFormat="1" applyFont="1" applyFill="1" applyBorder="1" applyAlignment="1">
      <alignment horizontal="center" vertical="center"/>
    </xf>
    <xf numFmtId="182" fontId="35" fillId="8" borderId="72" xfId="45" applyNumberFormat="1" applyFont="1" applyFill="1" applyBorder="1" applyAlignment="1">
      <alignment horizontal="center" vertical="center"/>
    </xf>
    <xf numFmtId="176" fontId="35" fillId="13" borderId="75" xfId="0" applyNumberFormat="1" applyFont="1" applyFill="1" applyBorder="1" applyAlignment="1">
      <alignment horizontal="center" vertical="center"/>
    </xf>
    <xf numFmtId="176" fontId="35" fillId="13" borderId="76" xfId="0" applyNumberFormat="1" applyFont="1" applyFill="1" applyBorder="1" applyAlignment="1">
      <alignment horizontal="center" vertical="center"/>
    </xf>
    <xf numFmtId="176" fontId="35" fillId="13" borderId="91" xfId="0" applyNumberFormat="1" applyFont="1" applyFill="1" applyBorder="1" applyAlignment="1">
      <alignment horizontal="center" vertical="center"/>
    </xf>
    <xf numFmtId="0" fontId="6" fillId="0" borderId="114" xfId="45" applyFont="1" applyBorder="1" applyAlignment="1">
      <alignment horizontal="center" vertical="center"/>
    </xf>
    <xf numFmtId="0" fontId="6" fillId="0" borderId="3" xfId="45" applyFont="1" applyBorder="1" applyAlignment="1">
      <alignment horizontal="center" vertical="center"/>
    </xf>
    <xf numFmtId="0" fontId="6" fillId="0" borderId="69" xfId="45" applyFont="1" applyBorder="1" applyAlignment="1">
      <alignment horizontal="center" vertical="center"/>
    </xf>
    <xf numFmtId="207" fontId="9" fillId="6" borderId="8" xfId="0" applyNumberFormat="1" applyFont="1" applyFill="1" applyBorder="1" applyAlignment="1">
      <alignment horizontal="center" vertical="center"/>
    </xf>
    <xf numFmtId="207" fontId="9" fillId="6" borderId="12" xfId="0" applyNumberFormat="1" applyFont="1" applyFill="1" applyBorder="1" applyAlignment="1">
      <alignment horizontal="center" vertical="center"/>
    </xf>
    <xf numFmtId="207" fontId="9" fillId="6" borderId="18" xfId="0" applyNumberFormat="1" applyFont="1" applyFill="1" applyBorder="1" applyAlignment="1">
      <alignment horizontal="center" vertical="center"/>
    </xf>
    <xf numFmtId="210" fontId="9" fillId="6" borderId="17" xfId="0" applyNumberFormat="1" applyFont="1" applyFill="1" applyBorder="1" applyAlignment="1">
      <alignment horizontal="center" vertical="center"/>
    </xf>
    <xf numFmtId="210" fontId="9" fillId="6" borderId="73" xfId="0" applyNumberFormat="1" applyFont="1" applyFill="1" applyBorder="1" applyAlignment="1">
      <alignment horizontal="center" vertical="center"/>
    </xf>
    <xf numFmtId="210" fontId="9" fillId="6" borderId="13" xfId="0" applyNumberFormat="1" applyFont="1" applyFill="1" applyBorder="1" applyAlignment="1">
      <alignment horizontal="center" vertical="center"/>
    </xf>
    <xf numFmtId="210" fontId="9" fillId="6" borderId="93" xfId="0" applyNumberFormat="1" applyFont="1" applyFill="1" applyBorder="1" applyAlignment="1">
      <alignment horizontal="center" vertical="center"/>
    </xf>
    <xf numFmtId="210" fontId="9" fillId="6" borderId="20" xfId="0" applyNumberFormat="1" applyFont="1" applyFill="1" applyBorder="1" applyAlignment="1">
      <alignment horizontal="center" vertical="center"/>
    </xf>
    <xf numFmtId="210" fontId="9" fillId="6" borderId="87" xfId="0" applyNumberFormat="1" applyFont="1" applyFill="1" applyBorder="1" applyAlignment="1">
      <alignment horizontal="center" vertical="center"/>
    </xf>
    <xf numFmtId="40" fontId="8" fillId="0" borderId="139" xfId="0" applyNumberFormat="1" applyFont="1" applyBorder="1" applyAlignment="1">
      <alignment horizontal="left" vertical="center" indent="1"/>
    </xf>
    <xf numFmtId="40" fontId="8" fillId="0" borderId="72" xfId="0" applyNumberFormat="1" applyFont="1" applyBorder="1" applyAlignment="1">
      <alignment horizontal="left" vertical="center" indent="1"/>
    </xf>
    <xf numFmtId="176" fontId="35" fillId="12" borderId="135" xfId="0" applyNumberFormat="1" applyFont="1" applyFill="1" applyBorder="1" applyAlignment="1">
      <alignment horizontal="center" vertical="center" wrapText="1"/>
    </xf>
    <xf numFmtId="176" fontId="35" fillId="12" borderId="137" xfId="0" applyNumberFormat="1" applyFont="1" applyFill="1" applyBorder="1" applyAlignment="1">
      <alignment horizontal="center" vertical="center" wrapText="1"/>
    </xf>
    <xf numFmtId="176" fontId="35" fillId="12" borderId="154" xfId="0" applyNumberFormat="1" applyFont="1" applyFill="1" applyBorder="1" applyAlignment="1">
      <alignment horizontal="center" vertical="center" wrapText="1"/>
    </xf>
    <xf numFmtId="176" fontId="35" fillId="12" borderId="136" xfId="0" applyNumberFormat="1" applyFont="1" applyFill="1" applyBorder="1" applyAlignment="1">
      <alignment horizontal="center" vertical="center" wrapText="1"/>
    </xf>
    <xf numFmtId="176" fontId="5" fillId="2" borderId="8" xfId="45" applyNumberFormat="1" applyFont="1" applyFill="1" applyBorder="1" applyAlignment="1">
      <alignment horizontal="center" vertical="center"/>
    </xf>
    <xf numFmtId="176" fontId="5" fillId="2" borderId="18" xfId="45" applyNumberFormat="1" applyFont="1" applyFill="1" applyBorder="1" applyAlignment="1">
      <alignment horizontal="center" vertical="center"/>
    </xf>
    <xf numFmtId="178" fontId="8" fillId="10" borderId="44" xfId="45" applyNumberFormat="1" applyFont="1" applyFill="1" applyBorder="1" applyAlignment="1">
      <alignment horizontal="center" vertical="center"/>
    </xf>
    <xf numFmtId="178" fontId="8" fillId="10" borderId="109" xfId="45" applyNumberFormat="1" applyFont="1" applyFill="1" applyBorder="1" applyAlignment="1">
      <alignment horizontal="center" vertical="center"/>
    </xf>
    <xf numFmtId="0" fontId="35" fillId="12" borderId="70" xfId="45" applyFont="1" applyFill="1" applyBorder="1" applyAlignment="1">
      <alignment horizontal="center" vertical="center"/>
    </xf>
    <xf numFmtId="0" fontId="35" fillId="12" borderId="62" xfId="45" applyFont="1" applyFill="1" applyBorder="1" applyAlignment="1">
      <alignment horizontal="center" vertical="center"/>
    </xf>
    <xf numFmtId="0" fontId="35" fillId="12" borderId="114" xfId="45" applyFont="1" applyFill="1" applyBorder="1" applyAlignment="1">
      <alignment horizontal="center" vertical="center"/>
    </xf>
    <xf numFmtId="0" fontId="35" fillId="12" borderId="69" xfId="45" applyFont="1" applyFill="1" applyBorder="1" applyAlignment="1">
      <alignment horizontal="center" vertical="center"/>
    </xf>
    <xf numFmtId="178" fontId="7" fillId="0" borderId="84" xfId="45" applyNumberFormat="1" applyFont="1" applyBorder="1" applyAlignment="1">
      <alignment horizontal="center" vertical="center"/>
    </xf>
    <xf numFmtId="178" fontId="7" fillId="0" borderId="85" xfId="45" applyNumberFormat="1" applyFont="1" applyBorder="1" applyAlignment="1">
      <alignment horizontal="center" vertical="center"/>
    </xf>
    <xf numFmtId="178" fontId="7" fillId="0" borderId="85" xfId="45" applyNumberFormat="1" applyFont="1" applyBorder="1" applyAlignment="1">
      <alignment vertical="center"/>
    </xf>
    <xf numFmtId="178" fontId="7" fillId="0" borderId="94" xfId="45" applyNumberFormat="1" applyFont="1" applyBorder="1" applyAlignment="1">
      <alignment vertical="center"/>
    </xf>
    <xf numFmtId="180" fontId="30" fillId="6" borderId="39" xfId="36" applyNumberFormat="1" applyFont="1" applyFill="1" applyBorder="1" applyAlignment="1">
      <alignment horizontal="center" vertical="center"/>
    </xf>
    <xf numFmtId="180" fontId="30" fillId="6" borderId="47" xfId="36" applyNumberFormat="1" applyFont="1" applyFill="1" applyBorder="1" applyAlignment="1">
      <alignment horizontal="center" vertical="center"/>
    </xf>
    <xf numFmtId="176" fontId="5" fillId="2" borderId="8" xfId="45" applyNumberFormat="1" applyFont="1" applyFill="1" applyBorder="1" applyAlignment="1">
      <alignment horizontal="center" vertical="center" wrapText="1"/>
    </xf>
    <xf numFmtId="176" fontId="5" fillId="2" borderId="18" xfId="45" applyNumberFormat="1" applyFont="1" applyFill="1" applyBorder="1" applyAlignment="1">
      <alignment horizontal="center" vertical="center" wrapText="1"/>
    </xf>
    <xf numFmtId="0" fontId="8" fillId="0" borderId="77" xfId="45" applyFont="1" applyBorder="1" applyAlignment="1">
      <alignment horizontal="center" vertical="center"/>
    </xf>
    <xf numFmtId="0" fontId="8" fillId="0" borderId="78" xfId="45" applyFont="1" applyBorder="1" applyAlignment="1">
      <alignment horizontal="center" vertical="center"/>
    </xf>
    <xf numFmtId="0" fontId="8" fillId="0" borderId="80" xfId="45" applyFont="1" applyBorder="1" applyAlignment="1">
      <alignment horizontal="center" vertical="center"/>
    </xf>
    <xf numFmtId="178" fontId="8" fillId="0" borderId="39" xfId="45" applyNumberFormat="1" applyFont="1" applyBorder="1" applyAlignment="1">
      <alignment horizontal="center" vertical="center"/>
    </xf>
    <xf numFmtId="178" fontId="8" fillId="0" borderId="47" xfId="45" applyNumberFormat="1" applyFont="1" applyBorder="1" applyAlignment="1">
      <alignment horizontal="center" vertical="center"/>
    </xf>
    <xf numFmtId="0" fontId="8" fillId="0" borderId="109" xfId="45" applyFont="1" applyBorder="1" applyAlignment="1">
      <alignment horizontal="center" vertical="center"/>
    </xf>
    <xf numFmtId="0" fontId="8" fillId="0" borderId="6" xfId="45" applyFont="1" applyBorder="1" applyAlignment="1">
      <alignment horizontal="center" vertical="center"/>
    </xf>
    <xf numFmtId="184" fontId="33" fillId="15" borderId="45" xfId="45" applyNumberFormat="1" applyFont="1" applyFill="1" applyBorder="1" applyAlignment="1">
      <alignment horizontal="center" vertical="center"/>
    </xf>
    <xf numFmtId="49" fontId="41" fillId="0" borderId="122" xfId="45" applyNumberFormat="1" applyFont="1" applyBorder="1" applyAlignment="1">
      <alignment horizontal="center" vertical="center"/>
    </xf>
    <xf numFmtId="10" fontId="8" fillId="15" borderId="45" xfId="30" applyNumberFormat="1" applyFont="1" applyFill="1" applyBorder="1" applyAlignment="1">
      <alignment horizontal="center" vertical="center"/>
    </xf>
    <xf numFmtId="1" fontId="8" fillId="15" borderId="78" xfId="45" applyNumberFormat="1" applyFont="1" applyFill="1" applyBorder="1" applyAlignment="1">
      <alignment horizontal="center" vertical="center"/>
    </xf>
    <xf numFmtId="0" fontId="43" fillId="0" borderId="0" xfId="0" applyFont="1" applyAlignment="1">
      <alignment horizontal="left"/>
    </xf>
    <xf numFmtId="0" fontId="8" fillId="10" borderId="66" xfId="45" applyFont="1" applyFill="1" applyBorder="1" applyAlignment="1">
      <alignment horizontal="center" vertical="center"/>
    </xf>
    <xf numFmtId="0" fontId="8" fillId="10" borderId="109" xfId="45" applyFont="1" applyFill="1" applyBorder="1" applyAlignment="1">
      <alignment horizontal="center" vertical="center"/>
    </xf>
    <xf numFmtId="0" fontId="8" fillId="10" borderId="92" xfId="45" applyFont="1" applyFill="1" applyBorder="1" applyAlignment="1">
      <alignment horizontal="center" vertical="center"/>
    </xf>
    <xf numFmtId="0" fontId="8" fillId="10" borderId="81" xfId="45" applyFont="1" applyFill="1" applyBorder="1" applyAlignment="1">
      <alignment horizontal="center" vertical="center"/>
    </xf>
    <xf numFmtId="178" fontId="8" fillId="10" borderId="0" xfId="45" applyNumberFormat="1" applyFont="1" applyFill="1" applyAlignment="1">
      <alignment horizontal="center" vertical="center"/>
    </xf>
    <xf numFmtId="178" fontId="8" fillId="10" borderId="47" xfId="45" applyNumberFormat="1" applyFont="1" applyFill="1" applyBorder="1" applyAlignment="1">
      <alignment horizontal="center" vertical="center"/>
    </xf>
    <xf numFmtId="178" fontId="8" fillId="10" borderId="39" xfId="45" applyNumberFormat="1" applyFont="1" applyFill="1" applyBorder="1" applyAlignment="1">
      <alignment horizontal="center" vertical="center"/>
    </xf>
    <xf numFmtId="178" fontId="55" fillId="0" borderId="110" xfId="45" applyNumberFormat="1" applyFont="1" applyBorder="1" applyAlignment="1">
      <alignment horizontal="center" vertical="center"/>
    </xf>
    <xf numFmtId="178" fontId="55" fillId="0" borderId="111" xfId="45" applyNumberFormat="1" applyFont="1" applyBorder="1" applyAlignment="1">
      <alignment horizontal="center" vertical="center"/>
    </xf>
    <xf numFmtId="178" fontId="8" fillId="0" borderId="112" xfId="45" applyNumberFormat="1" applyFont="1" applyBorder="1" applyAlignment="1">
      <alignment horizontal="center" vertical="center"/>
    </xf>
    <xf numFmtId="178" fontId="8" fillId="0" borderId="113" xfId="45" applyNumberFormat="1" applyFont="1" applyBorder="1" applyAlignment="1">
      <alignment horizontal="center" vertical="center"/>
    </xf>
    <xf numFmtId="0" fontId="38" fillId="0" borderId="86" xfId="0" applyFont="1" applyBorder="1" applyAlignment="1">
      <alignment vertical="center" wrapText="1"/>
    </xf>
    <xf numFmtId="0" fontId="38" fillId="0" borderId="83" xfId="0" applyFont="1" applyBorder="1" applyAlignment="1">
      <alignment vertical="center" wrapText="1"/>
    </xf>
    <xf numFmtId="180" fontId="39" fillId="6" borderId="29" xfId="36" applyNumberFormat="1" applyFont="1" applyFill="1" applyBorder="1" applyAlignment="1">
      <alignment horizontal="center" vertical="center"/>
    </xf>
    <xf numFmtId="180" fontId="39" fillId="6" borderId="6" xfId="36" applyNumberFormat="1" applyFont="1" applyFill="1" applyBorder="1" applyAlignment="1">
      <alignment horizontal="center" vertical="center"/>
    </xf>
    <xf numFmtId="180" fontId="39" fillId="6" borderId="37" xfId="36" applyNumberFormat="1" applyFont="1" applyFill="1" applyBorder="1" applyAlignment="1">
      <alignment horizontal="center" vertical="center"/>
    </xf>
    <xf numFmtId="180" fontId="40" fillId="0" borderId="37" xfId="45" applyNumberFormat="1" applyFont="1" applyBorder="1" applyAlignment="1">
      <alignment horizontal="center" vertical="center"/>
    </xf>
    <xf numFmtId="180" fontId="40" fillId="0" borderId="6" xfId="45" applyNumberFormat="1" applyFont="1" applyBorder="1" applyAlignment="1">
      <alignment horizontal="center" vertical="center"/>
    </xf>
    <xf numFmtId="0" fontId="38" fillId="0" borderId="29" xfId="0" applyFont="1" applyBorder="1" applyAlignment="1">
      <alignment vertical="center" wrapText="1"/>
    </xf>
    <xf numFmtId="0" fontId="38" fillId="0" borderId="98" xfId="0" applyFont="1" applyBorder="1" applyAlignment="1">
      <alignment vertical="center" wrapText="1"/>
    </xf>
    <xf numFmtId="182" fontId="9" fillId="18" borderId="77" xfId="45" applyNumberFormat="1" applyFont="1" applyFill="1" applyBorder="1" applyAlignment="1">
      <alignment horizontal="center" vertical="center"/>
    </xf>
    <xf numFmtId="182" fontId="9" fillId="18" borderId="80" xfId="45" applyNumberFormat="1" applyFont="1" applyFill="1" applyBorder="1" applyAlignment="1">
      <alignment horizontal="center" vertical="center"/>
    </xf>
    <xf numFmtId="184" fontId="33" fillId="18" borderId="105" xfId="45" applyNumberFormat="1" applyFont="1" applyFill="1" applyBorder="1" applyAlignment="1">
      <alignment horizontal="center" vertical="center"/>
    </xf>
    <xf numFmtId="184" fontId="33" fillId="18" borderId="45" xfId="45" applyNumberFormat="1" applyFont="1" applyFill="1" applyBorder="1" applyAlignment="1">
      <alignment horizontal="center" vertical="center"/>
    </xf>
    <xf numFmtId="0" fontId="7" fillId="0" borderId="6" xfId="45" applyFont="1" applyBorder="1" applyAlignment="1">
      <alignment horizontal="center" vertical="center"/>
    </xf>
    <xf numFmtId="0" fontId="7" fillId="0" borderId="59" xfId="45" applyFont="1" applyBorder="1" applyAlignment="1">
      <alignment horizontal="center" vertical="center"/>
    </xf>
    <xf numFmtId="0" fontId="7" fillId="0" borderId="33" xfId="45" applyFont="1" applyBorder="1" applyAlignment="1">
      <alignment horizontal="center" vertical="center"/>
    </xf>
    <xf numFmtId="0" fontId="7" fillId="0" borderId="43" xfId="45" applyFont="1" applyBorder="1" applyAlignment="1">
      <alignment horizontal="center" vertical="center"/>
    </xf>
    <xf numFmtId="10" fontId="8" fillId="18" borderId="105" xfId="30" applyNumberFormat="1" applyFont="1" applyFill="1" applyBorder="1" applyAlignment="1">
      <alignment horizontal="center" vertical="center"/>
    </xf>
    <xf numFmtId="10" fontId="8" fillId="18" borderId="45" xfId="30" applyNumberFormat="1" applyFont="1" applyFill="1" applyBorder="1" applyAlignment="1">
      <alignment horizontal="center" vertical="center"/>
    </xf>
    <xf numFmtId="180" fontId="7" fillId="0" borderId="39" xfId="45" applyNumberFormat="1" applyFont="1" applyBorder="1" applyAlignment="1">
      <alignment horizontal="center" vertical="center"/>
    </xf>
    <xf numFmtId="180" fontId="7" fillId="0" borderId="47" xfId="45" applyNumberFormat="1" applyFont="1" applyBorder="1" applyAlignment="1">
      <alignment horizontal="center" vertical="center"/>
    </xf>
    <xf numFmtId="180" fontId="7" fillId="0" borderId="46" xfId="45" applyNumberFormat="1" applyFont="1" applyBorder="1" applyAlignment="1">
      <alignment horizontal="center" vertical="center"/>
    </xf>
    <xf numFmtId="180" fontId="7" fillId="0" borderId="5" xfId="45" applyNumberFormat="1" applyFont="1" applyBorder="1" applyAlignment="1">
      <alignment horizontal="center" vertical="center"/>
    </xf>
    <xf numFmtId="178" fontId="7" fillId="0" borderId="5" xfId="45" applyNumberFormat="1" applyFont="1" applyBorder="1" applyAlignment="1">
      <alignment vertical="center"/>
    </xf>
    <xf numFmtId="178" fontId="7" fillId="0" borderId="87" xfId="45" applyNumberFormat="1" applyFont="1" applyBorder="1" applyAlignment="1">
      <alignment vertical="center"/>
    </xf>
    <xf numFmtId="0" fontId="35" fillId="12" borderId="82" xfId="45" applyFont="1" applyFill="1" applyBorder="1" applyAlignment="1">
      <alignment horizontal="center" vertical="center"/>
    </xf>
    <xf numFmtId="0" fontId="35" fillId="12" borderId="83" xfId="45" applyFont="1" applyFill="1" applyBorder="1" applyAlignment="1">
      <alignment horizontal="center" vertical="center"/>
    </xf>
    <xf numFmtId="176" fontId="4" fillId="0" borderId="115" xfId="45" applyNumberFormat="1" applyFont="1" applyBorder="1" applyAlignment="1">
      <alignment horizontal="left"/>
    </xf>
    <xf numFmtId="176" fontId="4" fillId="0" borderId="116" xfId="45" applyNumberFormat="1" applyFont="1" applyBorder="1" applyAlignment="1">
      <alignment horizontal="left"/>
    </xf>
    <xf numFmtId="176" fontId="4" fillId="0" borderId="117" xfId="45" applyNumberFormat="1" applyFont="1" applyBorder="1" applyAlignment="1">
      <alignment horizontal="left"/>
    </xf>
    <xf numFmtId="178" fontId="7" fillId="0" borderId="39" xfId="45" applyNumberFormat="1" applyFont="1" applyBorder="1" applyAlignment="1">
      <alignment horizontal="center" vertical="center"/>
    </xf>
    <xf numFmtId="178" fontId="7" fillId="0" borderId="47" xfId="45" applyNumberFormat="1" applyFont="1" applyBorder="1" applyAlignment="1">
      <alignment horizontal="center" vertical="center"/>
    </xf>
    <xf numFmtId="176" fontId="35" fillId="12" borderId="82" xfId="45" applyNumberFormat="1" applyFont="1" applyFill="1" applyBorder="1" applyAlignment="1">
      <alignment horizontal="center" vertical="center"/>
    </xf>
    <xf numFmtId="176" fontId="35" fillId="12" borderId="83" xfId="45" applyNumberFormat="1" applyFont="1" applyFill="1" applyBorder="1" applyAlignment="1">
      <alignment horizontal="center" vertical="center"/>
    </xf>
    <xf numFmtId="180" fontId="40" fillId="10" borderId="46" xfId="45" applyNumberFormat="1" applyFont="1" applyFill="1" applyBorder="1" applyAlignment="1">
      <alignment horizontal="center" vertical="center"/>
    </xf>
    <xf numFmtId="180" fontId="40" fillId="10" borderId="81" xfId="45" applyNumberFormat="1" applyFont="1" applyFill="1" applyBorder="1" applyAlignment="1">
      <alignment horizontal="center" vertical="center"/>
    </xf>
    <xf numFmtId="0" fontId="38" fillId="10" borderId="5" xfId="0" applyFont="1" applyFill="1" applyBorder="1" applyAlignment="1">
      <alignment vertical="center" wrapText="1"/>
    </xf>
    <xf numFmtId="0" fontId="38" fillId="10" borderId="87" xfId="0" applyFont="1" applyFill="1" applyBorder="1" applyAlignment="1">
      <alignment vertical="center" wrapText="1"/>
    </xf>
    <xf numFmtId="178" fontId="8" fillId="0" borderId="0" xfId="45" applyNumberFormat="1" applyFont="1" applyAlignment="1">
      <alignment horizontal="center" vertical="center"/>
    </xf>
    <xf numFmtId="178" fontId="8" fillId="0" borderId="110" xfId="45" applyNumberFormat="1" applyFont="1" applyBorder="1" applyAlignment="1">
      <alignment horizontal="center" vertical="center"/>
    </xf>
    <xf numFmtId="178" fontId="8" fillId="0" borderId="111" xfId="45" applyNumberFormat="1" applyFont="1" applyBorder="1" applyAlignment="1">
      <alignment horizontal="center" vertical="center"/>
    </xf>
    <xf numFmtId="0" fontId="38" fillId="0" borderId="99" xfId="0" applyFont="1" applyBorder="1" applyAlignment="1">
      <alignment vertical="center" wrapText="1"/>
    </xf>
    <xf numFmtId="0" fontId="38" fillId="0" borderId="70" xfId="0" applyFont="1" applyBorder="1" applyAlignment="1">
      <alignment vertical="center" wrapText="1"/>
    </xf>
    <xf numFmtId="180" fontId="39" fillId="6" borderId="5" xfId="36" applyNumberFormat="1" applyFont="1" applyFill="1" applyBorder="1" applyAlignment="1">
      <alignment horizontal="center" vertical="center"/>
    </xf>
    <xf numFmtId="180" fontId="39" fillId="6" borderId="81" xfId="36" applyNumberFormat="1" applyFont="1" applyFill="1" applyBorder="1" applyAlignment="1">
      <alignment horizontal="center" vertical="center"/>
    </xf>
    <xf numFmtId="180" fontId="39" fillId="6" borderId="46" xfId="36" applyNumberFormat="1" applyFont="1" applyFill="1" applyBorder="1" applyAlignment="1">
      <alignment horizontal="center" vertical="center"/>
    </xf>
    <xf numFmtId="180" fontId="40" fillId="0" borderId="46" xfId="45" applyNumberFormat="1" applyFont="1" applyBorder="1" applyAlignment="1">
      <alignment horizontal="center" vertical="center"/>
    </xf>
    <xf numFmtId="180" fontId="40" fillId="0" borderId="81" xfId="45" applyNumberFormat="1" applyFont="1" applyBorder="1" applyAlignment="1">
      <alignment horizontal="center" vertical="center"/>
    </xf>
    <xf numFmtId="0" fontId="38" fillId="0" borderId="5" xfId="0" applyFont="1" applyBorder="1" applyAlignment="1">
      <alignment vertical="center" wrapText="1"/>
    </xf>
    <xf numFmtId="0" fontId="38" fillId="0" borderId="87" xfId="0" applyFont="1" applyBorder="1" applyAlignment="1">
      <alignment vertical="center" wrapText="1"/>
    </xf>
    <xf numFmtId="180" fontId="39" fillId="10" borderId="46" xfId="36" applyNumberFormat="1" applyFont="1" applyFill="1" applyBorder="1" applyAlignment="1">
      <alignment horizontal="center" vertical="center"/>
    </xf>
    <xf numFmtId="180" fontId="39" fillId="10" borderId="81" xfId="36" applyNumberFormat="1" applyFont="1" applyFill="1" applyBorder="1" applyAlignment="1">
      <alignment horizontal="center" vertical="center"/>
    </xf>
    <xf numFmtId="180" fontId="39" fillId="10" borderId="5" xfId="36" applyNumberFormat="1" applyFont="1" applyFill="1" applyBorder="1" applyAlignment="1">
      <alignment horizontal="center" vertical="center"/>
    </xf>
    <xf numFmtId="0" fontId="38" fillId="10" borderId="36" xfId="0" applyFont="1" applyFill="1" applyBorder="1" applyAlignment="1">
      <alignment vertical="center" wrapText="1"/>
    </xf>
    <xf numFmtId="0" fontId="38" fillId="10" borderId="73" xfId="0" applyFont="1" applyFill="1" applyBorder="1" applyAlignment="1">
      <alignment vertical="center" wrapText="1"/>
    </xf>
    <xf numFmtId="184" fontId="6" fillId="0" borderId="93" xfId="45" applyNumberFormat="1" applyFont="1" applyBorder="1" applyAlignment="1">
      <alignment horizontal="center" vertical="center"/>
    </xf>
    <xf numFmtId="184" fontId="6" fillId="0" borderId="0" xfId="45" applyNumberFormat="1" applyFont="1" applyAlignment="1">
      <alignment horizontal="center" vertical="center"/>
    </xf>
    <xf numFmtId="0" fontId="6" fillId="0" borderId="0" xfId="45" applyFont="1" applyAlignment="1">
      <alignment horizontal="center" vertical="center"/>
    </xf>
    <xf numFmtId="0" fontId="8" fillId="0" borderId="47" xfId="45" applyFont="1" applyBorder="1" applyAlignment="1">
      <alignment horizontal="center" vertical="center"/>
    </xf>
    <xf numFmtId="0" fontId="8" fillId="0" borderId="81" xfId="45" applyFont="1" applyBorder="1" applyAlignment="1">
      <alignment horizontal="center" vertical="center"/>
    </xf>
    <xf numFmtId="176" fontId="35" fillId="8" borderId="83" xfId="45" applyNumberFormat="1" applyFont="1" applyFill="1" applyBorder="1" applyAlignment="1">
      <alignment horizontal="center" vertical="center"/>
    </xf>
    <xf numFmtId="176" fontId="35" fillId="8" borderId="71" xfId="45" applyNumberFormat="1" applyFont="1" applyFill="1" applyBorder="1" applyAlignment="1">
      <alignment horizontal="center" vertical="center"/>
    </xf>
    <xf numFmtId="176" fontId="35" fillId="8" borderId="72" xfId="45" applyNumberFormat="1" applyFont="1" applyFill="1" applyBorder="1" applyAlignment="1">
      <alignment horizontal="center" vertical="center"/>
    </xf>
    <xf numFmtId="176" fontId="41" fillId="10" borderId="34" xfId="45" applyNumberFormat="1" applyFont="1" applyFill="1" applyBorder="1" applyAlignment="1">
      <alignment horizontal="center" vertical="center"/>
    </xf>
    <xf numFmtId="176" fontId="41" fillId="10" borderId="41" xfId="45" applyNumberFormat="1" applyFont="1" applyFill="1" applyBorder="1" applyAlignment="1">
      <alignment horizontal="center" vertical="center"/>
    </xf>
    <xf numFmtId="10" fontId="8" fillId="0" borderId="43" xfId="30" applyNumberFormat="1" applyFont="1" applyFill="1" applyBorder="1" applyAlignment="1">
      <alignment horizontal="center" vertical="center"/>
    </xf>
    <xf numFmtId="184" fontId="9" fillId="0" borderId="43" xfId="45" applyNumberFormat="1" applyFont="1" applyBorder="1" applyAlignment="1">
      <alignment horizontal="center" vertical="center"/>
    </xf>
    <xf numFmtId="1" fontId="8" fillId="15" borderId="80" xfId="45" applyNumberFormat="1" applyFont="1" applyFill="1" applyBorder="1" applyAlignment="1">
      <alignment horizontal="center" vertical="center"/>
    </xf>
    <xf numFmtId="184" fontId="33" fillId="15" borderId="43" xfId="45" applyNumberFormat="1" applyFont="1" applyFill="1" applyBorder="1" applyAlignment="1">
      <alignment horizontal="center" vertical="center"/>
    </xf>
    <xf numFmtId="184" fontId="9" fillId="6" borderId="119" xfId="45" applyNumberFormat="1" applyFont="1" applyFill="1" applyBorder="1" applyAlignment="1">
      <alignment horizontal="center" vertical="center"/>
    </xf>
    <xf numFmtId="184" fontId="9" fillId="6" borderId="14" xfId="45" applyNumberFormat="1" applyFont="1" applyFill="1" applyBorder="1" applyAlignment="1">
      <alignment horizontal="center" vertical="center"/>
    </xf>
    <xf numFmtId="184" fontId="9" fillId="6" borderId="34" xfId="45" applyNumberFormat="1" applyFont="1" applyFill="1" applyBorder="1" applyAlignment="1">
      <alignment horizontal="center" vertical="center"/>
    </xf>
    <xf numFmtId="10" fontId="8" fillId="15" borderId="43" xfId="30" applyNumberFormat="1" applyFont="1" applyFill="1" applyBorder="1" applyAlignment="1">
      <alignment horizontal="center" vertical="center"/>
    </xf>
    <xf numFmtId="0" fontId="8" fillId="0" borderId="77" xfId="45" applyFont="1" applyBorder="1" applyAlignment="1">
      <alignment horizontal="center" vertical="center" wrapText="1"/>
    </xf>
    <xf numFmtId="0" fontId="8" fillId="0" borderId="78" xfId="45" applyFont="1" applyBorder="1" applyAlignment="1">
      <alignment horizontal="center" vertical="center" wrapText="1"/>
    </xf>
    <xf numFmtId="0" fontId="8" fillId="0" borderId="126" xfId="45" applyFont="1" applyBorder="1" applyAlignment="1">
      <alignment horizontal="center" vertical="center" wrapText="1"/>
    </xf>
    <xf numFmtId="0" fontId="6" fillId="0" borderId="157" xfId="45" applyFont="1" applyBorder="1" applyAlignment="1">
      <alignment horizontal="center" vertical="center"/>
    </xf>
    <xf numFmtId="0" fontId="6" fillId="0" borderId="15" xfId="45" applyFont="1" applyBorder="1" applyAlignment="1">
      <alignment horizontal="center" vertical="center"/>
    </xf>
    <xf numFmtId="190" fontId="8" fillId="6" borderId="114" xfId="0" applyNumberFormat="1" applyFont="1" applyFill="1" applyBorder="1" applyAlignment="1">
      <alignment horizontal="center" vertical="center"/>
    </xf>
    <xf numFmtId="190" fontId="8" fillId="6" borderId="133" xfId="0" applyNumberFormat="1" applyFont="1" applyFill="1" applyBorder="1" applyAlignment="1">
      <alignment horizontal="center" vertical="center"/>
    </xf>
    <xf numFmtId="245" fontId="8" fillId="0" borderId="109" xfId="45" applyNumberFormat="1" applyFont="1" applyBorder="1" applyAlignment="1">
      <alignment horizontal="center" vertical="center"/>
    </xf>
    <xf numFmtId="245" fontId="8" fillId="0" borderId="81" xfId="45" applyNumberFormat="1" applyFont="1" applyBorder="1" applyAlignment="1">
      <alignment horizontal="center" vertical="center"/>
    </xf>
    <xf numFmtId="247" fontId="41" fillId="0" borderId="44" xfId="0" applyNumberFormat="1" applyFont="1" applyBorder="1" applyAlignment="1">
      <alignment horizontal="center" vertical="center" wrapText="1"/>
    </xf>
    <xf numFmtId="247" fontId="41" fillId="0" borderId="73" xfId="0" applyNumberFormat="1" applyFont="1" applyBorder="1" applyAlignment="1">
      <alignment horizontal="center" vertical="center" wrapText="1"/>
    </xf>
    <xf numFmtId="246" fontId="41" fillId="0" borderId="46" xfId="0" applyNumberFormat="1" applyFont="1" applyBorder="1" applyAlignment="1">
      <alignment horizontal="center" vertical="center" wrapText="1"/>
    </xf>
    <xf numFmtId="246" fontId="41" fillId="0" borderId="87" xfId="0" applyNumberFormat="1" applyFont="1" applyBorder="1" applyAlignment="1">
      <alignment horizontal="center" vertical="center" wrapText="1"/>
    </xf>
    <xf numFmtId="205" fontId="8" fillId="0" borderId="119" xfId="45" applyNumberFormat="1" applyFont="1" applyBorder="1" applyAlignment="1">
      <alignment horizontal="center" vertical="center"/>
    </xf>
    <xf numFmtId="205" fontId="8" fillId="0" borderId="14" xfId="45" applyNumberFormat="1" applyFont="1" applyBorder="1" applyAlignment="1">
      <alignment horizontal="center" vertical="center"/>
    </xf>
    <xf numFmtId="205" fontId="8" fillId="0" borderId="34" xfId="45" applyNumberFormat="1" applyFont="1" applyBorder="1" applyAlignment="1">
      <alignment horizontal="center" vertical="center"/>
    </xf>
    <xf numFmtId="181" fontId="9" fillId="6" borderId="67" xfId="45" applyNumberFormat="1" applyFont="1" applyFill="1" applyBorder="1" applyAlignment="1">
      <alignment horizontal="center" vertical="center"/>
    </xf>
    <xf numFmtId="181" fontId="9" fillId="6" borderId="24" xfId="45" applyNumberFormat="1" applyFont="1" applyFill="1" applyBorder="1" applyAlignment="1">
      <alignment horizontal="center" vertical="center"/>
    </xf>
    <xf numFmtId="181" fontId="9" fillId="6" borderId="32" xfId="45" applyNumberFormat="1" applyFont="1" applyFill="1" applyBorder="1" applyAlignment="1">
      <alignment horizontal="center" vertical="center"/>
    </xf>
    <xf numFmtId="0" fontId="42" fillId="0" borderId="5" xfId="45" applyFont="1" applyBorder="1" applyAlignment="1">
      <alignment horizontal="center" vertical="center"/>
    </xf>
    <xf numFmtId="176" fontId="41" fillId="11" borderId="120" xfId="45" applyNumberFormat="1" applyFont="1" applyFill="1" applyBorder="1" applyAlignment="1">
      <alignment horizontal="center" vertical="center"/>
    </xf>
    <xf numFmtId="176" fontId="41" fillId="11" borderId="78" xfId="45" applyNumberFormat="1" applyFont="1" applyFill="1" applyBorder="1" applyAlignment="1">
      <alignment horizontal="center" vertical="center"/>
    </xf>
    <xf numFmtId="176" fontId="41" fillId="11" borderId="126" xfId="45" applyNumberFormat="1" applyFont="1" applyFill="1" applyBorder="1" applyAlignment="1">
      <alignment horizontal="center" vertical="center"/>
    </xf>
    <xf numFmtId="176" fontId="41" fillId="11" borderId="32" xfId="45" applyNumberFormat="1" applyFont="1" applyFill="1" applyBorder="1" applyAlignment="1">
      <alignment horizontal="center" vertical="center"/>
    </xf>
    <xf numFmtId="176" fontId="41" fillId="11" borderId="4" xfId="45" applyNumberFormat="1" applyFont="1" applyFill="1" applyBorder="1" applyAlignment="1">
      <alignment horizontal="center" vertical="center"/>
    </xf>
    <xf numFmtId="187" fontId="6" fillId="0" borderId="0" xfId="45" applyNumberFormat="1" applyFont="1" applyAlignment="1">
      <alignment horizontal="center" vertical="center"/>
    </xf>
    <xf numFmtId="9" fontId="6" fillId="0" borderId="0" xfId="45" applyNumberFormat="1" applyFont="1" applyAlignment="1">
      <alignment horizontal="center" vertical="center"/>
    </xf>
    <xf numFmtId="184" fontId="9" fillId="17" borderId="59" xfId="45" applyNumberFormat="1" applyFont="1" applyFill="1" applyBorder="1" applyAlignment="1">
      <alignment horizontal="center" vertical="center"/>
    </xf>
    <xf numFmtId="10" fontId="8" fillId="17" borderId="59" xfId="30" applyNumberFormat="1" applyFont="1" applyFill="1" applyBorder="1" applyAlignment="1">
      <alignment horizontal="center" vertical="center"/>
    </xf>
    <xf numFmtId="248" fontId="6" fillId="0" borderId="0" xfId="45" applyNumberFormat="1" applyFont="1" applyAlignment="1">
      <alignment horizontal="right" vertical="center" indent="1"/>
    </xf>
    <xf numFmtId="182" fontId="6" fillId="0" borderId="0" xfId="45" applyNumberFormat="1" applyFont="1" applyAlignment="1">
      <alignment horizontal="center" vertical="center"/>
    </xf>
    <xf numFmtId="10" fontId="6" fillId="0" borderId="0" xfId="45" applyNumberFormat="1" applyFont="1" applyAlignment="1">
      <alignment horizontal="center" vertical="center"/>
    </xf>
    <xf numFmtId="249" fontId="6" fillId="0" borderId="0" xfId="45" applyNumberFormat="1" applyFont="1" applyAlignment="1">
      <alignment horizontal="center" vertical="center"/>
    </xf>
    <xf numFmtId="178" fontId="6" fillId="0" borderId="0" xfId="45" applyNumberFormat="1" applyFont="1" applyAlignment="1">
      <alignment horizontal="center" vertical="center"/>
    </xf>
    <xf numFmtId="250" fontId="6" fillId="0" borderId="0" xfId="45" applyNumberFormat="1" applyFont="1" applyAlignment="1">
      <alignment horizontal="center" vertical="center"/>
    </xf>
    <xf numFmtId="1" fontId="6" fillId="0" borderId="0" xfId="45" applyNumberFormat="1" applyFont="1" applyAlignment="1">
      <alignment horizontal="center" vertical="center"/>
    </xf>
    <xf numFmtId="10" fontId="8" fillId="20" borderId="101" xfId="30" applyNumberFormat="1" applyFont="1" applyFill="1" applyBorder="1" applyAlignment="1">
      <alignment horizontal="center" vertical="center"/>
    </xf>
    <xf numFmtId="10" fontId="8" fillId="20" borderId="59" xfId="30" applyNumberFormat="1" applyFont="1" applyFill="1" applyBorder="1" applyAlignment="1">
      <alignment horizontal="center" vertical="center"/>
    </xf>
    <xf numFmtId="10" fontId="8" fillId="20" borderId="43" xfId="30" applyNumberFormat="1" applyFont="1" applyFill="1" applyBorder="1" applyAlignment="1">
      <alignment horizontal="center" vertical="center"/>
    </xf>
    <xf numFmtId="10" fontId="8" fillId="10" borderId="43" xfId="30" applyNumberFormat="1" applyFont="1" applyFill="1" applyBorder="1" applyAlignment="1">
      <alignment horizontal="center" vertical="center"/>
    </xf>
    <xf numFmtId="10" fontId="8" fillId="10" borderId="45" xfId="30" applyNumberFormat="1" applyFont="1" applyFill="1" applyBorder="1" applyAlignment="1">
      <alignment horizontal="center" vertical="center"/>
    </xf>
    <xf numFmtId="0" fontId="4" fillId="0" borderId="92" xfId="45" applyFont="1" applyBorder="1" applyAlignment="1">
      <alignment horizontal="left" vertical="center"/>
    </xf>
    <xf numFmtId="176" fontId="35" fillId="8" borderId="66" xfId="45" applyNumberFormat="1" applyFont="1" applyFill="1" applyBorder="1" applyAlignment="1">
      <alignment horizontal="center" vertical="center"/>
    </xf>
    <xf numFmtId="176" fontId="35" fillId="8" borderId="123" xfId="45" applyNumberFormat="1" applyFont="1" applyFill="1" applyBorder="1" applyAlignment="1">
      <alignment horizontal="center" vertical="center"/>
    </xf>
    <xf numFmtId="176" fontId="35" fillId="8" borderId="92" xfId="45" applyNumberFormat="1" applyFont="1" applyFill="1" applyBorder="1" applyAlignment="1">
      <alignment horizontal="center" vertical="center"/>
    </xf>
    <xf numFmtId="176" fontId="41" fillId="11" borderId="161" xfId="45" applyNumberFormat="1" applyFont="1" applyFill="1" applyBorder="1" applyAlignment="1">
      <alignment horizontal="center" vertical="center"/>
    </xf>
    <xf numFmtId="176" fontId="41" fillId="11" borderId="0" xfId="45" applyNumberFormat="1" applyFont="1" applyFill="1" applyAlignment="1">
      <alignment horizontal="center" vertical="center"/>
    </xf>
    <xf numFmtId="176" fontId="41" fillId="11" borderId="29" xfId="45" applyNumberFormat="1" applyFont="1" applyFill="1" applyBorder="1" applyAlignment="1">
      <alignment horizontal="center" vertical="center"/>
    </xf>
    <xf numFmtId="176" fontId="33" fillId="6" borderId="157" xfId="0" applyNumberFormat="1" applyFont="1" applyFill="1" applyBorder="1" applyAlignment="1">
      <alignment horizontal="center" vertical="center"/>
    </xf>
    <xf numFmtId="176" fontId="33" fillId="6" borderId="96" xfId="0" applyNumberFormat="1" applyFont="1" applyFill="1" applyBorder="1" applyAlignment="1">
      <alignment horizontal="center" vertical="center"/>
    </xf>
    <xf numFmtId="0" fontId="6" fillId="0" borderId="96" xfId="45" applyFont="1" applyBorder="1" applyAlignment="1">
      <alignment horizontal="center" vertical="center"/>
    </xf>
    <xf numFmtId="176" fontId="8" fillId="6" borderId="157" xfId="0" applyNumberFormat="1" applyFont="1" applyFill="1" applyBorder="1" applyAlignment="1">
      <alignment horizontal="center" vertical="center"/>
    </xf>
    <xf numFmtId="176" fontId="35" fillId="8" borderId="91" xfId="45" applyNumberFormat="1" applyFont="1" applyFill="1" applyBorder="1" applyAlignment="1">
      <alignment horizontal="center" vertical="center"/>
    </xf>
    <xf numFmtId="176" fontId="41" fillId="10" borderId="119" xfId="45" applyNumberFormat="1" applyFont="1" applyFill="1" applyBorder="1" applyAlignment="1">
      <alignment horizontal="center" vertical="center"/>
    </xf>
    <xf numFmtId="180" fontId="41" fillId="10" borderId="30" xfId="45" applyNumberFormat="1" applyFont="1" applyFill="1" applyBorder="1" applyAlignment="1">
      <alignment horizontal="center" vertical="center"/>
    </xf>
    <xf numFmtId="180" fontId="41" fillId="10" borderId="34" xfId="45" applyNumberFormat="1" applyFont="1" applyFill="1" applyBorder="1" applyAlignment="1">
      <alignment horizontal="center" vertical="center"/>
    </xf>
    <xf numFmtId="10" fontId="8" fillId="6" borderId="165" xfId="45" applyNumberFormat="1" applyFont="1" applyFill="1" applyBorder="1" applyAlignment="1">
      <alignment horizontal="center" vertical="center"/>
    </xf>
    <xf numFmtId="10" fontId="8" fillId="6" borderId="121" xfId="45" applyNumberFormat="1" applyFont="1" applyFill="1" applyBorder="1" applyAlignment="1">
      <alignment horizontal="center" vertical="center"/>
    </xf>
    <xf numFmtId="10" fontId="8" fillId="6" borderId="163" xfId="45" applyNumberFormat="1" applyFont="1" applyFill="1" applyBorder="1" applyAlignment="1">
      <alignment horizontal="center" vertical="center"/>
    </xf>
    <xf numFmtId="190" fontId="8" fillId="6" borderId="119" xfId="0" applyNumberFormat="1" applyFont="1" applyFill="1" applyBorder="1" applyAlignment="1">
      <alignment horizontal="center" vertical="center"/>
    </xf>
    <xf numFmtId="190" fontId="8" fillId="6" borderId="34" xfId="0" applyNumberFormat="1" applyFont="1" applyFill="1" applyBorder="1" applyAlignment="1">
      <alignment horizontal="center" vertical="center"/>
    </xf>
    <xf numFmtId="10" fontId="8" fillId="6" borderId="166" xfId="30" applyNumberFormat="1" applyFont="1" applyFill="1" applyBorder="1" applyAlignment="1">
      <alignment horizontal="center" vertical="center"/>
    </xf>
    <xf numFmtId="10" fontId="8" fillId="6" borderId="95" xfId="30" applyNumberFormat="1" applyFont="1" applyFill="1" applyBorder="1" applyAlignment="1">
      <alignment horizontal="center" vertical="center"/>
    </xf>
    <xf numFmtId="176" fontId="35" fillId="13" borderId="75" xfId="0" applyNumberFormat="1" applyFont="1" applyFill="1" applyBorder="1" applyAlignment="1">
      <alignment horizontal="distributed" vertical="center" indent="1"/>
    </xf>
    <xf numFmtId="176" fontId="35" fillId="13" borderId="76" xfId="0" applyNumberFormat="1" applyFont="1" applyFill="1" applyBorder="1" applyAlignment="1">
      <alignment horizontal="distributed" vertical="center" indent="1"/>
    </xf>
    <xf numFmtId="176" fontId="35" fillId="13" borderId="91" xfId="0" applyNumberFormat="1" applyFont="1" applyFill="1" applyBorder="1" applyAlignment="1">
      <alignment horizontal="distributed" vertical="center" indent="1"/>
    </xf>
    <xf numFmtId="207" fontId="9" fillId="6" borderId="8" xfId="0" applyNumberFormat="1" applyFont="1" applyFill="1" applyBorder="1" applyAlignment="1">
      <alignment horizontal="right" vertical="center" indent="1"/>
    </xf>
    <xf numFmtId="207" fontId="9" fillId="6" borderId="12" xfId="0" applyNumberFormat="1" applyFont="1" applyFill="1" applyBorder="1" applyAlignment="1">
      <alignment horizontal="right" vertical="center" indent="1"/>
    </xf>
    <xf numFmtId="207" fontId="9" fillId="6" borderId="18" xfId="0" applyNumberFormat="1" applyFont="1" applyFill="1" applyBorder="1" applyAlignment="1">
      <alignment horizontal="right" vertical="center" indent="1"/>
    </xf>
    <xf numFmtId="0" fontId="41" fillId="11" borderId="120" xfId="45" applyFont="1" applyFill="1" applyBorder="1" applyAlignment="1">
      <alignment horizontal="center" vertical="center"/>
    </xf>
    <xf numFmtId="0" fontId="41" fillId="11" borderId="78" xfId="45" applyFont="1" applyFill="1" applyBorder="1" applyAlignment="1">
      <alignment horizontal="center" vertical="center"/>
    </xf>
    <xf numFmtId="0" fontId="41" fillId="11" borderId="126" xfId="45" applyFont="1" applyFill="1" applyBorder="1" applyAlignment="1">
      <alignment horizontal="center" vertical="center"/>
    </xf>
    <xf numFmtId="0" fontId="41" fillId="11" borderId="80" xfId="45" applyFont="1" applyFill="1" applyBorder="1" applyAlignment="1">
      <alignment horizontal="center" vertical="center"/>
    </xf>
    <xf numFmtId="10" fontId="8" fillId="6" borderId="122" xfId="45" applyNumberFormat="1" applyFont="1" applyFill="1" applyBorder="1" applyAlignment="1">
      <alignment horizontal="center" vertical="center"/>
    </xf>
    <xf numFmtId="221" fontId="9" fillId="22" borderId="90" xfId="0" applyNumberFormat="1" applyFont="1" applyFill="1" applyBorder="1" applyAlignment="1">
      <alignment horizontal="center" vertical="center"/>
    </xf>
    <xf numFmtId="221" fontId="9" fillId="22" borderId="69" xfId="0" applyNumberFormat="1" applyFont="1" applyFill="1" applyBorder="1" applyAlignment="1">
      <alignment horizontal="center" vertical="center"/>
    </xf>
    <xf numFmtId="0" fontId="42" fillId="0" borderId="114" xfId="45" applyFont="1" applyBorder="1" applyAlignment="1">
      <alignment horizontal="center" vertical="center"/>
    </xf>
    <xf numFmtId="0" fontId="42" fillId="0" borderId="69" xfId="45" applyFont="1" applyBorder="1" applyAlignment="1">
      <alignment horizontal="center" vertical="center"/>
    </xf>
    <xf numFmtId="260" fontId="8" fillId="6" borderId="118" xfId="45" applyNumberFormat="1" applyFont="1" applyFill="1" applyBorder="1" applyAlignment="1">
      <alignment horizontal="center" vertical="center"/>
    </xf>
    <xf numFmtId="260" fontId="8" fillId="6" borderId="122" xfId="45" applyNumberFormat="1" applyFont="1" applyFill="1" applyBorder="1" applyAlignment="1">
      <alignment horizontal="center" vertical="center"/>
    </xf>
    <xf numFmtId="176" fontId="35" fillId="0" borderId="114" xfId="0" applyNumberFormat="1" applyFont="1" applyBorder="1" applyAlignment="1">
      <alignment horizontal="center" vertical="center" wrapText="1"/>
    </xf>
    <xf numFmtId="176" fontId="35" fillId="0" borderId="3" xfId="0" applyNumberFormat="1" applyFont="1" applyBorder="1" applyAlignment="1">
      <alignment horizontal="center" vertical="center" wrapText="1"/>
    </xf>
    <xf numFmtId="176" fontId="35" fillId="12" borderId="76" xfId="0" applyNumberFormat="1" applyFont="1" applyFill="1" applyBorder="1" applyAlignment="1">
      <alignment horizontal="center" vertical="center" wrapText="1"/>
    </xf>
    <xf numFmtId="245" fontId="8" fillId="20" borderId="16" xfId="45" applyNumberFormat="1" applyFont="1" applyFill="1" applyBorder="1" applyAlignment="1">
      <alignment horizontal="center" vertical="center"/>
    </xf>
    <xf numFmtId="245" fontId="8" fillId="20" borderId="19" xfId="45" applyNumberFormat="1" applyFont="1" applyFill="1" applyBorder="1" applyAlignment="1">
      <alignment horizontal="center" vertical="center"/>
    </xf>
    <xf numFmtId="184" fontId="41" fillId="20" borderId="36" xfId="0" applyNumberFormat="1" applyFont="1" applyFill="1" applyBorder="1" applyAlignment="1">
      <alignment horizontal="center" vertical="center" wrapText="1"/>
    </xf>
    <xf numFmtId="184" fontId="41" fillId="20" borderId="0" xfId="0" applyNumberFormat="1" applyFont="1" applyFill="1" applyAlignment="1">
      <alignment horizontal="center" vertical="center" wrapText="1"/>
    </xf>
    <xf numFmtId="184" fontId="41" fillId="20" borderId="5" xfId="0" applyNumberFormat="1" applyFont="1" applyFill="1" applyBorder="1" applyAlignment="1">
      <alignment horizontal="center" vertical="center" wrapText="1"/>
    </xf>
    <xf numFmtId="260" fontId="9" fillId="6" borderId="118" xfId="45" applyNumberFormat="1" applyFont="1" applyFill="1" applyBorder="1" applyAlignment="1">
      <alignment horizontal="center" vertical="center" wrapText="1"/>
    </xf>
    <xf numFmtId="260" fontId="9" fillId="6" borderId="122" xfId="45" applyNumberFormat="1" applyFont="1" applyFill="1" applyBorder="1" applyAlignment="1">
      <alignment horizontal="center" vertical="center"/>
    </xf>
    <xf numFmtId="255" fontId="8" fillId="20" borderId="16" xfId="45" applyNumberFormat="1" applyFont="1" applyFill="1" applyBorder="1" applyAlignment="1">
      <alignment horizontal="center" vertical="center"/>
    </xf>
    <xf numFmtId="255" fontId="8" fillId="20" borderId="7" xfId="45" applyNumberFormat="1" applyFont="1" applyFill="1" applyBorder="1" applyAlignment="1">
      <alignment horizontal="center" vertical="center"/>
    </xf>
    <xf numFmtId="255" fontId="8" fillId="20" borderId="19" xfId="45" applyNumberFormat="1" applyFont="1" applyFill="1" applyBorder="1" applyAlignment="1">
      <alignment horizontal="center" vertical="center"/>
    </xf>
    <xf numFmtId="226" fontId="61" fillId="0" borderId="161" xfId="0" applyNumberFormat="1" applyFont="1" applyBorder="1" applyAlignment="1">
      <alignment horizontal="center" vertical="center"/>
    </xf>
    <xf numFmtId="0" fontId="61" fillId="0" borderId="0" xfId="0" applyFont="1" applyAlignment="1">
      <alignment horizontal="center" vertical="center"/>
    </xf>
    <xf numFmtId="10" fontId="6" fillId="0" borderId="93" xfId="30" applyNumberFormat="1" applyFont="1" applyBorder="1" applyAlignment="1">
      <alignment horizontal="center" vertical="center"/>
    </xf>
    <xf numFmtId="184" fontId="9" fillId="19" borderId="101" xfId="45" applyNumberFormat="1" applyFont="1" applyFill="1" applyBorder="1" applyAlignment="1">
      <alignment horizontal="center" vertical="center"/>
    </xf>
    <xf numFmtId="184" fontId="9" fillId="19" borderId="59" xfId="45" applyNumberFormat="1" applyFont="1" applyFill="1" applyBorder="1" applyAlignment="1">
      <alignment horizontal="center" vertical="center"/>
    </xf>
    <xf numFmtId="10" fontId="8" fillId="19" borderId="101" xfId="30" applyNumberFormat="1" applyFont="1" applyFill="1" applyBorder="1" applyAlignment="1">
      <alignment horizontal="center" vertical="center"/>
    </xf>
    <xf numFmtId="10" fontId="8" fillId="19" borderId="59" xfId="30" applyNumberFormat="1" applyFont="1" applyFill="1" applyBorder="1" applyAlignment="1">
      <alignment horizontal="center" vertical="center"/>
    </xf>
    <xf numFmtId="184" fontId="9" fillId="20" borderId="43" xfId="45" applyNumberFormat="1" applyFont="1" applyFill="1" applyBorder="1" applyAlignment="1">
      <alignment horizontal="center" vertical="center"/>
    </xf>
    <xf numFmtId="184" fontId="9" fillId="20" borderId="59" xfId="45" applyNumberFormat="1" applyFont="1" applyFill="1" applyBorder="1" applyAlignment="1">
      <alignment horizontal="center" vertical="center"/>
    </xf>
    <xf numFmtId="184" fontId="9" fillId="19" borderId="105" xfId="45" applyNumberFormat="1" applyFont="1" applyFill="1" applyBorder="1" applyAlignment="1">
      <alignment horizontal="center" vertical="center"/>
    </xf>
    <xf numFmtId="10" fontId="8" fillId="19" borderId="105" xfId="30" applyNumberFormat="1" applyFont="1" applyFill="1" applyBorder="1" applyAlignment="1">
      <alignment horizontal="center" vertical="center"/>
    </xf>
    <xf numFmtId="49" fontId="41" fillId="19" borderId="118" xfId="45" applyNumberFormat="1" applyFont="1" applyFill="1" applyBorder="1" applyAlignment="1">
      <alignment horizontal="center" vertical="center"/>
    </xf>
    <xf numFmtId="49" fontId="41" fillId="19" borderId="121" xfId="45" applyNumberFormat="1" applyFont="1" applyFill="1" applyBorder="1" applyAlignment="1">
      <alignment horizontal="center" vertical="center"/>
    </xf>
    <xf numFmtId="49" fontId="41" fillId="20" borderId="121" xfId="45" applyNumberFormat="1" applyFont="1" applyFill="1" applyBorder="1" applyAlignment="1">
      <alignment horizontal="center" vertical="center"/>
    </xf>
    <xf numFmtId="49" fontId="41" fillId="20" borderId="163" xfId="45" applyNumberFormat="1" applyFont="1" applyFill="1" applyBorder="1" applyAlignment="1">
      <alignment horizontal="center" vertical="center"/>
    </xf>
    <xf numFmtId="184" fontId="9" fillId="20" borderId="101" xfId="45" applyNumberFormat="1" applyFont="1" applyFill="1" applyBorder="1" applyAlignment="1">
      <alignment horizontal="center" vertical="center"/>
    </xf>
    <xf numFmtId="10" fontId="8" fillId="10" borderId="101" xfId="30" applyNumberFormat="1" applyFont="1" applyFill="1" applyBorder="1" applyAlignment="1">
      <alignment horizontal="center" vertical="center"/>
    </xf>
    <xf numFmtId="1" fontId="8" fillId="10" borderId="78" xfId="45" applyNumberFormat="1" applyFont="1" applyFill="1" applyBorder="1" applyAlignment="1">
      <alignment horizontal="center" vertical="center"/>
    </xf>
    <xf numFmtId="1" fontId="8" fillId="10" borderId="80" xfId="45" applyNumberFormat="1" applyFont="1" applyFill="1" applyBorder="1" applyAlignment="1">
      <alignment horizontal="center" vertical="center"/>
    </xf>
    <xf numFmtId="184" fontId="33" fillId="10" borderId="101" xfId="45" applyNumberFormat="1" applyFont="1" applyFill="1" applyBorder="1" applyAlignment="1">
      <alignment horizontal="center" vertical="center"/>
    </xf>
    <xf numFmtId="184" fontId="33" fillId="10" borderId="45" xfId="45" applyNumberFormat="1" applyFont="1" applyFill="1" applyBorder="1" applyAlignment="1">
      <alignment horizontal="center" vertical="center"/>
    </xf>
    <xf numFmtId="49" fontId="41" fillId="10" borderId="165" xfId="45" applyNumberFormat="1" applyFont="1" applyFill="1" applyBorder="1" applyAlignment="1">
      <alignment horizontal="center" vertical="center"/>
    </xf>
    <xf numFmtId="49" fontId="41" fillId="10" borderId="122" xfId="45" applyNumberFormat="1" applyFont="1" applyFill="1" applyBorder="1" applyAlignment="1">
      <alignment horizontal="center" vertical="center"/>
    </xf>
    <xf numFmtId="10" fontId="8" fillId="6" borderId="43" xfId="30" applyNumberFormat="1" applyFont="1" applyFill="1" applyBorder="1" applyAlignment="1">
      <alignment horizontal="center" vertical="center"/>
    </xf>
    <xf numFmtId="10" fontId="8" fillId="6" borderId="59" xfId="30" applyNumberFormat="1" applyFont="1" applyFill="1" applyBorder="1" applyAlignment="1">
      <alignment horizontal="center" vertical="center"/>
    </xf>
    <xf numFmtId="10" fontId="8" fillId="6" borderId="101" xfId="30" applyNumberFormat="1" applyFont="1" applyFill="1" applyBorder="1" applyAlignment="1">
      <alignment horizontal="center" vertical="center"/>
    </xf>
    <xf numFmtId="10" fontId="6" fillId="0" borderId="93" xfId="45" applyNumberFormat="1" applyFont="1" applyBorder="1" applyAlignment="1">
      <alignment horizontal="center" vertical="center"/>
    </xf>
    <xf numFmtId="248" fontId="6" fillId="0" borderId="0" xfId="45" applyNumberFormat="1" applyFont="1" applyAlignment="1">
      <alignment horizontal="center" vertical="center"/>
    </xf>
    <xf numFmtId="182" fontId="41" fillId="15" borderId="77" xfId="45" applyNumberFormat="1" applyFont="1" applyFill="1" applyBorder="1" applyAlignment="1">
      <alignment horizontal="center" vertical="center"/>
    </xf>
    <xf numFmtId="182" fontId="41" fillId="15" borderId="80" xfId="45" applyNumberFormat="1" applyFont="1" applyFill="1" applyBorder="1" applyAlignment="1">
      <alignment horizontal="center" vertical="center"/>
    </xf>
    <xf numFmtId="184" fontId="64" fillId="15" borderId="105" xfId="45" applyNumberFormat="1" applyFont="1" applyFill="1" applyBorder="1" applyAlignment="1">
      <alignment horizontal="center" vertical="center"/>
    </xf>
    <xf numFmtId="184" fontId="64" fillId="15" borderId="45" xfId="45" applyNumberFormat="1" applyFont="1" applyFill="1" applyBorder="1" applyAlignment="1">
      <alignment horizontal="center" vertical="center"/>
    </xf>
    <xf numFmtId="10" fontId="42" fillId="15" borderId="105" xfId="30" applyNumberFormat="1" applyFont="1" applyFill="1" applyBorder="1" applyAlignment="1">
      <alignment horizontal="center" vertical="center"/>
    </xf>
    <xf numFmtId="10" fontId="42" fillId="15" borderId="45" xfId="30" applyNumberFormat="1" applyFont="1" applyFill="1" applyBorder="1" applyAlignment="1">
      <alignment horizontal="center" vertical="center"/>
    </xf>
    <xf numFmtId="184" fontId="33" fillId="10" borderId="43" xfId="45" applyNumberFormat="1" applyFont="1" applyFill="1" applyBorder="1" applyAlignment="1">
      <alignment horizontal="center" vertical="center"/>
    </xf>
    <xf numFmtId="49" fontId="41" fillId="10" borderId="121" xfId="45" applyNumberFormat="1" applyFont="1" applyFill="1" applyBorder="1" applyAlignment="1">
      <alignment horizontal="center" vertical="center"/>
    </xf>
    <xf numFmtId="180" fontId="40" fillId="15" borderId="46" xfId="45" applyNumberFormat="1" applyFont="1" applyFill="1" applyBorder="1" applyAlignment="1">
      <alignment horizontal="center" vertical="center"/>
    </xf>
    <xf numFmtId="180" fontId="40" fillId="15" borderId="81" xfId="45" applyNumberFormat="1" applyFont="1" applyFill="1" applyBorder="1" applyAlignment="1">
      <alignment horizontal="center" vertical="center"/>
    </xf>
    <xf numFmtId="0" fontId="38" fillId="15" borderId="5" xfId="0" applyFont="1" applyFill="1" applyBorder="1" applyAlignment="1">
      <alignment vertical="center" wrapText="1"/>
    </xf>
    <xf numFmtId="0" fontId="38" fillId="15" borderId="87" xfId="0" applyFont="1" applyFill="1" applyBorder="1" applyAlignment="1">
      <alignment vertical="center" wrapText="1"/>
    </xf>
    <xf numFmtId="0" fontId="9" fillId="15" borderId="66" xfId="45" applyFont="1" applyFill="1" applyBorder="1" applyAlignment="1">
      <alignment horizontal="center" vertical="center"/>
    </xf>
    <xf numFmtId="0" fontId="9" fillId="15" borderId="109" xfId="45" applyFont="1" applyFill="1" applyBorder="1" applyAlignment="1">
      <alignment horizontal="center" vertical="center"/>
    </xf>
    <xf numFmtId="0" fontId="9" fillId="15" borderId="92" xfId="45" applyFont="1" applyFill="1" applyBorder="1" applyAlignment="1">
      <alignment horizontal="center" vertical="center"/>
    </xf>
    <xf numFmtId="0" fontId="9" fillId="15" borderId="81" xfId="45" applyFont="1" applyFill="1" applyBorder="1" applyAlignment="1">
      <alignment horizontal="center" vertical="center"/>
    </xf>
    <xf numFmtId="178" fontId="8" fillId="15" borderId="0" xfId="45" applyNumberFormat="1" applyFont="1" applyFill="1" applyAlignment="1">
      <alignment horizontal="center" vertical="center"/>
    </xf>
    <xf numFmtId="178" fontId="8" fillId="15" borderId="47" xfId="45" applyNumberFormat="1" applyFont="1" applyFill="1" applyBorder="1" applyAlignment="1">
      <alignment horizontal="center" vertical="center"/>
    </xf>
    <xf numFmtId="178" fontId="8" fillId="15" borderId="39" xfId="45" applyNumberFormat="1" applyFont="1" applyFill="1" applyBorder="1" applyAlignment="1">
      <alignment horizontal="center" vertical="center"/>
    </xf>
    <xf numFmtId="178" fontId="8" fillId="15" borderId="44" xfId="45" applyNumberFormat="1" applyFont="1" applyFill="1" applyBorder="1" applyAlignment="1">
      <alignment horizontal="center" vertical="center"/>
    </xf>
    <xf numFmtId="178" fontId="8" fillId="15" borderId="109" xfId="45" applyNumberFormat="1" applyFont="1" applyFill="1" applyBorder="1" applyAlignment="1">
      <alignment horizontal="center" vertical="center"/>
    </xf>
    <xf numFmtId="0" fontId="38" fillId="15" borderId="36" xfId="0" applyFont="1" applyFill="1" applyBorder="1" applyAlignment="1">
      <alignment vertical="center" wrapText="1"/>
    </xf>
    <xf numFmtId="0" fontId="38" fillId="15" borderId="73" xfId="0" applyFont="1" applyFill="1" applyBorder="1" applyAlignment="1">
      <alignment vertical="center" wrapText="1"/>
    </xf>
    <xf numFmtId="180" fontId="39" fillId="15" borderId="5" xfId="36" applyNumberFormat="1" applyFont="1" applyFill="1" applyBorder="1" applyAlignment="1">
      <alignment horizontal="center" vertical="center"/>
    </xf>
    <xf numFmtId="180" fontId="39" fillId="15" borderId="81" xfId="36" applyNumberFormat="1" applyFont="1" applyFill="1" applyBorder="1" applyAlignment="1">
      <alignment horizontal="center" vertical="center"/>
    </xf>
    <xf numFmtId="180" fontId="39" fillId="15" borderId="46" xfId="36" applyNumberFormat="1" applyFont="1" applyFill="1" applyBorder="1" applyAlignment="1">
      <alignment horizontal="center" vertical="center"/>
    </xf>
    <xf numFmtId="1" fontId="9" fillId="10" borderId="78" xfId="45" applyNumberFormat="1" applyFont="1" applyFill="1" applyBorder="1" applyAlignment="1">
      <alignment horizontal="center" vertical="center"/>
    </xf>
    <xf numFmtId="1" fontId="9" fillId="10" borderId="80" xfId="45" applyNumberFormat="1" applyFont="1" applyFill="1" applyBorder="1" applyAlignment="1">
      <alignment horizontal="center" vertical="center"/>
    </xf>
    <xf numFmtId="178" fontId="8" fillId="6" borderId="157" xfId="0" applyNumberFormat="1" applyFont="1" applyFill="1" applyBorder="1" applyAlignment="1">
      <alignment horizontal="center" vertical="center"/>
    </xf>
    <xf numFmtId="178" fontId="8" fillId="6" borderId="96" xfId="0" applyNumberFormat="1" applyFont="1" applyFill="1" applyBorder="1" applyAlignment="1">
      <alignment horizontal="center" vertical="center"/>
    </xf>
    <xf numFmtId="264" fontId="9" fillId="22" borderId="90" xfId="0" applyNumberFormat="1" applyFont="1" applyFill="1" applyBorder="1" applyAlignment="1">
      <alignment horizontal="center" vertical="center"/>
    </xf>
    <xf numFmtId="264" fontId="9" fillId="22" borderId="69" xfId="0" applyNumberFormat="1" applyFont="1" applyFill="1" applyBorder="1" applyAlignment="1">
      <alignment horizontal="center" vertical="center"/>
    </xf>
    <xf numFmtId="265" fontId="4" fillId="0" borderId="139" xfId="45" applyNumberFormat="1" applyFont="1" applyBorder="1" applyAlignment="1">
      <alignment horizontal="center" vertical="center"/>
    </xf>
    <xf numFmtId="0" fontId="4" fillId="0" borderId="72" xfId="45" applyFont="1" applyBorder="1" applyAlignment="1">
      <alignment horizontal="center" vertical="center"/>
    </xf>
    <xf numFmtId="184" fontId="33" fillId="20" borderId="43" xfId="45" applyNumberFormat="1" applyFont="1" applyFill="1" applyBorder="1" applyAlignment="1">
      <alignment horizontal="center" vertical="center"/>
    </xf>
    <xf numFmtId="184" fontId="33" fillId="20" borderId="59" xfId="45" applyNumberFormat="1" applyFont="1" applyFill="1" applyBorder="1" applyAlignment="1">
      <alignment horizontal="center" vertical="center"/>
    </xf>
    <xf numFmtId="184" fontId="33" fillId="20" borderId="101" xfId="45" applyNumberFormat="1" applyFont="1" applyFill="1" applyBorder="1" applyAlignment="1">
      <alignment horizontal="center" vertical="center"/>
    </xf>
    <xf numFmtId="184" fontId="33" fillId="0" borderId="43" xfId="45" applyNumberFormat="1" applyFont="1" applyBorder="1" applyAlignment="1">
      <alignment horizontal="center" vertical="center"/>
    </xf>
    <xf numFmtId="184" fontId="33" fillId="0" borderId="59" xfId="45" applyNumberFormat="1" applyFont="1" applyBorder="1" applyAlignment="1">
      <alignment horizontal="center" vertical="center"/>
    </xf>
    <xf numFmtId="184" fontId="33" fillId="0" borderId="101" xfId="45" applyNumberFormat="1" applyFont="1" applyBorder="1" applyAlignment="1">
      <alignment horizontal="center" vertical="center"/>
    </xf>
    <xf numFmtId="184" fontId="9" fillId="10" borderId="43" xfId="45" applyNumberFormat="1" applyFont="1" applyFill="1" applyBorder="1" applyAlignment="1">
      <alignment horizontal="center" vertical="center"/>
    </xf>
    <xf numFmtId="184" fontId="9" fillId="10" borderId="45" xfId="45" applyNumberFormat="1" applyFont="1" applyFill="1" applyBorder="1" applyAlignment="1">
      <alignment horizontal="center" vertical="center"/>
    </xf>
    <xf numFmtId="184" fontId="41" fillId="15" borderId="105" xfId="45" applyNumberFormat="1" applyFont="1" applyFill="1" applyBorder="1" applyAlignment="1">
      <alignment horizontal="center" vertical="center"/>
    </xf>
    <xf numFmtId="184" fontId="41" fillId="15" borderId="45" xfId="45" applyNumberFormat="1" applyFont="1" applyFill="1" applyBorder="1" applyAlignment="1">
      <alignment horizontal="center" vertical="center"/>
    </xf>
    <xf numFmtId="184" fontId="9" fillId="10" borderId="101" xfId="45" applyNumberFormat="1" applyFont="1" applyFill="1" applyBorder="1" applyAlignment="1">
      <alignment horizontal="center" vertical="center"/>
    </xf>
    <xf numFmtId="184" fontId="64" fillId="15" borderId="246" xfId="45" applyNumberFormat="1" applyFont="1" applyFill="1" applyBorder="1" applyAlignment="1">
      <alignment horizontal="center" vertical="center"/>
    </xf>
    <xf numFmtId="184" fontId="64" fillId="15" borderId="248" xfId="45" applyNumberFormat="1" applyFont="1" applyFill="1" applyBorder="1" applyAlignment="1">
      <alignment horizontal="center" vertical="center"/>
    </xf>
    <xf numFmtId="10" fontId="42" fillId="15" borderId="247" xfId="30" applyNumberFormat="1" applyFont="1" applyFill="1" applyBorder="1" applyAlignment="1">
      <alignment horizontal="center" vertical="center"/>
    </xf>
    <xf numFmtId="10" fontId="42" fillId="15" borderId="249" xfId="30" applyNumberFormat="1" applyFont="1" applyFill="1" applyBorder="1" applyAlignment="1">
      <alignment horizontal="center" vertical="center"/>
    </xf>
    <xf numFmtId="184" fontId="9" fillId="0" borderId="239" xfId="45" applyNumberFormat="1" applyFont="1" applyBorder="1" applyAlignment="1">
      <alignment horizontal="center" vertical="center"/>
    </xf>
    <xf numFmtId="184" fontId="9" fillId="0" borderId="241" xfId="45" applyNumberFormat="1" applyFont="1" applyBorder="1" applyAlignment="1">
      <alignment horizontal="center" vertical="center"/>
    </xf>
    <xf numFmtId="10" fontId="8" fillId="0" borderId="243" xfId="30" applyNumberFormat="1" applyFont="1" applyFill="1" applyBorder="1" applyAlignment="1">
      <alignment horizontal="center" vertical="center"/>
    </xf>
    <xf numFmtId="10" fontId="8" fillId="0" borderId="242" xfId="30" applyNumberFormat="1" applyFont="1" applyFill="1" applyBorder="1" applyAlignment="1">
      <alignment horizontal="center" vertical="center"/>
    </xf>
    <xf numFmtId="184" fontId="9" fillId="0" borderId="251" xfId="45" applyNumberFormat="1" applyFont="1" applyBorder="1" applyAlignment="1">
      <alignment horizontal="center" vertical="center"/>
    </xf>
    <xf numFmtId="184" fontId="33" fillId="0" borderId="251" xfId="45" applyNumberFormat="1" applyFont="1" applyBorder="1" applyAlignment="1">
      <alignment horizontal="center" vertical="center"/>
    </xf>
    <xf numFmtId="184" fontId="33" fillId="0" borderId="241" xfId="45" applyNumberFormat="1" applyFont="1" applyBorder="1" applyAlignment="1">
      <alignment horizontal="center" vertical="center"/>
    </xf>
    <xf numFmtId="184" fontId="33" fillId="0" borderId="239" xfId="45" applyNumberFormat="1" applyFont="1" applyBorder="1" applyAlignment="1">
      <alignment horizontal="center" vertical="center"/>
    </xf>
    <xf numFmtId="184" fontId="33" fillId="10" borderId="239" xfId="45" applyNumberFormat="1" applyFont="1" applyFill="1" applyBorder="1" applyAlignment="1">
      <alignment horizontal="center" vertical="center"/>
    </xf>
    <xf numFmtId="184" fontId="33" fillId="10" borderId="244" xfId="45" applyNumberFormat="1" applyFont="1" applyFill="1" applyBorder="1" applyAlignment="1">
      <alignment horizontal="center" vertical="center"/>
    </xf>
    <xf numFmtId="184" fontId="33" fillId="10" borderId="251" xfId="45" applyNumberFormat="1" applyFont="1" applyFill="1" applyBorder="1" applyAlignment="1">
      <alignment horizontal="center" vertical="center"/>
    </xf>
    <xf numFmtId="184" fontId="9" fillId="0" borderId="246" xfId="45" applyNumberFormat="1" applyFont="1" applyBorder="1" applyAlignment="1">
      <alignment horizontal="center" vertical="center"/>
    </xf>
    <xf numFmtId="10" fontId="8" fillId="0" borderId="247" xfId="30" applyNumberFormat="1" applyFont="1" applyFill="1" applyBorder="1" applyAlignment="1">
      <alignment horizontal="center" vertical="center"/>
    </xf>
    <xf numFmtId="182" fontId="5" fillId="0" borderId="237" xfId="45" applyNumberFormat="1" applyFont="1" applyBorder="1" applyAlignment="1">
      <alignment horizontal="center" vertical="center"/>
    </xf>
    <xf numFmtId="182" fontId="5" fillId="0" borderId="185" xfId="45" applyNumberFormat="1" applyFont="1" applyBorder="1" applyAlignment="1">
      <alignment horizontal="center" vertical="center"/>
    </xf>
    <xf numFmtId="182" fontId="5" fillId="0" borderId="238" xfId="45" applyNumberFormat="1" applyFont="1" applyBorder="1" applyAlignment="1">
      <alignment horizontal="center" vertical="center"/>
    </xf>
    <xf numFmtId="182" fontId="5" fillId="0" borderId="187" xfId="45" applyNumberFormat="1" applyFont="1" applyBorder="1" applyAlignment="1">
      <alignment horizontal="center" vertical="center"/>
    </xf>
    <xf numFmtId="184" fontId="33" fillId="20" borderId="239" xfId="45" applyNumberFormat="1" applyFont="1" applyFill="1" applyBorder="1" applyAlignment="1">
      <alignment horizontal="center" vertical="center"/>
    </xf>
    <xf numFmtId="184" fontId="33" fillId="20" borderId="241" xfId="45" applyNumberFormat="1" applyFont="1" applyFill="1" applyBorder="1" applyAlignment="1">
      <alignment horizontal="center" vertical="center"/>
    </xf>
    <xf numFmtId="184" fontId="9" fillId="20" borderId="239" xfId="45" applyNumberFormat="1" applyFont="1" applyFill="1" applyBorder="1" applyAlignment="1">
      <alignment horizontal="center" vertical="center"/>
    </xf>
    <xf numFmtId="184" fontId="9" fillId="20" borderId="241" xfId="45" applyNumberFormat="1" applyFont="1" applyFill="1" applyBorder="1" applyAlignment="1">
      <alignment horizontal="center" vertical="center"/>
    </xf>
    <xf numFmtId="10" fontId="8" fillId="20" borderId="243" xfId="30" applyNumberFormat="1" applyFont="1" applyFill="1" applyBorder="1" applyAlignment="1">
      <alignment horizontal="center" vertical="center"/>
    </xf>
    <xf numFmtId="10" fontId="8" fillId="20" borderId="242" xfId="30" applyNumberFormat="1" applyFont="1" applyFill="1" applyBorder="1" applyAlignment="1">
      <alignment horizontal="center" vertical="center"/>
    </xf>
    <xf numFmtId="184" fontId="5" fillId="0" borderId="183" xfId="45" applyNumberFormat="1" applyFont="1" applyBorder="1" applyAlignment="1">
      <alignment horizontal="center" vertical="center"/>
    </xf>
    <xf numFmtId="0" fontId="5" fillId="0" borderId="183" xfId="45" applyFont="1" applyBorder="1" applyAlignment="1">
      <alignment horizontal="center" vertical="center"/>
    </xf>
    <xf numFmtId="0" fontId="71" fillId="0" borderId="77" xfId="45" applyFont="1" applyBorder="1" applyAlignment="1">
      <alignment horizontal="center" vertical="center" wrapText="1"/>
    </xf>
    <xf numFmtId="0" fontId="71" fillId="0" borderId="80" xfId="45" applyFont="1" applyBorder="1" applyAlignment="1">
      <alignment horizontal="center" vertical="center" wrapText="1"/>
    </xf>
    <xf numFmtId="0" fontId="71" fillId="0" borderId="78" xfId="45" applyFont="1" applyBorder="1" applyAlignment="1">
      <alignment horizontal="center" vertical="center" wrapText="1"/>
    </xf>
    <xf numFmtId="10" fontId="8" fillId="0" borderId="47" xfId="30" applyNumberFormat="1" applyFont="1" applyFill="1" applyBorder="1" applyAlignment="1">
      <alignment horizontal="center" vertical="center"/>
    </xf>
    <xf numFmtId="10" fontId="8" fillId="0" borderId="6" xfId="30" applyNumberFormat="1" applyFont="1" applyFill="1" applyBorder="1" applyAlignment="1">
      <alignment horizontal="center" vertical="center"/>
    </xf>
    <xf numFmtId="10" fontId="8" fillId="10" borderId="190" xfId="30" applyNumberFormat="1" applyFont="1" applyFill="1" applyBorder="1" applyAlignment="1">
      <alignment horizontal="center" vertical="center"/>
    </xf>
    <xf numFmtId="10" fontId="8" fillId="10" borderId="233" xfId="30" applyNumberFormat="1" applyFont="1" applyFill="1" applyBorder="1" applyAlignment="1">
      <alignment horizontal="center" vertical="center"/>
    </xf>
    <xf numFmtId="10" fontId="8" fillId="10" borderId="232" xfId="30" applyNumberFormat="1" applyFont="1" applyFill="1" applyBorder="1" applyAlignment="1">
      <alignment horizontal="center" vertical="center"/>
    </xf>
    <xf numFmtId="0" fontId="8" fillId="0" borderId="105" xfId="45" applyFont="1" applyBorder="1" applyAlignment="1">
      <alignment horizontal="center" vertical="center"/>
    </xf>
    <xf numFmtId="0" fontId="8" fillId="0" borderId="59" xfId="45" applyFont="1" applyBorder="1" applyAlignment="1">
      <alignment horizontal="center" vertical="center"/>
    </xf>
    <xf numFmtId="10" fontId="42" fillId="0" borderId="43" xfId="30" applyNumberFormat="1" applyFont="1" applyFill="1" applyBorder="1" applyAlignment="1">
      <alignment horizontal="center" vertical="center"/>
    </xf>
    <xf numFmtId="10" fontId="42" fillId="0" borderId="59" xfId="30" applyNumberFormat="1" applyFont="1" applyFill="1" applyBorder="1" applyAlignment="1">
      <alignment horizontal="center" vertical="center"/>
    </xf>
    <xf numFmtId="10" fontId="8" fillId="10" borderId="26" xfId="30" applyNumberFormat="1" applyFont="1" applyFill="1" applyBorder="1" applyAlignment="1">
      <alignment horizontal="center" vertical="center"/>
    </xf>
    <xf numFmtId="10" fontId="8" fillId="0" borderId="33" xfId="30" applyNumberFormat="1" applyFont="1" applyFill="1" applyBorder="1" applyAlignment="1">
      <alignment horizontal="center" vertical="center"/>
    </xf>
    <xf numFmtId="1" fontId="6" fillId="0" borderId="190" xfId="45" applyNumberFormat="1" applyFont="1" applyBorder="1" applyAlignment="1">
      <alignment horizontal="center" vertical="center"/>
    </xf>
    <xf numFmtId="0" fontId="6" fillId="0" borderId="190" xfId="45" applyFont="1" applyBorder="1" applyAlignment="1">
      <alignment horizontal="center" vertical="center"/>
    </xf>
    <xf numFmtId="10" fontId="42" fillId="20" borderId="101" xfId="30" applyNumberFormat="1" applyFont="1" applyFill="1" applyBorder="1" applyAlignment="1">
      <alignment horizontal="center" vertical="center"/>
    </xf>
    <xf numFmtId="10" fontId="42" fillId="20" borderId="59" xfId="30" applyNumberFormat="1" applyFont="1" applyFill="1" applyBorder="1" applyAlignment="1">
      <alignment horizontal="center" vertical="center"/>
    </xf>
    <xf numFmtId="10" fontId="8" fillId="5" borderId="232" xfId="30" applyNumberFormat="1" applyFont="1" applyFill="1" applyBorder="1" applyAlignment="1">
      <alignment horizontal="center" vertical="center"/>
    </xf>
    <xf numFmtId="10" fontId="8" fillId="5" borderId="26" xfId="30" applyNumberFormat="1" applyFont="1" applyFill="1" applyBorder="1" applyAlignment="1">
      <alignment horizontal="center" vertical="center"/>
    </xf>
    <xf numFmtId="10" fontId="104" fillId="20" borderId="101" xfId="30" applyNumberFormat="1" applyFont="1" applyFill="1" applyBorder="1" applyAlignment="1">
      <alignment horizontal="center" vertical="center"/>
    </xf>
    <xf numFmtId="10" fontId="104" fillId="20" borderId="59" xfId="30" applyNumberFormat="1" applyFont="1" applyFill="1" applyBorder="1" applyAlignment="1">
      <alignment horizontal="center" vertical="center"/>
    </xf>
    <xf numFmtId="10" fontId="8" fillId="5" borderId="233" xfId="30" applyNumberFormat="1" applyFont="1" applyFill="1" applyBorder="1" applyAlignment="1">
      <alignment horizontal="center" vertical="center"/>
    </xf>
    <xf numFmtId="178" fontId="69" fillId="20" borderId="161" xfId="45" applyNumberFormat="1" applyFont="1" applyFill="1" applyBorder="1" applyAlignment="1">
      <alignment horizontal="center" vertical="center"/>
    </xf>
    <xf numFmtId="178" fontId="69" fillId="20" borderId="33" xfId="45" applyNumberFormat="1" applyFont="1" applyFill="1" applyBorder="1" applyAlignment="1">
      <alignment horizontal="center" vertical="center"/>
    </xf>
    <xf numFmtId="178" fontId="69" fillId="20" borderId="0" xfId="45" applyNumberFormat="1" applyFont="1" applyFill="1" applyAlignment="1">
      <alignment horizontal="center" vertical="center"/>
    </xf>
    <xf numFmtId="178" fontId="69" fillId="20" borderId="47" xfId="45" applyNumberFormat="1" applyFont="1" applyFill="1" applyBorder="1" applyAlignment="1">
      <alignment horizontal="center" vertical="center"/>
    </xf>
    <xf numFmtId="178" fontId="69" fillId="20" borderId="29" xfId="45" applyNumberFormat="1" applyFont="1" applyFill="1" applyBorder="1" applyAlignment="1">
      <alignment horizontal="center" vertical="center"/>
    </xf>
    <xf numFmtId="178" fontId="69" fillId="20" borderId="6" xfId="45" applyNumberFormat="1" applyFont="1" applyFill="1" applyBorder="1" applyAlignment="1">
      <alignment horizontal="center" vertical="center"/>
    </xf>
    <xf numFmtId="10" fontId="8" fillId="19" borderId="105" xfId="31" applyNumberFormat="1" applyFont="1" applyFill="1" applyBorder="1" applyAlignment="1">
      <alignment horizontal="center" vertical="center"/>
    </xf>
    <xf numFmtId="10" fontId="8" fillId="19" borderId="59" xfId="31" applyNumberFormat="1" applyFont="1" applyFill="1" applyBorder="1" applyAlignment="1">
      <alignment horizontal="center" vertical="center"/>
    </xf>
    <xf numFmtId="182" fontId="6" fillId="0" borderId="25" xfId="45" applyNumberFormat="1" applyFont="1" applyBorder="1" applyAlignment="1">
      <alignment horizontal="center" vertical="center"/>
    </xf>
    <xf numFmtId="182" fontId="6" fillId="0" borderId="190" xfId="45" applyNumberFormat="1" applyFont="1" applyBorder="1" applyAlignment="1">
      <alignment horizontal="center" vertical="center"/>
    </xf>
    <xf numFmtId="177" fontId="8" fillId="19" borderId="44" xfId="45" applyNumberFormat="1" applyFont="1" applyFill="1" applyBorder="1" applyAlignment="1">
      <alignment horizontal="center" vertical="center"/>
    </xf>
    <xf numFmtId="177" fontId="8" fillId="19" borderId="36" xfId="45" applyNumberFormat="1" applyFont="1" applyFill="1" applyBorder="1" applyAlignment="1">
      <alignment horizontal="center" vertical="center"/>
    </xf>
    <xf numFmtId="177" fontId="8" fillId="19" borderId="109" xfId="45" applyNumberFormat="1" applyFont="1" applyFill="1" applyBorder="1" applyAlignment="1">
      <alignment horizontal="center" vertical="center"/>
    </xf>
    <xf numFmtId="177" fontId="8" fillId="19" borderId="39" xfId="45" applyNumberFormat="1" applyFont="1" applyFill="1" applyBorder="1" applyAlignment="1">
      <alignment horizontal="center" vertical="center"/>
    </xf>
    <xf numFmtId="177" fontId="8" fillId="19" borderId="0" xfId="45" applyNumberFormat="1" applyFont="1" applyFill="1" applyAlignment="1">
      <alignment horizontal="center" vertical="center"/>
    </xf>
    <xf numFmtId="177" fontId="8" fillId="19" borderId="47" xfId="45" applyNumberFormat="1" applyFont="1" applyFill="1" applyBorder="1" applyAlignment="1">
      <alignment horizontal="center" vertical="center"/>
    </xf>
    <xf numFmtId="177" fontId="8" fillId="19" borderId="37" xfId="45" applyNumberFormat="1" applyFont="1" applyFill="1" applyBorder="1" applyAlignment="1">
      <alignment horizontal="center" vertical="center"/>
    </xf>
    <xf numFmtId="177" fontId="8" fillId="19" borderId="29" xfId="45" applyNumberFormat="1" applyFont="1" applyFill="1" applyBorder="1" applyAlignment="1">
      <alignment horizontal="center" vertical="center"/>
    </xf>
    <xf numFmtId="177" fontId="8" fillId="19" borderId="6" xfId="45" applyNumberFormat="1" applyFont="1" applyFill="1" applyBorder="1" applyAlignment="1">
      <alignment horizontal="center" vertical="center"/>
    </xf>
    <xf numFmtId="176" fontId="41" fillId="11" borderId="33" xfId="45" applyNumberFormat="1" applyFont="1" applyFill="1" applyBorder="1" applyAlignment="1">
      <alignment horizontal="center" vertical="center"/>
    </xf>
    <xf numFmtId="176" fontId="41" fillId="11" borderId="5" xfId="45" applyNumberFormat="1" applyFont="1" applyFill="1" applyBorder="1" applyAlignment="1">
      <alignment horizontal="center" vertical="center"/>
    </xf>
    <xf numFmtId="176" fontId="41" fillId="11" borderId="81" xfId="45" applyNumberFormat="1" applyFont="1" applyFill="1" applyBorder="1" applyAlignment="1">
      <alignment horizontal="center" vertical="center"/>
    </xf>
    <xf numFmtId="178" fontId="9" fillId="6" borderId="38" xfId="45" applyNumberFormat="1" applyFont="1" applyFill="1" applyBorder="1" applyAlignment="1">
      <alignment horizontal="center" vertical="center"/>
    </xf>
    <xf numFmtId="178" fontId="9" fillId="6" borderId="46" xfId="45" applyNumberFormat="1" applyFont="1" applyFill="1" applyBorder="1" applyAlignment="1">
      <alignment horizontal="center" vertical="center"/>
    </xf>
    <xf numFmtId="180" fontId="9" fillId="6" borderId="33" xfId="45" applyNumberFormat="1" applyFont="1" applyFill="1" applyBorder="1" applyAlignment="1">
      <alignment horizontal="center" vertical="center"/>
    </xf>
    <xf numFmtId="180" fontId="9" fillId="6" borderId="81" xfId="45" applyNumberFormat="1" applyFont="1" applyFill="1" applyBorder="1" applyAlignment="1">
      <alignment horizontal="center" vertical="center"/>
    </xf>
    <xf numFmtId="10" fontId="8" fillId="6" borderId="165" xfId="30" applyNumberFormat="1" applyFont="1" applyFill="1" applyBorder="1" applyAlignment="1">
      <alignment horizontal="center" vertical="center"/>
    </xf>
    <xf numFmtId="10" fontId="8" fillId="6" borderId="122" xfId="30" applyNumberFormat="1" applyFont="1" applyFill="1" applyBorder="1" applyAlignment="1">
      <alignment horizontal="center" vertical="center"/>
    </xf>
    <xf numFmtId="0" fontId="6" fillId="0" borderId="90" xfId="45" applyFont="1" applyBorder="1" applyAlignment="1">
      <alignment horizontal="center" vertical="center"/>
    </xf>
    <xf numFmtId="0" fontId="6" fillId="0" borderId="27" xfId="45" applyFont="1" applyBorder="1" applyAlignment="1">
      <alignment horizontal="center" vertical="center"/>
    </xf>
    <xf numFmtId="191" fontId="8" fillId="9" borderId="114" xfId="0" applyNumberFormat="1" applyFont="1" applyFill="1" applyBorder="1" applyAlignment="1">
      <alignment horizontal="center" vertical="center"/>
    </xf>
    <xf numFmtId="191" fontId="8" fillId="9" borderId="133" xfId="0" applyNumberFormat="1" applyFont="1" applyFill="1" applyBorder="1" applyAlignment="1">
      <alignment horizontal="center" vertical="center"/>
    </xf>
    <xf numFmtId="176" fontId="8" fillId="9" borderId="90" xfId="0" applyNumberFormat="1" applyFont="1" applyFill="1" applyBorder="1" applyAlignment="1">
      <alignment horizontal="center" vertical="center"/>
    </xf>
    <xf numFmtId="176" fontId="8" fillId="9" borderId="27" xfId="0" applyNumberFormat="1" applyFont="1" applyFill="1" applyBorder="1" applyAlignment="1">
      <alignment horizontal="center" vertical="center"/>
    </xf>
    <xf numFmtId="190" fontId="8" fillId="6" borderId="66" xfId="0" applyNumberFormat="1" applyFont="1" applyFill="1" applyBorder="1" applyAlignment="1">
      <alignment horizontal="center" vertical="center"/>
    </xf>
    <xf numFmtId="190" fontId="8" fillId="6" borderId="109" xfId="0" applyNumberFormat="1" applyFont="1" applyFill="1" applyBorder="1" applyAlignment="1">
      <alignment horizontal="center" vertical="center"/>
    </xf>
    <xf numFmtId="176" fontId="32" fillId="14" borderId="3" xfId="0" applyNumberFormat="1" applyFont="1" applyFill="1" applyBorder="1" applyAlignment="1">
      <alignment horizontal="center" vertical="center"/>
    </xf>
    <xf numFmtId="176" fontId="32" fillId="14" borderId="27" xfId="0" applyNumberFormat="1" applyFont="1" applyFill="1" applyBorder="1" applyAlignment="1">
      <alignment horizontal="center" vertical="center"/>
    </xf>
    <xf numFmtId="176" fontId="8" fillId="6" borderId="174" xfId="0" applyNumberFormat="1" applyFont="1" applyFill="1" applyBorder="1" applyAlignment="1">
      <alignment horizontal="center" vertical="center"/>
    </xf>
    <xf numFmtId="178" fontId="8" fillId="6" borderId="271" xfId="0" applyNumberFormat="1" applyFont="1" applyFill="1" applyBorder="1" applyAlignment="1">
      <alignment horizontal="center" vertical="center"/>
    </xf>
    <xf numFmtId="178" fontId="8" fillId="6" borderId="207" xfId="0" applyNumberFormat="1" applyFont="1" applyFill="1" applyBorder="1" applyAlignment="1">
      <alignment horizontal="center" vertical="center"/>
    </xf>
    <xf numFmtId="178" fontId="8" fillId="6" borderId="131" xfId="0" applyNumberFormat="1" applyFont="1" applyFill="1" applyBorder="1" applyAlignment="1">
      <alignment horizontal="center" vertical="center"/>
    </xf>
    <xf numFmtId="176" fontId="9" fillId="6" borderId="157" xfId="0" applyNumberFormat="1" applyFont="1" applyFill="1" applyBorder="1" applyAlignment="1">
      <alignment horizontal="center" vertical="center"/>
    </xf>
    <xf numFmtId="176" fontId="9" fillId="6" borderId="131" xfId="0" applyNumberFormat="1" applyFont="1" applyFill="1" applyBorder="1" applyAlignment="1">
      <alignment horizontal="center" vertical="center"/>
    </xf>
    <xf numFmtId="0" fontId="6" fillId="0" borderId="270" xfId="45" applyFont="1" applyBorder="1" applyAlignment="1">
      <alignment horizontal="center" vertical="center"/>
    </xf>
    <xf numFmtId="0" fontId="6" fillId="0" borderId="265" xfId="45" applyFont="1" applyBorder="1" applyAlignment="1">
      <alignment horizontal="center" vertical="center"/>
    </xf>
    <xf numFmtId="2" fontId="36" fillId="6" borderId="101" xfId="0" applyNumberFormat="1" applyFont="1" applyFill="1" applyBorder="1" applyAlignment="1">
      <alignment horizontal="center" vertical="center" wrapText="1"/>
    </xf>
    <xf numFmtId="2" fontId="36" fillId="6" borderId="59" xfId="0" applyNumberFormat="1" applyFont="1" applyFill="1" applyBorder="1" applyAlignment="1">
      <alignment horizontal="center" vertical="center" wrapText="1"/>
    </xf>
    <xf numFmtId="264" fontId="9" fillId="0" borderId="90" xfId="0" applyNumberFormat="1" applyFont="1" applyBorder="1" applyAlignment="1">
      <alignment horizontal="center" vertical="center"/>
    </xf>
    <xf numFmtId="264" fontId="9" fillId="0" borderId="27" xfId="0" applyNumberFormat="1" applyFont="1" applyBorder="1" applyAlignment="1">
      <alignment horizontal="center" vertical="center"/>
    </xf>
    <xf numFmtId="10" fontId="8" fillId="6" borderId="180" xfId="30" applyNumberFormat="1" applyFont="1" applyFill="1" applyBorder="1" applyAlignment="1">
      <alignment horizontal="center" vertical="center"/>
    </xf>
    <xf numFmtId="10" fontId="8" fillId="6" borderId="8" xfId="30" applyNumberFormat="1" applyFont="1" applyFill="1" applyBorder="1" applyAlignment="1">
      <alignment horizontal="center" vertical="center"/>
    </xf>
    <xf numFmtId="176" fontId="35" fillId="0" borderId="3" xfId="0" applyNumberFormat="1" applyFont="1" applyBorder="1" applyAlignment="1">
      <alignment horizontal="center" vertical="center"/>
    </xf>
    <xf numFmtId="176" fontId="35" fillId="13" borderId="175" xfId="0" applyNumberFormat="1" applyFont="1" applyFill="1" applyBorder="1" applyAlignment="1">
      <alignment horizontal="distributed" vertical="center" indent="1"/>
    </xf>
    <xf numFmtId="176" fontId="35" fillId="13" borderId="176" xfId="0" applyNumberFormat="1" applyFont="1" applyFill="1" applyBorder="1" applyAlignment="1">
      <alignment horizontal="distributed" vertical="center" indent="1"/>
    </xf>
    <xf numFmtId="176" fontId="35" fillId="13" borderId="177" xfId="0" applyNumberFormat="1" applyFont="1" applyFill="1" applyBorder="1" applyAlignment="1">
      <alignment horizontal="distributed" vertical="center" indent="1"/>
    </xf>
    <xf numFmtId="176" fontId="8" fillId="6" borderId="131" xfId="0" applyNumberFormat="1" applyFont="1" applyFill="1" applyBorder="1" applyAlignment="1">
      <alignment horizontal="center" vertical="center"/>
    </xf>
    <xf numFmtId="255" fontId="9" fillId="20" borderId="16" xfId="45" applyNumberFormat="1" applyFont="1" applyFill="1" applyBorder="1" applyAlignment="1">
      <alignment horizontal="center" vertical="center"/>
    </xf>
    <xf numFmtId="255" fontId="9" fillId="20" borderId="7" xfId="45" applyNumberFormat="1" applyFont="1" applyFill="1" applyBorder="1" applyAlignment="1">
      <alignment horizontal="center" vertical="center"/>
    </xf>
    <xf numFmtId="255" fontId="9" fillId="20" borderId="19" xfId="45" applyNumberFormat="1" applyFont="1" applyFill="1" applyBorder="1" applyAlignment="1">
      <alignment horizontal="center" vertical="center"/>
    </xf>
    <xf numFmtId="229" fontId="9" fillId="6" borderId="67" xfId="45" applyNumberFormat="1" applyFont="1" applyFill="1" applyBorder="1" applyAlignment="1">
      <alignment horizontal="right" vertical="center" indent="4"/>
    </xf>
    <xf numFmtId="229" fontId="9" fillId="6" borderId="24" xfId="45" applyNumberFormat="1" applyFont="1" applyFill="1" applyBorder="1" applyAlignment="1">
      <alignment horizontal="right" vertical="center" indent="4"/>
    </xf>
    <xf numFmtId="176" fontId="35" fillId="12" borderId="175" xfId="0" applyNumberFormat="1" applyFont="1" applyFill="1" applyBorder="1" applyAlignment="1">
      <alignment horizontal="center" vertical="center" wrapText="1"/>
    </xf>
    <xf numFmtId="176" fontId="35" fillId="12" borderId="176" xfId="0" applyNumberFormat="1" applyFont="1" applyFill="1" applyBorder="1" applyAlignment="1">
      <alignment horizontal="center" vertical="center" wrapText="1"/>
    </xf>
    <xf numFmtId="176" fontId="35" fillId="12" borderId="177" xfId="0" applyNumberFormat="1" applyFont="1" applyFill="1" applyBorder="1" applyAlignment="1">
      <alignment horizontal="center" vertical="center" wrapText="1"/>
    </xf>
    <xf numFmtId="184" fontId="41" fillId="20" borderId="8" xfId="0" applyNumberFormat="1" applyFont="1" applyFill="1" applyBorder="1" applyAlignment="1">
      <alignment horizontal="center" vertical="center" wrapText="1"/>
    </xf>
    <xf numFmtId="184" fontId="41" fillId="20" borderId="12" xfId="0" applyNumberFormat="1" applyFont="1" applyFill="1" applyBorder="1" applyAlignment="1">
      <alignment horizontal="center" vertical="center" wrapText="1"/>
    </xf>
    <xf numFmtId="184" fontId="41" fillId="20" borderId="18" xfId="0" applyNumberFormat="1" applyFont="1" applyFill="1" applyBorder="1" applyAlignment="1">
      <alignment horizontal="center" vertical="center" wrapText="1"/>
    </xf>
    <xf numFmtId="180" fontId="40" fillId="0" borderId="255" xfId="45" applyNumberFormat="1" applyFont="1" applyBorder="1" applyAlignment="1">
      <alignment horizontal="center" vertical="center"/>
    </xf>
    <xf numFmtId="180" fontId="40" fillId="0" borderId="160" xfId="45" applyNumberFormat="1" applyFont="1" applyBorder="1" applyAlignment="1">
      <alignment horizontal="center" vertical="center"/>
    </xf>
    <xf numFmtId="178" fontId="69" fillId="0" borderId="38" xfId="45" applyNumberFormat="1" applyFont="1" applyBorder="1" applyAlignment="1">
      <alignment horizontal="center" vertical="center"/>
    </xf>
    <xf numFmtId="178" fontId="70" fillId="0" borderId="161" xfId="45" applyNumberFormat="1" applyFont="1" applyBorder="1" applyAlignment="1">
      <alignment horizontal="center" vertical="center"/>
    </xf>
    <xf numFmtId="178" fontId="70" fillId="0" borderId="33" xfId="45" applyNumberFormat="1" applyFont="1" applyBorder="1" applyAlignment="1">
      <alignment horizontal="center" vertical="center"/>
    </xf>
    <xf numFmtId="178" fontId="70" fillId="0" borderId="39" xfId="45" applyNumberFormat="1" applyFont="1" applyBorder="1" applyAlignment="1">
      <alignment horizontal="center" vertical="center"/>
    </xf>
    <xf numFmtId="178" fontId="70" fillId="0" borderId="0" xfId="45" applyNumberFormat="1" applyFont="1" applyAlignment="1">
      <alignment horizontal="center" vertical="center"/>
    </xf>
    <xf numFmtId="178" fontId="70" fillId="0" borderId="47" xfId="45" applyNumberFormat="1" applyFont="1" applyBorder="1" applyAlignment="1">
      <alignment horizontal="center" vertical="center"/>
    </xf>
    <xf numFmtId="178" fontId="70" fillId="0" borderId="37" xfId="45" applyNumberFormat="1" applyFont="1" applyBorder="1" applyAlignment="1">
      <alignment horizontal="center" vertical="center"/>
    </xf>
    <xf numFmtId="178" fontId="70" fillId="0" borderId="29" xfId="45" applyNumberFormat="1" applyFont="1" applyBorder="1" applyAlignment="1">
      <alignment horizontal="center" vertical="center"/>
    </xf>
    <xf numFmtId="178" fontId="70" fillId="0" borderId="6" xfId="45" applyNumberFormat="1" applyFont="1" applyBorder="1" applyAlignment="1">
      <alignment horizontal="center" vertical="center"/>
    </xf>
    <xf numFmtId="178" fontId="72" fillId="10" borderId="38" xfId="45" applyNumberFormat="1" applyFont="1" applyFill="1" applyBorder="1" applyAlignment="1">
      <alignment horizontal="center" vertical="center"/>
    </xf>
    <xf numFmtId="178" fontId="72" fillId="10" borderId="161" xfId="45" applyNumberFormat="1" applyFont="1" applyFill="1" applyBorder="1" applyAlignment="1">
      <alignment horizontal="center" vertical="center"/>
    </xf>
    <xf numFmtId="178" fontId="72" fillId="10" borderId="33" xfId="45" applyNumberFormat="1" applyFont="1" applyFill="1" applyBorder="1" applyAlignment="1">
      <alignment horizontal="center" vertical="center"/>
    </xf>
    <xf numFmtId="178" fontId="72" fillId="10" borderId="46" xfId="45" applyNumberFormat="1" applyFont="1" applyFill="1" applyBorder="1" applyAlignment="1">
      <alignment horizontal="center" vertical="center"/>
    </xf>
    <xf numFmtId="178" fontId="72" fillId="10" borderId="5" xfId="45" applyNumberFormat="1" applyFont="1" applyFill="1" applyBorder="1" applyAlignment="1">
      <alignment horizontal="center" vertical="center"/>
    </xf>
    <xf numFmtId="178" fontId="72" fillId="10" borderId="81" xfId="45" applyNumberFormat="1" applyFont="1" applyFill="1" applyBorder="1" applyAlignment="1">
      <alignment horizontal="center" vertical="center"/>
    </xf>
    <xf numFmtId="178" fontId="42" fillId="10" borderId="38" xfId="45" applyNumberFormat="1" applyFont="1" applyFill="1" applyBorder="1" applyAlignment="1">
      <alignment horizontal="center" vertical="center"/>
    </xf>
    <xf numFmtId="178" fontId="42" fillId="10" borderId="161" xfId="45" applyNumberFormat="1" applyFont="1" applyFill="1" applyBorder="1" applyAlignment="1">
      <alignment horizontal="center" vertical="center"/>
    </xf>
    <xf numFmtId="178" fontId="42" fillId="10" borderId="33" xfId="45" applyNumberFormat="1" applyFont="1" applyFill="1" applyBorder="1" applyAlignment="1">
      <alignment horizontal="center" vertical="center"/>
    </xf>
    <xf numFmtId="178" fontId="42" fillId="10" borderId="46" xfId="45" applyNumberFormat="1" applyFont="1" applyFill="1" applyBorder="1" applyAlignment="1">
      <alignment horizontal="center" vertical="center"/>
    </xf>
    <xf numFmtId="178" fontId="42" fillId="10" borderId="5" xfId="45" applyNumberFormat="1" applyFont="1" applyFill="1" applyBorder="1" applyAlignment="1">
      <alignment horizontal="center" vertical="center"/>
    </xf>
    <xf numFmtId="178" fontId="42" fillId="10" borderId="81" xfId="45" applyNumberFormat="1" applyFont="1" applyFill="1" applyBorder="1" applyAlignment="1">
      <alignment horizontal="center" vertical="center"/>
    </xf>
    <xf numFmtId="10" fontId="42" fillId="0" borderId="105" xfId="30" applyNumberFormat="1" applyFont="1" applyFill="1" applyBorder="1" applyAlignment="1">
      <alignment horizontal="center" vertical="center"/>
    </xf>
    <xf numFmtId="10" fontId="104" fillId="10" borderId="101" xfId="30" applyNumberFormat="1" applyFont="1" applyFill="1" applyBorder="1" applyAlignment="1">
      <alignment horizontal="center" vertical="center"/>
    </xf>
    <xf numFmtId="10" fontId="104" fillId="10" borderId="45" xfId="30" applyNumberFormat="1" applyFont="1" applyFill="1" applyBorder="1" applyAlignment="1">
      <alignment horizontal="center" vertical="center"/>
    </xf>
    <xf numFmtId="207" fontId="9" fillId="6" borderId="259" xfId="0" applyNumberFormat="1" applyFont="1" applyFill="1" applyBorder="1" applyAlignment="1">
      <alignment horizontal="right" vertical="center" indent="1"/>
    </xf>
    <xf numFmtId="207" fontId="9" fillId="6" borderId="260" xfId="0" applyNumberFormat="1" applyFont="1" applyFill="1" applyBorder="1" applyAlignment="1">
      <alignment horizontal="right" vertical="center" indent="1"/>
    </xf>
    <xf numFmtId="207" fontId="9" fillId="6" borderId="261" xfId="0" applyNumberFormat="1" applyFont="1" applyFill="1" applyBorder="1" applyAlignment="1">
      <alignment horizontal="right" vertical="center" indent="1"/>
    </xf>
    <xf numFmtId="210" fontId="9" fillId="6" borderId="8" xfId="0" applyNumberFormat="1" applyFont="1" applyFill="1" applyBorder="1" applyAlignment="1">
      <alignment horizontal="center" vertical="center"/>
    </xf>
    <xf numFmtId="210" fontId="9" fillId="6" borderId="12" xfId="0" applyNumberFormat="1" applyFont="1" applyFill="1" applyBorder="1" applyAlignment="1">
      <alignment horizontal="center" vertical="center"/>
    </xf>
    <xf numFmtId="210" fontId="9" fillId="6" borderId="18" xfId="0" applyNumberFormat="1" applyFont="1" applyFill="1" applyBorder="1" applyAlignment="1">
      <alignment horizontal="center" vertical="center"/>
    </xf>
    <xf numFmtId="210" fontId="9" fillId="6" borderId="130" xfId="0" applyNumberFormat="1" applyFont="1" applyFill="1" applyBorder="1" applyAlignment="1">
      <alignment horizontal="center" vertical="center"/>
    </xf>
    <xf numFmtId="210" fontId="9" fillId="6" borderId="129" xfId="0" applyNumberFormat="1" applyFont="1" applyFill="1" applyBorder="1" applyAlignment="1">
      <alignment horizontal="center" vertical="center"/>
    </xf>
    <xf numFmtId="210" fontId="9" fillId="6" borderId="264" xfId="0" applyNumberFormat="1" applyFont="1" applyFill="1" applyBorder="1" applyAlignment="1">
      <alignment horizontal="center" vertical="center"/>
    </xf>
    <xf numFmtId="210" fontId="9" fillId="6" borderId="265" xfId="0" applyNumberFormat="1" applyFont="1" applyFill="1" applyBorder="1" applyAlignment="1">
      <alignment horizontal="center" vertical="center"/>
    </xf>
    <xf numFmtId="0" fontId="8" fillId="0" borderId="101" xfId="45" applyFont="1" applyBorder="1" applyAlignment="1">
      <alignment horizontal="center" vertical="center"/>
    </xf>
    <xf numFmtId="180" fontId="40" fillId="0" borderId="256" xfId="45" applyNumberFormat="1" applyFont="1" applyBorder="1" applyAlignment="1">
      <alignment horizontal="center" vertical="center"/>
    </xf>
    <xf numFmtId="180" fontId="40" fillId="0" borderId="257" xfId="45" applyNumberFormat="1" applyFont="1" applyBorder="1" applyAlignment="1">
      <alignment horizontal="center" vertical="center"/>
    </xf>
    <xf numFmtId="248" fontId="6" fillId="0" borderId="101" xfId="45" applyNumberFormat="1" applyFont="1" applyBorder="1" applyAlignment="1">
      <alignment horizontal="center" vertical="center"/>
    </xf>
    <xf numFmtId="184" fontId="9" fillId="0" borderId="45" xfId="45" applyNumberFormat="1" applyFont="1" applyBorder="1" applyAlignment="1">
      <alignment horizontal="center" vertical="center"/>
    </xf>
    <xf numFmtId="10" fontId="8" fillId="6" borderId="90" xfId="30" applyNumberFormat="1" applyFont="1" applyFill="1" applyBorder="1" applyAlignment="1">
      <alignment horizontal="center" vertical="center"/>
    </xf>
    <xf numFmtId="10" fontId="8" fillId="6" borderId="27" xfId="30" applyNumberFormat="1" applyFont="1" applyFill="1" applyBorder="1" applyAlignment="1">
      <alignment horizontal="center" vertical="center"/>
    </xf>
    <xf numFmtId="0" fontId="41" fillId="11" borderId="120" xfId="45" applyFont="1" applyFill="1" applyBorder="1" applyAlignment="1">
      <alignment horizontal="center" vertical="center" wrapText="1"/>
    </xf>
    <xf numFmtId="176" fontId="35" fillId="0" borderId="114" xfId="0" applyNumberFormat="1" applyFont="1" applyBorder="1" applyAlignment="1">
      <alignment horizontal="center" vertical="center"/>
    </xf>
    <xf numFmtId="176" fontId="35" fillId="0" borderId="69" xfId="0" applyNumberFormat="1" applyFont="1" applyBorder="1" applyAlignment="1">
      <alignment horizontal="center" vertical="center"/>
    </xf>
    <xf numFmtId="0" fontId="8" fillId="0" borderId="123" xfId="45" applyFont="1" applyBorder="1" applyAlignment="1">
      <alignment horizontal="center" vertical="center" wrapText="1"/>
    </xf>
    <xf numFmtId="178" fontId="8" fillId="0" borderId="271" xfId="0" applyNumberFormat="1" applyFont="1" applyBorder="1" applyAlignment="1">
      <alignment horizontal="center" vertical="center"/>
    </xf>
    <xf numFmtId="178" fontId="8" fillId="0" borderId="207" xfId="0" applyNumberFormat="1" applyFont="1" applyBorder="1" applyAlignment="1">
      <alignment horizontal="center" vertical="center"/>
    </xf>
    <xf numFmtId="178" fontId="8" fillId="0" borderId="157" xfId="0" applyNumberFormat="1" applyFont="1" applyBorder="1" applyAlignment="1">
      <alignment horizontal="center" vertical="center"/>
    </xf>
    <xf numFmtId="178" fontId="8" fillId="0" borderId="131" xfId="0" applyNumberFormat="1" applyFont="1" applyBorder="1" applyAlignment="1">
      <alignment horizontal="center" vertical="center"/>
    </xf>
    <xf numFmtId="176" fontId="9" fillId="0" borderId="157" xfId="0" applyNumberFormat="1" applyFont="1" applyBorder="1" applyAlignment="1">
      <alignment horizontal="center" vertical="center"/>
    </xf>
    <xf numFmtId="176" fontId="9" fillId="0" borderId="131" xfId="0" applyNumberFormat="1" applyFont="1" applyBorder="1" applyAlignment="1">
      <alignment horizontal="center" vertical="center"/>
    </xf>
    <xf numFmtId="184" fontId="66" fillId="0" borderId="101" xfId="45" applyNumberFormat="1" applyFont="1" applyBorder="1" applyAlignment="1">
      <alignment horizontal="center" vertical="center"/>
    </xf>
    <xf numFmtId="184" fontId="66" fillId="0" borderId="59" xfId="45" applyNumberFormat="1" applyFont="1" applyBorder="1" applyAlignment="1">
      <alignment horizontal="center" vertical="center"/>
    </xf>
    <xf numFmtId="184" fontId="66" fillId="0" borderId="43" xfId="45" applyNumberFormat="1" applyFont="1" applyBorder="1" applyAlignment="1">
      <alignment horizontal="center" vertical="center"/>
    </xf>
    <xf numFmtId="10" fontId="8" fillId="19" borderId="43" xfId="30" applyNumberFormat="1" applyFont="1" applyFill="1" applyBorder="1" applyAlignment="1">
      <alignment horizontal="center" vertical="center"/>
    </xf>
    <xf numFmtId="184" fontId="9" fillId="19" borderId="43" xfId="45" applyNumberFormat="1" applyFont="1" applyFill="1" applyBorder="1" applyAlignment="1">
      <alignment horizontal="center" vertical="center"/>
    </xf>
    <xf numFmtId="182" fontId="5" fillId="0" borderId="182" xfId="45" applyNumberFormat="1" applyFont="1" applyBorder="1" applyAlignment="1">
      <alignment horizontal="center" vertical="center"/>
    </xf>
    <xf numFmtId="182" fontId="5" fillId="0" borderId="186" xfId="45" applyNumberFormat="1" applyFont="1" applyBorder="1" applyAlignment="1">
      <alignment horizontal="center" vertical="center"/>
    </xf>
    <xf numFmtId="10" fontId="8" fillId="20" borderId="38" xfId="30" applyNumberFormat="1" applyFont="1" applyFill="1" applyBorder="1" applyAlignment="1">
      <alignment horizontal="center" vertical="center"/>
    </xf>
    <xf numFmtId="10" fontId="8" fillId="20" borderId="37" xfId="30" applyNumberFormat="1" applyFont="1" applyFill="1" applyBorder="1" applyAlignment="1">
      <alignment horizontal="center" vertical="center"/>
    </xf>
    <xf numFmtId="10" fontId="8" fillId="0" borderId="44" xfId="30" applyNumberFormat="1" applyFont="1" applyFill="1" applyBorder="1" applyAlignment="1">
      <alignment horizontal="center" vertical="center"/>
    </xf>
    <xf numFmtId="10" fontId="8" fillId="0" borderId="37" xfId="30" applyNumberFormat="1" applyFont="1" applyFill="1" applyBorder="1" applyAlignment="1">
      <alignment horizontal="center" vertical="center"/>
    </xf>
    <xf numFmtId="10" fontId="8" fillId="0" borderId="38" xfId="30" applyNumberFormat="1" applyFont="1" applyFill="1" applyBorder="1" applyAlignment="1">
      <alignment horizontal="center" vertical="center"/>
    </xf>
    <xf numFmtId="10" fontId="42" fillId="15" borderId="44" xfId="30" applyNumberFormat="1" applyFont="1" applyFill="1" applyBorder="1" applyAlignment="1">
      <alignment horizontal="center" vertical="center"/>
    </xf>
    <xf numFmtId="10" fontId="42" fillId="15" borderId="252" xfId="30" applyNumberFormat="1" applyFont="1" applyFill="1" applyBorder="1" applyAlignment="1">
      <alignment horizontal="center" vertical="center"/>
    </xf>
    <xf numFmtId="0" fontId="10" fillId="0" borderId="188" xfId="45" applyFont="1" applyBorder="1" applyAlignment="1">
      <alignment horizontal="center" vertical="center"/>
    </xf>
    <xf numFmtId="0" fontId="10" fillId="0" borderId="2" xfId="45" applyFont="1" applyBorder="1" applyAlignment="1">
      <alignment horizontal="center" vertical="center"/>
    </xf>
    <xf numFmtId="0" fontId="10" fillId="0" borderId="189" xfId="45" applyFont="1" applyBorder="1" applyAlignment="1">
      <alignment horizontal="center" vertical="center"/>
    </xf>
    <xf numFmtId="0" fontId="68" fillId="0" borderId="0" xfId="45" applyFont="1" applyAlignment="1">
      <alignment horizontal="center" vertical="center"/>
    </xf>
    <xf numFmtId="0" fontId="68" fillId="0" borderId="186" xfId="45" applyFont="1" applyBorder="1" applyAlignment="1">
      <alignment horizontal="center" vertical="center"/>
    </xf>
    <xf numFmtId="0" fontId="67" fillId="0" borderId="0" xfId="45" applyFont="1" applyAlignment="1">
      <alignment horizontal="right" vertical="center"/>
    </xf>
    <xf numFmtId="0" fontId="67" fillId="0" borderId="184" xfId="45" applyFont="1" applyBorder="1" applyAlignment="1">
      <alignment horizontal="right" vertical="center"/>
    </xf>
    <xf numFmtId="10" fontId="0" fillId="0" borderId="28" xfId="0" applyNumberFormat="1" applyBorder="1" applyAlignment="1">
      <alignment horizontal="center" vertical="center"/>
    </xf>
    <xf numFmtId="10" fontId="0" fillId="0" borderId="31" xfId="0" applyNumberFormat="1" applyBorder="1" applyAlignment="1">
      <alignment horizontal="center" vertical="center"/>
    </xf>
    <xf numFmtId="262" fontId="0" fillId="0" borderId="43" xfId="0" applyNumberFormat="1" applyBorder="1" applyAlignment="1">
      <alignment horizontal="center" vertical="center"/>
    </xf>
    <xf numFmtId="262" fontId="0" fillId="0" borderId="101" xfId="0" applyNumberFormat="1" applyBorder="1" applyAlignment="1">
      <alignment horizontal="center" vertical="center"/>
    </xf>
    <xf numFmtId="262" fontId="0" fillId="0" borderId="59" xfId="0" applyNumberFormat="1" applyBorder="1" applyAlignment="1">
      <alignment horizontal="center" vertical="center"/>
    </xf>
    <xf numFmtId="10" fontId="0" fillId="0" borderId="43" xfId="0" applyNumberFormat="1" applyBorder="1" applyAlignment="1">
      <alignment horizontal="center" vertical="center"/>
    </xf>
    <xf numFmtId="10" fontId="0" fillId="0" borderId="59" xfId="0" applyNumberFormat="1" applyBorder="1" applyAlignment="1">
      <alignment horizontal="center" vertical="center"/>
    </xf>
    <xf numFmtId="10" fontId="0" fillId="0" borderId="101" xfId="0" applyNumberFormat="1" applyBorder="1" applyAlignment="1">
      <alignment horizontal="center" vertical="center"/>
    </xf>
    <xf numFmtId="227" fontId="0" fillId="0" borderId="43" xfId="0" applyNumberFormat="1" applyBorder="1" applyAlignment="1">
      <alignment horizontal="center" vertical="center"/>
    </xf>
    <xf numFmtId="227" fontId="0" fillId="0" borderId="59" xfId="0" applyNumberFormat="1" applyBorder="1" applyAlignment="1">
      <alignment horizontal="center" vertical="center"/>
    </xf>
    <xf numFmtId="0" fontId="97" fillId="11" borderId="196" xfId="0" applyFont="1" applyFill="1" applyBorder="1" applyAlignment="1">
      <alignment horizontal="center" vertical="center"/>
    </xf>
    <xf numFmtId="0" fontId="97" fillId="11" borderId="205" xfId="0" applyFont="1" applyFill="1" applyBorder="1" applyAlignment="1">
      <alignment horizontal="center" vertical="center"/>
    </xf>
    <xf numFmtId="0" fontId="98" fillId="11" borderId="43" xfId="0" applyFont="1" applyFill="1" applyBorder="1" applyAlignment="1">
      <alignment horizontal="center" vertical="center"/>
    </xf>
    <xf numFmtId="0" fontId="98" fillId="11" borderId="101" xfId="0" applyFont="1" applyFill="1" applyBorder="1" applyAlignment="1">
      <alignment horizontal="center" vertical="center"/>
    </xf>
    <xf numFmtId="0" fontId="98" fillId="11" borderId="59" xfId="0" applyFont="1" applyFill="1" applyBorder="1" applyAlignment="1">
      <alignment horizontal="center" vertical="center"/>
    </xf>
    <xf numFmtId="0" fontId="96" fillId="28" borderId="188" xfId="0" applyFont="1" applyFill="1" applyBorder="1" applyAlignment="1">
      <alignment horizontal="center" vertical="center"/>
    </xf>
    <xf numFmtId="0" fontId="96" fillId="28" borderId="2" xfId="0" applyFont="1" applyFill="1" applyBorder="1" applyAlignment="1">
      <alignment horizontal="center" vertical="center"/>
    </xf>
    <xf numFmtId="0" fontId="96" fillId="28" borderId="189" xfId="0" applyFont="1" applyFill="1" applyBorder="1" applyAlignment="1">
      <alignment horizontal="center" vertical="center"/>
    </xf>
    <xf numFmtId="0" fontId="98" fillId="11" borderId="42" xfId="0" applyFont="1" applyFill="1" applyBorder="1" applyAlignment="1">
      <alignment horizontal="center" vertical="center"/>
    </xf>
    <xf numFmtId="0" fontId="96" fillId="26" borderId="188" xfId="0" applyFont="1" applyFill="1" applyBorder="1" applyAlignment="1">
      <alignment horizontal="center" vertical="center"/>
    </xf>
    <xf numFmtId="0" fontId="96" fillId="26" borderId="2" xfId="0" applyFont="1" applyFill="1" applyBorder="1" applyAlignment="1">
      <alignment horizontal="center" vertical="center"/>
    </xf>
    <xf numFmtId="0" fontId="96" fillId="26" borderId="189" xfId="0" applyFont="1" applyFill="1" applyBorder="1" applyAlignment="1">
      <alignment horizontal="center" vertical="center"/>
    </xf>
    <xf numFmtId="0" fontId="96" fillId="27" borderId="188" xfId="0" applyFont="1" applyFill="1" applyBorder="1" applyAlignment="1">
      <alignment horizontal="center" vertical="center"/>
    </xf>
    <xf numFmtId="0" fontId="96" fillId="27" borderId="2" xfId="0" applyFont="1" applyFill="1" applyBorder="1" applyAlignment="1">
      <alignment horizontal="center" vertical="center"/>
    </xf>
    <xf numFmtId="0" fontId="96" fillId="27" borderId="189" xfId="0" applyFont="1" applyFill="1" applyBorder="1" applyAlignment="1">
      <alignment horizontal="center" vertical="center"/>
    </xf>
    <xf numFmtId="0" fontId="96" fillId="29" borderId="188" xfId="0" applyFont="1" applyFill="1" applyBorder="1" applyAlignment="1">
      <alignment horizontal="center" vertical="center"/>
    </xf>
    <xf numFmtId="0" fontId="96" fillId="29" borderId="2" xfId="0" applyFont="1" applyFill="1" applyBorder="1" applyAlignment="1">
      <alignment horizontal="center" vertical="center"/>
    </xf>
    <xf numFmtId="0" fontId="96" fillId="29" borderId="189" xfId="0" applyFont="1" applyFill="1" applyBorder="1" applyAlignment="1">
      <alignment horizontal="center" vertical="center"/>
    </xf>
    <xf numFmtId="217" fontId="86" fillId="11" borderId="13" xfId="0" applyNumberFormat="1" applyFont="1" applyFill="1" applyBorder="1" applyAlignment="1">
      <alignment horizontal="center" vertical="center"/>
    </xf>
    <xf numFmtId="217" fontId="86" fillId="11" borderId="12" xfId="0" applyNumberFormat="1" applyFont="1" applyFill="1" applyBorder="1" applyAlignment="1">
      <alignment horizontal="center" vertical="center"/>
    </xf>
    <xf numFmtId="262" fontId="83" fillId="11" borderId="23" xfId="0" applyNumberFormat="1" applyFont="1" applyFill="1" applyBorder="1" applyAlignment="1">
      <alignment horizontal="center" vertical="center"/>
    </xf>
    <xf numFmtId="262" fontId="83" fillId="11" borderId="21" xfId="0" applyNumberFormat="1" applyFont="1" applyFill="1" applyBorder="1" applyAlignment="1">
      <alignment horizontal="center" vertical="center"/>
    </xf>
    <xf numFmtId="262" fontId="82" fillId="11" borderId="11" xfId="0" applyNumberFormat="1" applyFont="1" applyFill="1" applyBorder="1" applyAlignment="1">
      <alignment horizontal="center" vertical="center"/>
    </xf>
    <xf numFmtId="262" fontId="82" fillId="11" borderId="13" xfId="0" applyNumberFormat="1" applyFont="1" applyFill="1" applyBorder="1" applyAlignment="1">
      <alignment horizontal="center" vertical="center"/>
    </xf>
    <xf numFmtId="262" fontId="82" fillId="11" borderId="23" xfId="0" applyNumberFormat="1" applyFont="1" applyFill="1" applyBorder="1" applyAlignment="1">
      <alignment horizontal="center" vertical="center"/>
    </xf>
    <xf numFmtId="217" fontId="86" fillId="11" borderId="0" xfId="0" applyNumberFormat="1" applyFont="1" applyFill="1" applyAlignment="1">
      <alignment horizontal="center" vertical="center"/>
    </xf>
    <xf numFmtId="262" fontId="83" fillId="11" borderId="186" xfId="0" applyNumberFormat="1" applyFont="1" applyFill="1" applyBorder="1" applyAlignment="1">
      <alignment horizontal="center" vertical="center"/>
    </xf>
    <xf numFmtId="0" fontId="98" fillId="11" borderId="28" xfId="0" applyFont="1" applyFill="1" applyBorder="1" applyAlignment="1">
      <alignment horizontal="center" vertical="center"/>
    </xf>
    <xf numFmtId="0" fontId="98" fillId="11" borderId="15" xfId="0" applyFont="1" applyFill="1" applyBorder="1" applyAlignment="1">
      <alignment horizontal="center" vertical="center"/>
    </xf>
    <xf numFmtId="0" fontId="98" fillId="11" borderId="31" xfId="0" applyFont="1" applyFill="1" applyBorder="1" applyAlignment="1">
      <alignment horizontal="center" vertical="center"/>
    </xf>
    <xf numFmtId="0" fontId="75" fillId="16" borderId="14" xfId="0" applyFont="1" applyFill="1" applyBorder="1" applyAlignment="1">
      <alignment horizontal="center" vertical="center"/>
    </xf>
    <xf numFmtId="0" fontId="75" fillId="16" borderId="129" xfId="0" applyFont="1" applyFill="1" applyBorder="1" applyAlignment="1">
      <alignment horizontal="center" vertical="center"/>
    </xf>
    <xf numFmtId="0" fontId="75" fillId="16" borderId="24" xfId="0" applyFont="1" applyFill="1" applyBorder="1" applyAlignment="1">
      <alignment horizontal="center" vertical="center"/>
    </xf>
    <xf numFmtId="0" fontId="75" fillId="16" borderId="174" xfId="0" applyFont="1" applyFill="1" applyBorder="1" applyAlignment="1">
      <alignment horizontal="center" vertical="center"/>
    </xf>
    <xf numFmtId="0" fontId="92" fillId="25" borderId="226" xfId="0" applyFont="1" applyFill="1" applyBorder="1" applyAlignment="1">
      <alignment horizontal="center" vertical="center"/>
    </xf>
    <xf numFmtId="0" fontId="92" fillId="25" borderId="225" xfId="0" applyFont="1" applyFill="1" applyBorder="1" applyAlignment="1">
      <alignment horizontal="center" vertical="center"/>
    </xf>
    <xf numFmtId="0" fontId="76" fillId="24" borderId="0" xfId="0" applyFont="1" applyFill="1" applyAlignment="1">
      <alignment horizontal="left" vertical="center"/>
    </xf>
    <xf numFmtId="0" fontId="75" fillId="23" borderId="17" xfId="0" applyFont="1" applyFill="1" applyBorder="1" applyAlignment="1">
      <alignment horizontal="right" vertical="center" indent="1"/>
    </xf>
    <xf numFmtId="0" fontId="75" fillId="23" borderId="20" xfId="0" applyFont="1" applyFill="1" applyBorder="1" applyAlignment="1">
      <alignment horizontal="right" vertical="center" indent="1"/>
    </xf>
    <xf numFmtId="0" fontId="75" fillId="23" borderId="13" xfId="0" applyFont="1" applyFill="1" applyBorder="1" applyAlignment="1">
      <alignment horizontal="right" vertical="center" indent="1"/>
    </xf>
    <xf numFmtId="0" fontId="79" fillId="17" borderId="109" xfId="0" applyFont="1" applyFill="1" applyBorder="1" applyAlignment="1">
      <alignment horizontal="center" vertical="center" wrapText="1"/>
    </xf>
    <xf numFmtId="0" fontId="79" fillId="17" borderId="215" xfId="0" applyFont="1" applyFill="1" applyBorder="1" applyAlignment="1">
      <alignment horizontal="center" vertical="center"/>
    </xf>
    <xf numFmtId="0" fontId="79" fillId="17" borderId="81" xfId="0" applyFont="1" applyFill="1" applyBorder="1" applyAlignment="1">
      <alignment horizontal="center" vertical="center"/>
    </xf>
    <xf numFmtId="0" fontId="79" fillId="17" borderId="216" xfId="0" applyFont="1" applyFill="1" applyBorder="1" applyAlignment="1">
      <alignment horizontal="center" vertical="center"/>
    </xf>
    <xf numFmtId="0" fontId="75" fillId="17" borderId="43" xfId="0" applyFont="1" applyFill="1" applyBorder="1" applyAlignment="1">
      <alignment horizontal="center" vertical="center"/>
    </xf>
    <xf numFmtId="0" fontId="75" fillId="17" borderId="208" xfId="0" applyFont="1" applyFill="1" applyBorder="1" applyAlignment="1">
      <alignment horizontal="center" vertical="center"/>
    </xf>
    <xf numFmtId="0" fontId="75" fillId="0" borderId="191" xfId="0" applyFont="1" applyBorder="1" applyAlignment="1">
      <alignment horizontal="center" vertical="center"/>
    </xf>
    <xf numFmtId="0" fontId="75" fillId="0" borderId="211" xfId="0" applyFont="1" applyBorder="1" applyAlignment="1">
      <alignment horizontal="center" vertical="center"/>
    </xf>
    <xf numFmtId="0" fontId="73" fillId="16" borderId="37" xfId="0" applyFont="1" applyFill="1" applyBorder="1" applyAlignment="1">
      <alignment horizontal="center" vertical="center"/>
    </xf>
    <xf numFmtId="0" fontId="73" fillId="16" borderId="207" xfId="0" applyFont="1" applyFill="1" applyBorder="1" applyAlignment="1">
      <alignment horizontal="center" vertical="center"/>
    </xf>
    <xf numFmtId="0" fontId="73" fillId="16" borderId="28" xfId="0" applyFont="1" applyFill="1" applyBorder="1" applyAlignment="1">
      <alignment horizontal="center" vertical="center"/>
    </xf>
    <xf numFmtId="0" fontId="73" fillId="16" borderId="131" xfId="0" applyFont="1" applyFill="1" applyBorder="1" applyAlignment="1">
      <alignment horizontal="center" vertical="center"/>
    </xf>
    <xf numFmtId="0" fontId="73" fillId="16" borderId="194" xfId="0" applyFont="1" applyFill="1" applyBorder="1" applyAlignment="1">
      <alignment horizontal="center" vertical="center"/>
    </xf>
    <xf numFmtId="0" fontId="73" fillId="16" borderId="9" xfId="0" applyFont="1" applyFill="1" applyBorder="1" applyAlignment="1">
      <alignment horizontal="center" vertical="center"/>
    </xf>
    <xf numFmtId="0" fontId="73" fillId="16" borderId="46" xfId="0" applyFont="1" applyFill="1" applyBorder="1" applyAlignment="1">
      <alignment horizontal="center" vertical="center"/>
    </xf>
    <xf numFmtId="0" fontId="73" fillId="16" borderId="18" xfId="0" applyFont="1" applyFill="1" applyBorder="1" applyAlignment="1">
      <alignment horizontal="center" vertical="center"/>
    </xf>
    <xf numFmtId="0" fontId="75" fillId="17" borderId="192" xfId="0" applyFont="1" applyFill="1" applyBorder="1" applyAlignment="1">
      <alignment horizontal="center" vertical="center" wrapText="1"/>
    </xf>
    <xf numFmtId="0" fontId="75" fillId="17" borderId="42" xfId="0" applyFont="1" applyFill="1" applyBorder="1" applyAlignment="1">
      <alignment horizontal="center" vertical="center"/>
    </xf>
    <xf numFmtId="0" fontId="75" fillId="17" borderId="59" xfId="0" applyFont="1" applyFill="1" applyBorder="1" applyAlignment="1">
      <alignment horizontal="center" vertical="center" wrapText="1"/>
    </xf>
    <xf numFmtId="0" fontId="75" fillId="17" borderId="193" xfId="0" applyFont="1" applyFill="1" applyBorder="1" applyAlignment="1">
      <alignment horizontal="center" vertical="center"/>
    </xf>
    <xf numFmtId="0" fontId="75" fillId="17" borderId="210" xfId="0" applyFont="1" applyFill="1" applyBorder="1" applyAlignment="1">
      <alignment horizontal="center" vertical="center"/>
    </xf>
    <xf numFmtId="0" fontId="100" fillId="32" borderId="188" xfId="0" applyFont="1" applyFill="1" applyBorder="1" applyAlignment="1">
      <alignment horizontal="center" vertical="center"/>
    </xf>
    <xf numFmtId="0" fontId="100" fillId="32" borderId="2" xfId="0" applyFont="1" applyFill="1" applyBorder="1" applyAlignment="1">
      <alignment horizontal="center" vertical="center"/>
    </xf>
    <xf numFmtId="0" fontId="100" fillId="32" borderId="189" xfId="0" applyFont="1" applyFill="1" applyBorder="1" applyAlignment="1">
      <alignment horizontal="center" vertical="center"/>
    </xf>
    <xf numFmtId="0" fontId="83" fillId="11" borderId="186" xfId="0" applyFont="1" applyFill="1" applyBorder="1" applyAlignment="1">
      <alignment horizontal="center" vertical="center"/>
    </xf>
    <xf numFmtId="0" fontId="83" fillId="11" borderId="21" xfId="0" applyFont="1" applyFill="1" applyBorder="1" applyAlignment="1">
      <alignment horizontal="center" vertical="center"/>
    </xf>
    <xf numFmtId="0" fontId="85" fillId="24" borderId="191" xfId="0" applyFont="1" applyFill="1" applyBorder="1" applyAlignment="1">
      <alignment horizontal="center" vertical="center"/>
    </xf>
    <xf numFmtId="0" fontId="85" fillId="24" borderId="211" xfId="0" applyFont="1" applyFill="1" applyBorder="1" applyAlignment="1">
      <alignment horizontal="center" vertical="center"/>
    </xf>
    <xf numFmtId="0" fontId="79" fillId="23" borderId="36" xfId="0" applyFont="1" applyFill="1" applyBorder="1" applyAlignment="1">
      <alignment horizontal="right" vertical="center" indent="1"/>
    </xf>
    <xf numFmtId="0" fontId="79" fillId="23" borderId="5" xfId="0" applyFont="1" applyFill="1" applyBorder="1" applyAlignment="1">
      <alignment horizontal="right" vertical="center" indent="1"/>
    </xf>
    <xf numFmtId="0" fontId="79" fillId="16" borderId="182" xfId="0" applyFont="1" applyFill="1" applyBorder="1" applyAlignment="1">
      <alignment horizontal="center" vertical="center"/>
    </xf>
    <xf numFmtId="0" fontId="79" fillId="16" borderId="9" xfId="0" applyFont="1" applyFill="1" applyBorder="1" applyAlignment="1">
      <alignment horizontal="center" vertical="center"/>
    </xf>
    <xf numFmtId="0" fontId="79" fillId="16" borderId="5" xfId="0" applyFont="1" applyFill="1" applyBorder="1" applyAlignment="1">
      <alignment horizontal="center" vertical="center"/>
    </xf>
    <xf numFmtId="0" fontId="79" fillId="16" borderId="18" xfId="0" applyFont="1" applyFill="1" applyBorder="1" applyAlignment="1">
      <alignment horizontal="center" vertical="center"/>
    </xf>
    <xf numFmtId="0" fontId="79" fillId="16" borderId="14" xfId="0" applyFont="1" applyFill="1" applyBorder="1" applyAlignment="1">
      <alignment horizontal="center" vertical="center"/>
    </xf>
    <xf numFmtId="0" fontId="79" fillId="16" borderId="129" xfId="0" applyFont="1" applyFill="1" applyBorder="1" applyAlignment="1">
      <alignment horizontal="center" vertical="center"/>
    </xf>
    <xf numFmtId="0" fontId="79" fillId="16" borderId="24" xfId="0" applyFont="1" applyFill="1" applyBorder="1" applyAlignment="1">
      <alignment horizontal="center" vertical="center"/>
    </xf>
    <xf numFmtId="0" fontId="79" fillId="16" borderId="174" xfId="0" applyFont="1" applyFill="1" applyBorder="1" applyAlignment="1">
      <alignment horizontal="center" vertical="center"/>
    </xf>
    <xf numFmtId="0" fontId="75" fillId="16" borderId="182" xfId="0" applyFont="1" applyFill="1" applyBorder="1" applyAlignment="1">
      <alignment horizontal="center" vertical="center"/>
    </xf>
    <xf numFmtId="0" fontId="75" fillId="16" borderId="9" xfId="0" applyFont="1" applyFill="1" applyBorder="1" applyAlignment="1">
      <alignment horizontal="center" vertical="center"/>
    </xf>
    <xf numFmtId="0" fontId="75" fillId="16" borderId="5" xfId="0" applyFont="1" applyFill="1" applyBorder="1" applyAlignment="1">
      <alignment horizontal="center" vertical="center"/>
    </xf>
    <xf numFmtId="0" fontId="75" fillId="16" borderId="18" xfId="0" applyFont="1" applyFill="1" applyBorder="1" applyAlignment="1">
      <alignment horizontal="center" vertical="center"/>
    </xf>
    <xf numFmtId="0" fontId="100" fillId="33" borderId="188" xfId="0" applyFont="1" applyFill="1" applyBorder="1" applyAlignment="1">
      <alignment horizontal="center" vertical="center"/>
    </xf>
    <xf numFmtId="0" fontId="100" fillId="33" borderId="2" xfId="0" applyFont="1" applyFill="1" applyBorder="1" applyAlignment="1">
      <alignment horizontal="center" vertical="center"/>
    </xf>
    <xf numFmtId="0" fontId="100" fillId="33" borderId="189" xfId="0" applyFont="1" applyFill="1" applyBorder="1" applyAlignment="1">
      <alignment horizontal="center" vertical="center"/>
    </xf>
  </cellXfs>
  <cellStyles count="57">
    <cellStyle name="0" xfId="1" xr:uid="{00000000-0005-0000-0000-000000000000}"/>
    <cellStyle name="00" xfId="2" xr:uid="{00000000-0005-0000-0000-000001000000}"/>
    <cellStyle name="1" xfId="3" xr:uid="{00000000-0005-0000-0000-000002000000}"/>
    <cellStyle name="1_total" xfId="4" xr:uid="{00000000-0005-0000-0000-000003000000}"/>
    <cellStyle name="1_total_개략공사비계산용" xfId="5" xr:uid="{00000000-0005-0000-0000-000004000000}"/>
    <cellStyle name="1_tree" xfId="6" xr:uid="{00000000-0005-0000-0000-000005000000}"/>
    <cellStyle name="1_tree_개략공사비계산용" xfId="7" xr:uid="{00000000-0005-0000-0000-000006000000}"/>
    <cellStyle name="1_tree_수량산출" xfId="8" xr:uid="{00000000-0005-0000-0000-000007000000}"/>
    <cellStyle name="1_tree_수량산출_개략공사비계산용" xfId="9" xr:uid="{00000000-0005-0000-0000-000008000000}"/>
    <cellStyle name="11" xfId="10" xr:uid="{00000000-0005-0000-0000-000009000000}"/>
    <cellStyle name="111" xfId="11" xr:uid="{00000000-0005-0000-0000-00000A000000}"/>
    <cellStyle name="2자리" xfId="12" xr:uid="{00000000-0005-0000-0000-00000B000000}"/>
    <cellStyle name="Comma [0]" xfId="13" xr:uid="{00000000-0005-0000-0000-00000C000000}"/>
    <cellStyle name="Comma_ SG&amp;A Bridge " xfId="14" xr:uid="{00000000-0005-0000-0000-00000D000000}"/>
    <cellStyle name="Currency [0]" xfId="15" xr:uid="{00000000-0005-0000-0000-00000E000000}"/>
    <cellStyle name="Currency_ SG&amp;A Bridge " xfId="16" xr:uid="{00000000-0005-0000-0000-00000F000000}"/>
    <cellStyle name="Currency1" xfId="17" xr:uid="{00000000-0005-0000-0000-000010000000}"/>
    <cellStyle name="Header1" xfId="18" xr:uid="{00000000-0005-0000-0000-000011000000}"/>
    <cellStyle name="Header2" xfId="19" xr:uid="{00000000-0005-0000-0000-000012000000}"/>
    <cellStyle name="Normal_ SG&amp;A Bridge " xfId="20" xr:uid="{00000000-0005-0000-0000-000013000000}"/>
    <cellStyle name="oh" xfId="21" xr:uid="{00000000-0005-0000-0000-000014000000}"/>
    <cellStyle name="sh" xfId="22" xr:uid="{00000000-0005-0000-0000-000015000000}"/>
    <cellStyle name="ssh" xfId="23" xr:uid="{00000000-0005-0000-0000-000016000000}"/>
    <cellStyle name="공종" xfId="24" xr:uid="{00000000-0005-0000-0000-000017000000}"/>
    <cellStyle name="기계" xfId="25" xr:uid="{00000000-0005-0000-0000-000018000000}"/>
    <cellStyle name="내역서" xfId="26" xr:uid="{00000000-0005-0000-0000-000019000000}"/>
    <cellStyle name="네모제목" xfId="27" xr:uid="{00000000-0005-0000-0000-00001A000000}"/>
    <cellStyle name="마이너스키" xfId="28" xr:uid="{00000000-0005-0000-0000-00001B000000}"/>
    <cellStyle name="백" xfId="29" xr:uid="{00000000-0005-0000-0000-00001C000000}"/>
    <cellStyle name="백분율" xfId="30" builtinId="5"/>
    <cellStyle name="백분율 2" xfId="31" xr:uid="{00000000-0005-0000-0000-00001E000000}"/>
    <cellStyle name="백분율 3" xfId="51" xr:uid="{00000000-0005-0000-0000-00001F000000}"/>
    <cellStyle name="뷭?_BOOKSHIP" xfId="32" xr:uid="{00000000-0005-0000-0000-000020000000}"/>
    <cellStyle name="빨간색" xfId="33" xr:uid="{00000000-0005-0000-0000-000021000000}"/>
    <cellStyle name="수량1" xfId="34" xr:uid="{00000000-0005-0000-0000-000022000000}"/>
    <cellStyle name="수목명" xfId="35" xr:uid="{00000000-0005-0000-0000-000023000000}"/>
    <cellStyle name="쉼표 [0]" xfId="36" builtinId="6"/>
    <cellStyle name="쉼표 [0] 2" xfId="37" xr:uid="{00000000-0005-0000-0000-000025000000}"/>
    <cellStyle name="쉼표 [0] 2 2" xfId="48" xr:uid="{00000000-0005-0000-0000-000026000000}"/>
    <cellStyle name="쉼표 [0] 2 2 2" xfId="55" xr:uid="{BB5D80CB-3E65-489C-9AE3-466ADF3681D3}"/>
    <cellStyle name="쉼표 [0] 2 3" xfId="53" xr:uid="{2869E855-A7E3-4BE6-B5E6-B7A50E1CEE8F}"/>
    <cellStyle name="쉼표 [0] 3" xfId="47" xr:uid="{00000000-0005-0000-0000-000027000000}"/>
    <cellStyle name="쉼표 [0] 3 2" xfId="54" xr:uid="{DA444E11-56F8-4320-946A-09B17343A140}"/>
    <cellStyle name="쉼표 [0] 4" xfId="50" xr:uid="{00000000-0005-0000-0000-000028000000}"/>
    <cellStyle name="쉼표 [0] 4 2" xfId="56" xr:uid="{3FC91ADA-112B-400B-8C6A-3FB3F877FFB8}"/>
    <cellStyle name="쉼표 [0] 5" xfId="52" xr:uid="{60472E8A-BE7A-49A1-BD52-AA66CE92C4FF}"/>
    <cellStyle name="왼쪽2" xfId="38" xr:uid="{00000000-0005-0000-0000-000029000000}"/>
    <cellStyle name="자리수0" xfId="39" xr:uid="{00000000-0005-0000-0000-00002A000000}"/>
    <cellStyle name="콤마 [0]_(1.토)" xfId="40" xr:uid="{00000000-0005-0000-0000-00002B000000}"/>
    <cellStyle name="콤마 1" xfId="41" xr:uid="{00000000-0005-0000-0000-00002C000000}"/>
    <cellStyle name="콤마_(1.토)" xfId="42" xr:uid="{00000000-0005-0000-0000-00002D000000}"/>
    <cellStyle name="표준" xfId="0" builtinId="0"/>
    <cellStyle name="표준 2" xfId="43" xr:uid="{00000000-0005-0000-0000-00002F000000}"/>
    <cellStyle name="표준 2 4" xfId="46" xr:uid="{00000000-0005-0000-0000-000030000000}"/>
    <cellStyle name="표준 3" xfId="49" xr:uid="{00000000-0005-0000-0000-000031000000}"/>
    <cellStyle name="標準_Akia(F）-8" xfId="44" xr:uid="{00000000-0005-0000-0000-000032000000}"/>
    <cellStyle name="표준_불광동 개요검토" xfId="45" xr:uid="{00000000-0005-0000-0000-000033000000}"/>
  </cellStyles>
  <dxfs count="0"/>
  <tableStyles count="0" defaultTableStyle="TableStyleMedium2" defaultPivotStyle="PivotStyleLight16"/>
  <colors>
    <mruColors>
      <color rgb="FF0000FF"/>
      <color rgb="FFFFFF99"/>
      <color rgb="FF4F81BD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714375</xdr:colOff>
      <xdr:row>3</xdr:row>
      <xdr:rowOff>0</xdr:rowOff>
    </xdr:from>
    <xdr:to>
      <xdr:col>8</xdr:col>
      <xdr:colOff>105541</xdr:colOff>
      <xdr:row>28</xdr:row>
      <xdr:rowOff>95862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375" y="514350"/>
          <a:ext cx="5487166" cy="43821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21"/>
    <pageSetUpPr autoPageBreaks="0" fitToPage="1"/>
  </sheetPr>
  <dimension ref="B1:AM118"/>
  <sheetViews>
    <sheetView zoomScaleNormal="100" zoomScaleSheetLayoutView="115" workbookViewId="0">
      <selection activeCell="H30" sqref="H30:P30"/>
    </sheetView>
  </sheetViews>
  <sheetFormatPr defaultColWidth="8.77734375" defaultRowHeight="14.1" customHeight="1"/>
  <cols>
    <col min="1" max="2" width="8.77734375" style="2"/>
    <col min="3" max="3" width="13.21875" style="2" customWidth="1"/>
    <col min="4" max="5" width="9.21875" style="2" customWidth="1"/>
    <col min="6" max="9" width="11.6640625" style="2" customWidth="1"/>
    <col min="10" max="10" width="12.21875" style="2" bestFit="1" customWidth="1"/>
    <col min="11" max="11" width="13.21875" style="2" customWidth="1"/>
    <col min="12" max="12" width="14.88671875" style="2" customWidth="1"/>
    <col min="13" max="13" width="13.5546875" style="2" customWidth="1"/>
    <col min="14" max="14" width="12.33203125" style="2" customWidth="1"/>
    <col min="15" max="15" width="11.109375" style="2" customWidth="1"/>
    <col min="16" max="16" width="14" style="2" customWidth="1"/>
    <col min="17" max="17" width="4.5546875" style="2" customWidth="1"/>
    <col min="18" max="18" width="8" style="2" customWidth="1"/>
    <col min="19" max="19" width="15.21875" style="2" bestFit="1" customWidth="1"/>
    <col min="20" max="20" width="10.33203125" style="2" bestFit="1" customWidth="1"/>
    <col min="21" max="21" width="10.6640625" style="2" bestFit="1" customWidth="1"/>
    <col min="22" max="22" width="18.33203125" style="2" customWidth="1"/>
    <col min="23" max="23" width="8.77734375" style="2" customWidth="1"/>
    <col min="24" max="24" width="11.77734375" style="2" customWidth="1"/>
    <col min="25" max="25" width="8.6640625" style="2" customWidth="1"/>
    <col min="26" max="26" width="9.6640625" style="2" customWidth="1"/>
    <col min="27" max="27" width="15.77734375" style="2" customWidth="1"/>
    <col min="28" max="28" width="13.5546875" style="2" bestFit="1" customWidth="1"/>
    <col min="29" max="29" width="14.44140625" style="2" bestFit="1" customWidth="1"/>
    <col min="30" max="30" width="15.44140625" style="2" bestFit="1" customWidth="1"/>
    <col min="31" max="31" width="10.5546875" style="2" bestFit="1" customWidth="1"/>
    <col min="32" max="16384" width="8.77734375" style="2"/>
  </cols>
  <sheetData>
    <row r="1" spans="2:21" ht="14.1" customHeight="1"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</row>
    <row r="2" spans="2:21" ht="18" customHeight="1">
      <c r="B2" s="77"/>
      <c r="C2" s="839" t="s">
        <v>60</v>
      </c>
      <c r="D2" s="839"/>
      <c r="E2" s="839"/>
      <c r="F2" s="839"/>
      <c r="G2" s="839"/>
      <c r="H2" s="840"/>
      <c r="I2" s="70"/>
      <c r="J2" s="841" t="s">
        <v>33</v>
      </c>
      <c r="K2" s="842"/>
      <c r="L2" s="842"/>
      <c r="M2" s="842"/>
      <c r="N2" s="842"/>
      <c r="O2" s="842"/>
      <c r="P2" s="843"/>
    </row>
    <row r="3" spans="2:21" ht="17.100000000000001" customHeight="1">
      <c r="B3" s="77"/>
      <c r="C3" s="72" t="s">
        <v>52</v>
      </c>
      <c r="D3" s="844" t="s">
        <v>125</v>
      </c>
      <c r="E3" s="845"/>
      <c r="F3" s="845"/>
      <c r="G3" s="845"/>
      <c r="H3" s="846"/>
      <c r="I3" s="51"/>
      <c r="J3" s="53" t="s">
        <v>65</v>
      </c>
      <c r="K3" s="29"/>
      <c r="L3" s="84" t="s">
        <v>61</v>
      </c>
      <c r="M3" s="30"/>
      <c r="N3" s="31" t="s">
        <v>10</v>
      </c>
      <c r="O3" s="847" t="s">
        <v>51</v>
      </c>
      <c r="P3" s="848"/>
    </row>
    <row r="4" spans="2:21" ht="17.100000000000001" customHeight="1">
      <c r="B4" s="77"/>
      <c r="C4" s="73" t="s">
        <v>11</v>
      </c>
      <c r="D4" s="849" t="s">
        <v>126</v>
      </c>
      <c r="E4" s="850"/>
      <c r="F4" s="850"/>
      <c r="G4" s="850"/>
      <c r="H4" s="851"/>
      <c r="I4" s="51"/>
      <c r="J4" s="54" t="s">
        <v>4</v>
      </c>
      <c r="K4" s="852" t="str">
        <f>INDEX($J$94:$N$94,MATCH($D$69,$J$93:$N$93,1))</f>
        <v>1000~2000세대 미만</v>
      </c>
      <c r="L4" s="852"/>
      <c r="M4" s="853"/>
      <c r="N4" s="32">
        <f>INDEX($J$95:$N$95,MATCH($D$69,$J$93:$N$93,1))</f>
        <v>15</v>
      </c>
      <c r="O4" s="21"/>
      <c r="P4" s="67"/>
    </row>
    <row r="5" spans="2:21" ht="17.100000000000001" customHeight="1">
      <c r="B5" s="77"/>
      <c r="C5" s="73" t="s">
        <v>27</v>
      </c>
      <c r="D5" s="849" t="s">
        <v>127</v>
      </c>
      <c r="E5" s="850"/>
      <c r="F5" s="850"/>
      <c r="G5" s="850"/>
      <c r="H5" s="851"/>
      <c r="I5" s="51"/>
      <c r="J5" s="55" t="s">
        <v>5</v>
      </c>
      <c r="K5" s="857" t="s">
        <v>25</v>
      </c>
      <c r="L5" s="857"/>
      <c r="M5" s="861"/>
      <c r="N5" s="33" t="s">
        <v>12</v>
      </c>
      <c r="O5" s="22"/>
      <c r="P5" s="68"/>
    </row>
    <row r="6" spans="2:21" ht="17.100000000000001" customHeight="1">
      <c r="B6" s="77"/>
      <c r="C6" s="73" t="s">
        <v>39</v>
      </c>
      <c r="D6" s="50" t="s">
        <v>128</v>
      </c>
      <c r="E6" s="185">
        <v>4</v>
      </c>
      <c r="F6" s="186"/>
      <c r="G6" s="186"/>
      <c r="H6" s="186"/>
      <c r="I6" s="51"/>
      <c r="J6" s="55" t="s">
        <v>6</v>
      </c>
      <c r="K6" s="862">
        <f>D69</f>
        <v>1571</v>
      </c>
      <c r="L6" s="862"/>
      <c r="M6" s="23">
        <f>IF(D69&gt;=50, ROUNDUP((10+(D69-50)*0.05),2), "해당없음")</f>
        <v>86.05</v>
      </c>
      <c r="N6" s="252">
        <v>350</v>
      </c>
      <c r="O6" s="857" t="s">
        <v>13</v>
      </c>
      <c r="P6" s="858"/>
    </row>
    <row r="7" spans="2:21" ht="17.100000000000001" customHeight="1">
      <c r="B7" s="77"/>
      <c r="C7" s="74" t="s">
        <v>40</v>
      </c>
      <c r="D7" s="863" t="s">
        <v>78</v>
      </c>
      <c r="E7" s="864"/>
      <c r="F7" s="864"/>
      <c r="G7" s="864"/>
      <c r="H7" s="865"/>
      <c r="I7" s="51"/>
      <c r="J7" s="56" t="s">
        <v>66</v>
      </c>
      <c r="K7" s="24"/>
      <c r="L7" s="63"/>
      <c r="M7" s="25"/>
      <c r="N7" s="255">
        <v>100</v>
      </c>
      <c r="O7" s="859"/>
      <c r="P7" s="860"/>
    </row>
    <row r="8" spans="2:21" ht="17.100000000000001" customHeight="1">
      <c r="B8" s="77"/>
      <c r="C8" s="881" t="s">
        <v>41</v>
      </c>
      <c r="D8" s="884" t="s">
        <v>3</v>
      </c>
      <c r="E8" s="885"/>
      <c r="F8" s="103">
        <v>74209.399999999994</v>
      </c>
      <c r="G8" s="104">
        <f t="shared" ref="G8:G10" si="0">ROUNDDOWN(F8*0.3025,2)</f>
        <v>22448.34</v>
      </c>
      <c r="H8" s="105">
        <f>F8/$F$8</f>
        <v>1</v>
      </c>
      <c r="I8" s="51"/>
      <c r="J8" s="54" t="s">
        <v>67</v>
      </c>
      <c r="K8" s="1092" t="s">
        <v>75</v>
      </c>
      <c r="L8" s="868" t="s">
        <v>146</v>
      </c>
      <c r="M8" s="188">
        <v>500</v>
      </c>
      <c r="N8" s="251">
        <v>600</v>
      </c>
      <c r="O8" s="27"/>
      <c r="P8" s="69"/>
      <c r="U8" s="173"/>
    </row>
    <row r="9" spans="2:21" ht="17.100000000000001" customHeight="1">
      <c r="B9" s="77"/>
      <c r="C9" s="882"/>
      <c r="D9" s="1112" t="s">
        <v>14</v>
      </c>
      <c r="E9" s="65" t="s">
        <v>133</v>
      </c>
      <c r="F9" s="13">
        <v>9078</v>
      </c>
      <c r="G9" s="14">
        <f t="shared" si="0"/>
        <v>2746.09</v>
      </c>
      <c r="H9" s="15">
        <f t="shared" ref="H9:H10" si="1">F9/$F$8</f>
        <v>0.12232951620684172</v>
      </c>
      <c r="I9" s="189"/>
      <c r="J9" s="55" t="s">
        <v>24</v>
      </c>
      <c r="K9" s="1093"/>
      <c r="L9" s="869"/>
      <c r="M9" s="188">
        <v>725</v>
      </c>
      <c r="N9" s="252">
        <v>1200</v>
      </c>
      <c r="O9" s="82"/>
      <c r="P9" s="68"/>
    </row>
    <row r="10" spans="2:21" ht="17.100000000000001" customHeight="1">
      <c r="B10" s="77"/>
      <c r="C10" s="882"/>
      <c r="D10" s="1113"/>
      <c r="E10" s="65" t="s">
        <v>134</v>
      </c>
      <c r="F10" s="13">
        <v>5100</v>
      </c>
      <c r="G10" s="14">
        <f t="shared" si="0"/>
        <v>1542.75</v>
      </c>
      <c r="H10" s="15">
        <f t="shared" si="1"/>
        <v>6.8724447307214456E-2</v>
      </c>
      <c r="I10" s="51"/>
      <c r="J10" s="55" t="s">
        <v>35</v>
      </c>
      <c r="K10" s="1093"/>
      <c r="L10" s="870"/>
      <c r="M10" s="188">
        <v>298</v>
      </c>
      <c r="N10" s="252">
        <v>650</v>
      </c>
      <c r="O10" s="28"/>
      <c r="P10" s="68"/>
      <c r="S10" s="130"/>
      <c r="T10" s="149"/>
    </row>
    <row r="11" spans="2:21" ht="17.100000000000001" customHeight="1">
      <c r="B11" s="77"/>
      <c r="C11" s="882"/>
      <c r="D11" s="1113"/>
      <c r="E11" s="65" t="s">
        <v>129</v>
      </c>
      <c r="F11" s="13">
        <v>1000</v>
      </c>
      <c r="G11" s="14">
        <f t="shared" ref="G11:G12" si="2">ROUNDDOWN(F11*0.3025,2)</f>
        <v>302.5</v>
      </c>
      <c r="H11" s="15">
        <f t="shared" ref="H11:H12" si="3">F11/$F$8</f>
        <v>1.347538182494401E-2</v>
      </c>
      <c r="I11" s="189"/>
      <c r="J11" s="55" t="s">
        <v>88</v>
      </c>
      <c r="K11" s="1093"/>
      <c r="L11" s="147" t="str">
        <f>IF(D69&gt;=500,"500세대이상 의무설치", "해당없음")</f>
        <v>500세대이상 의무설치</v>
      </c>
      <c r="M11" s="26" t="str">
        <f>IF(D69&gt;=500,"66㎡ 이상", "해당없음")</f>
        <v>66㎡ 이상</v>
      </c>
      <c r="N11" s="252">
        <v>100</v>
      </c>
      <c r="O11" s="28"/>
      <c r="P11" s="68"/>
      <c r="S11" s="130"/>
      <c r="T11" s="149"/>
    </row>
    <row r="12" spans="2:21" ht="17.100000000000001" customHeight="1">
      <c r="B12" s="77"/>
      <c r="C12" s="882"/>
      <c r="D12" s="1113"/>
      <c r="E12" s="65" t="s">
        <v>130</v>
      </c>
      <c r="F12" s="13">
        <v>250</v>
      </c>
      <c r="G12" s="14">
        <f t="shared" si="2"/>
        <v>75.62</v>
      </c>
      <c r="H12" s="15">
        <f t="shared" si="3"/>
        <v>3.3688454562360026E-3</v>
      </c>
      <c r="I12" s="51"/>
      <c r="J12" s="55" t="s">
        <v>34</v>
      </c>
      <c r="K12" s="1093"/>
      <c r="L12" s="61"/>
      <c r="M12" s="47"/>
      <c r="N12" s="252">
        <v>5200</v>
      </c>
      <c r="O12" s="22"/>
      <c r="P12" s="68"/>
      <c r="S12" s="130"/>
      <c r="T12" s="149"/>
    </row>
    <row r="13" spans="2:21" ht="17.100000000000001" customHeight="1">
      <c r="B13" s="77"/>
      <c r="C13" s="882"/>
      <c r="D13" s="1113"/>
      <c r="E13" s="65" t="s">
        <v>135</v>
      </c>
      <c r="F13" s="13">
        <f>1039.4+1199.7+770</f>
        <v>3009.1000000000004</v>
      </c>
      <c r="G13" s="14">
        <f>ROUNDDOWN(F13*0.3025,2)</f>
        <v>910.25</v>
      </c>
      <c r="H13" s="15">
        <f>F13/$F$8</f>
        <v>4.0548771449439025E-2</v>
      </c>
      <c r="I13" s="51"/>
      <c r="J13" s="55" t="s">
        <v>147</v>
      </c>
      <c r="K13" s="1093"/>
      <c r="L13" s="61"/>
      <c r="M13" s="47"/>
      <c r="N13" s="250">
        <v>420</v>
      </c>
      <c r="O13" s="22"/>
      <c r="P13" s="68"/>
      <c r="S13" s="130"/>
      <c r="T13" s="149"/>
    </row>
    <row r="14" spans="2:21" ht="17.100000000000001" customHeight="1">
      <c r="B14" s="77"/>
      <c r="C14" s="882"/>
      <c r="D14" s="1113"/>
      <c r="E14" s="65" t="s">
        <v>131</v>
      </c>
      <c r="F14" s="13">
        <v>954.6</v>
      </c>
      <c r="G14" s="14">
        <f>ROUNDDOWN(F14*0.3025,2)</f>
        <v>288.76</v>
      </c>
      <c r="H14" s="15">
        <f>F14/$F$8</f>
        <v>1.2863599490091552E-2</v>
      </c>
      <c r="I14" s="192"/>
      <c r="J14" s="55" t="s">
        <v>145</v>
      </c>
      <c r="K14" s="1093"/>
      <c r="L14" s="61"/>
      <c r="M14" s="47"/>
      <c r="N14" s="250">
        <v>500</v>
      </c>
      <c r="O14" s="22"/>
      <c r="P14" s="68"/>
      <c r="S14" s="130"/>
      <c r="T14" s="149"/>
    </row>
    <row r="15" spans="2:21" ht="17.100000000000001" customHeight="1">
      <c r="B15" s="77"/>
      <c r="C15" s="882"/>
      <c r="D15" s="1113"/>
      <c r="I15" s="191"/>
      <c r="J15" s="55" t="s">
        <v>76</v>
      </c>
      <c r="K15" s="1093"/>
      <c r="L15" s="202" t="str">
        <f>IF(D69&gt;=500,"500세대이상 의무설치", "해당없음")</f>
        <v>500세대이상 의무설치</v>
      </c>
      <c r="M15" s="47"/>
      <c r="N15" s="253">
        <v>800</v>
      </c>
      <c r="O15" s="22"/>
      <c r="P15" s="68"/>
      <c r="S15" s="130"/>
      <c r="T15" s="149"/>
    </row>
    <row r="16" spans="2:21" ht="17.100000000000001" customHeight="1">
      <c r="B16" s="77"/>
      <c r="C16" s="882"/>
      <c r="D16" s="1114"/>
      <c r="E16" s="65" t="s">
        <v>132</v>
      </c>
      <c r="F16" s="100">
        <f>SUM(F9:F14)</f>
        <v>19391.699999999997</v>
      </c>
      <c r="G16" s="101">
        <f>ROUNDDOWN(F16*0.3025,2)</f>
        <v>5865.98</v>
      </c>
      <c r="H16" s="102">
        <f>F16/$F$8</f>
        <v>0.26131056173476674</v>
      </c>
      <c r="I16" s="51"/>
      <c r="J16" s="55" t="s">
        <v>77</v>
      </c>
      <c r="K16" s="1094"/>
      <c r="L16" s="202" t="str">
        <f>IF(D69&lt;100,"-해당없음-",IF(D69&lt;300,"지역여건에 맞게 설치",IF(D69&lt;1000,"200㎡+세대당 1㎡",IF(D69&gt;1000,"500㎡+세대당 0.7㎡"))))</f>
        <v>500㎡+세대당 0.7㎡</v>
      </c>
      <c r="M16" s="26">
        <f>500+(D69*0.7)</f>
        <v>1599.6999999999998</v>
      </c>
      <c r="N16" s="253">
        <f>ROUNDUP(M16,-2)+100</f>
        <v>1700</v>
      </c>
      <c r="O16" s="1095"/>
      <c r="P16" s="1096"/>
    </row>
    <row r="17" spans="2:27" ht="17.100000000000001" customHeight="1">
      <c r="B17" s="77"/>
      <c r="C17" s="883"/>
      <c r="D17" s="1115" t="s">
        <v>42</v>
      </c>
      <c r="E17" s="1116"/>
      <c r="F17" s="16">
        <f>F8-F16</f>
        <v>54817.7</v>
      </c>
      <c r="G17" s="17">
        <f>ROUNDDOWN(F17*0.3025,2)</f>
        <v>16582.349999999999</v>
      </c>
      <c r="H17" s="18">
        <f>F17/$F$8</f>
        <v>0.73868943826523326</v>
      </c>
      <c r="I17" s="51"/>
      <c r="J17" s="201" t="s">
        <v>26</v>
      </c>
      <c r="K17" s="892" t="s">
        <v>79</v>
      </c>
      <c r="L17" s="893"/>
      <c r="M17" s="198">
        <f>500+$D$69*2</f>
        <v>3642</v>
      </c>
      <c r="N17" s="254">
        <f>N8+N9+N10+N11+N12+N14+N15+N16</f>
        <v>10750</v>
      </c>
      <c r="O17" s="894" t="s">
        <v>80</v>
      </c>
      <c r="P17" s="895"/>
    </row>
    <row r="18" spans="2:27" ht="17.100000000000001" customHeight="1">
      <c r="B18" s="77"/>
      <c r="C18" s="1079" t="s">
        <v>43</v>
      </c>
      <c r="D18" s="1082" t="s">
        <v>70</v>
      </c>
      <c r="E18" s="1083"/>
      <c r="F18" s="866" t="s">
        <v>71</v>
      </c>
      <c r="G18" s="866"/>
      <c r="H18" s="64" t="s">
        <v>72</v>
      </c>
      <c r="I18" s="51"/>
      <c r="J18" s="54" t="s">
        <v>36</v>
      </c>
      <c r="K18" s="1097" t="s">
        <v>85</v>
      </c>
      <c r="L18" s="1098"/>
      <c r="M18" s="199">
        <f>F17*0.15</f>
        <v>8222.6549999999988</v>
      </c>
      <c r="N18" s="200">
        <f>ROUNDUP(M18,-2)+200</f>
        <v>8500</v>
      </c>
      <c r="O18" s="21"/>
      <c r="P18" s="67"/>
      <c r="S18" s="130"/>
      <c r="T18" s="177"/>
    </row>
    <row r="19" spans="2:27" ht="17.100000000000001" customHeight="1">
      <c r="B19" s="77"/>
      <c r="C19" s="1080"/>
      <c r="D19" s="867" t="s">
        <v>44</v>
      </c>
      <c r="E19" s="66" t="s">
        <v>45</v>
      </c>
      <c r="F19" s="19">
        <f>J69+N13+N14</f>
        <v>146300.85</v>
      </c>
      <c r="G19" s="14">
        <f>ROUNDDOWN(F19*0.3025,2)</f>
        <v>44256</v>
      </c>
      <c r="H19" s="886">
        <f>F19/$F$25</f>
        <v>0.98518526998330314</v>
      </c>
      <c r="I19" s="51"/>
      <c r="J19" s="959" t="s">
        <v>37</v>
      </c>
      <c r="K19" s="874" t="s">
        <v>81</v>
      </c>
      <c r="L19" s="197" t="s">
        <v>122</v>
      </c>
      <c r="M19" s="178">
        <f>ROUNDUP((D49*F49+D43*F43+D47*F47+D53*F53+D55*F55+D39*F39+D41*F41+D57*F57+D59*F59)/75,0)</f>
        <v>1302</v>
      </c>
      <c r="N19" s="965">
        <f>D69*O19</f>
        <v>2827.8</v>
      </c>
      <c r="O19" s="968">
        <v>1.8</v>
      </c>
      <c r="P19" s="969"/>
      <c r="S19" s="177"/>
    </row>
    <row r="20" spans="2:27" ht="17.100000000000001" customHeight="1">
      <c r="B20" s="77"/>
      <c r="C20" s="1080"/>
      <c r="D20" s="867"/>
      <c r="E20" s="66" t="s">
        <v>46</v>
      </c>
      <c r="F20" s="19">
        <f>K69+M69+N6+N7+N8+N9+N10+N11+N12</f>
        <v>127967.6</v>
      </c>
      <c r="G20" s="14">
        <f t="shared" ref="G20:G27" si="4">ROUNDDOWN(F20*0.3025,2)</f>
        <v>38710.19</v>
      </c>
      <c r="H20" s="887"/>
      <c r="I20" s="51"/>
      <c r="J20" s="960"/>
      <c r="K20" s="875"/>
      <c r="L20" s="150" t="s">
        <v>123</v>
      </c>
      <c r="M20" s="179">
        <f>ROUNDUP((D61*F61+D63*F63+D65*F65)/65,0)</f>
        <v>176</v>
      </c>
      <c r="N20" s="966"/>
      <c r="O20" s="970"/>
      <c r="P20" s="971"/>
      <c r="S20" s="177"/>
      <c r="T20" s="889"/>
      <c r="U20" s="889"/>
      <c r="V20" s="889"/>
      <c r="W20" s="889"/>
      <c r="X20" s="889"/>
      <c r="Y20" s="889"/>
      <c r="Z20" s="889"/>
      <c r="AA20" s="889"/>
    </row>
    <row r="21" spans="2:27" ht="17.100000000000001" customHeight="1">
      <c r="B21" s="77"/>
      <c r="C21" s="1080"/>
      <c r="D21" s="867"/>
      <c r="E21" s="66" t="s">
        <v>47</v>
      </c>
      <c r="F21" s="19">
        <f>SUM(F19:F20)</f>
        <v>274268.45</v>
      </c>
      <c r="G21" s="14">
        <f t="shared" si="4"/>
        <v>82966.2</v>
      </c>
      <c r="H21" s="888"/>
      <c r="I21" s="51"/>
      <c r="J21" s="960"/>
      <c r="K21" s="876"/>
      <c r="L21" s="151" t="s">
        <v>82</v>
      </c>
      <c r="M21" s="180">
        <f>SUM(M19:M20)</f>
        <v>1478</v>
      </c>
      <c r="N21" s="966"/>
      <c r="O21" s="970"/>
      <c r="P21" s="971"/>
      <c r="T21" s="889"/>
      <c r="U21" s="889"/>
      <c r="V21" s="889"/>
      <c r="W21" s="889"/>
      <c r="X21" s="889"/>
      <c r="Y21" s="889"/>
      <c r="Z21" s="889"/>
      <c r="AA21" s="889"/>
    </row>
    <row r="22" spans="2:27" ht="17.100000000000001" customHeight="1">
      <c r="B22" s="77"/>
      <c r="C22" s="1080"/>
      <c r="D22" s="953" t="s">
        <v>38</v>
      </c>
      <c r="E22" s="65" t="s">
        <v>45</v>
      </c>
      <c r="F22" s="19">
        <f>M76</f>
        <v>2200</v>
      </c>
      <c r="G22" s="14">
        <f t="shared" si="4"/>
        <v>665.5</v>
      </c>
      <c r="H22" s="886">
        <f>F22/$F$25</f>
        <v>1.4814730016696873E-2</v>
      </c>
      <c r="I22" s="51"/>
      <c r="J22" s="960"/>
      <c r="K22" s="874" t="s">
        <v>86</v>
      </c>
      <c r="L22" s="159" t="s">
        <v>121</v>
      </c>
      <c r="M22" s="178">
        <f>(D39+D41+D43+D47+D53+D55+D57)*0.8</f>
        <v>725.6</v>
      </c>
      <c r="N22" s="966"/>
      <c r="O22" s="970"/>
      <c r="P22" s="971"/>
      <c r="T22" s="174"/>
      <c r="U22" s="890"/>
      <c r="V22" s="891"/>
      <c r="W22" s="907"/>
      <c r="X22" s="891"/>
      <c r="Y22" s="891"/>
      <c r="Z22" s="891"/>
    </row>
    <row r="23" spans="2:27" ht="17.100000000000001" customHeight="1">
      <c r="B23" s="77"/>
      <c r="C23" s="1080"/>
      <c r="D23" s="953"/>
      <c r="E23" s="65" t="s">
        <v>46</v>
      </c>
      <c r="F23" s="19">
        <f>D103</f>
        <v>4640</v>
      </c>
      <c r="G23" s="14">
        <f t="shared" si="4"/>
        <v>1403.6</v>
      </c>
      <c r="H23" s="887"/>
      <c r="I23" s="51"/>
      <c r="J23" s="960"/>
      <c r="K23" s="875"/>
      <c r="L23" s="160" t="s">
        <v>119</v>
      </c>
      <c r="M23" s="181">
        <f>(D49+D59+D61+D63+D65)*1</f>
        <v>664</v>
      </c>
      <c r="N23" s="966"/>
      <c r="O23" s="970"/>
      <c r="P23" s="971"/>
      <c r="T23" s="175"/>
      <c r="U23" s="908"/>
      <c r="V23" s="909"/>
      <c r="W23" s="910"/>
      <c r="X23" s="911"/>
      <c r="Y23" s="911"/>
      <c r="Z23" s="911"/>
    </row>
    <row r="24" spans="2:27" ht="17.100000000000001" customHeight="1">
      <c r="B24" s="77"/>
      <c r="C24" s="1080"/>
      <c r="D24" s="953"/>
      <c r="E24" s="65" t="s">
        <v>47</v>
      </c>
      <c r="F24" s="19">
        <f>F22+F23</f>
        <v>6840</v>
      </c>
      <c r="G24" s="14">
        <f t="shared" si="4"/>
        <v>2069.1</v>
      </c>
      <c r="H24" s="888"/>
      <c r="I24" s="51"/>
      <c r="J24" s="960"/>
      <c r="K24" s="876"/>
      <c r="L24" s="152" t="s">
        <v>82</v>
      </c>
      <c r="M24" s="180">
        <f>SUM(M22:M23)</f>
        <v>1389.6</v>
      </c>
      <c r="N24" s="967"/>
      <c r="O24" s="972"/>
      <c r="P24" s="973"/>
      <c r="T24" s="176"/>
      <c r="U24" s="908"/>
      <c r="V24" s="909"/>
      <c r="W24" s="910"/>
      <c r="X24" s="911"/>
      <c r="Y24" s="911"/>
      <c r="Z24" s="911"/>
    </row>
    <row r="25" spans="2:27" ht="17.100000000000001" customHeight="1">
      <c r="B25" s="77"/>
      <c r="C25" s="1080"/>
      <c r="D25" s="953" t="s">
        <v>1</v>
      </c>
      <c r="E25" s="65" t="s">
        <v>45</v>
      </c>
      <c r="F25" s="46">
        <f>F19+F22</f>
        <v>148500.85</v>
      </c>
      <c r="G25" s="14">
        <f t="shared" si="4"/>
        <v>44921.5</v>
      </c>
      <c r="H25" s="886">
        <f>F25/$F$25</f>
        <v>1</v>
      </c>
      <c r="I25" s="51"/>
      <c r="J25" s="960"/>
      <c r="K25" s="153" t="s">
        <v>38</v>
      </c>
      <c r="L25" s="154">
        <v>134</v>
      </c>
      <c r="M25" s="182">
        <f>(I80+K80)/L25</f>
        <v>36.940298507462686</v>
      </c>
      <c r="N25" s="155">
        <f>ROUNDUP(M25*O25,0)</f>
        <v>45</v>
      </c>
      <c r="O25" s="914">
        <v>1.2</v>
      </c>
      <c r="P25" s="915"/>
    </row>
    <row r="26" spans="2:27" ht="17.100000000000001" customHeight="1">
      <c r="B26" s="77"/>
      <c r="C26" s="1080"/>
      <c r="D26" s="953"/>
      <c r="E26" s="65" t="s">
        <v>46</v>
      </c>
      <c r="F26" s="46">
        <f>F20+F23</f>
        <v>132607.6</v>
      </c>
      <c r="G26" s="14">
        <f t="shared" si="4"/>
        <v>40113.79</v>
      </c>
      <c r="H26" s="887"/>
      <c r="I26" s="51"/>
      <c r="J26" s="961"/>
      <c r="K26" s="912" t="s">
        <v>69</v>
      </c>
      <c r="L26" s="913"/>
      <c r="M26" s="183">
        <f>SUM(M24+M25)</f>
        <v>1426.5402985074627</v>
      </c>
      <c r="N26" s="156">
        <f>SUM(N19+N25)</f>
        <v>2872.8</v>
      </c>
      <c r="O26" s="916"/>
      <c r="P26" s="917"/>
      <c r="Q26"/>
      <c r="R26"/>
    </row>
    <row r="27" spans="2:27" ht="17.100000000000001" customHeight="1">
      <c r="B27" s="77"/>
      <c r="C27" s="1081"/>
      <c r="D27" s="954"/>
      <c r="E27" s="263" t="s">
        <v>1</v>
      </c>
      <c r="F27" s="264">
        <f>F21+F24</f>
        <v>281108.45</v>
      </c>
      <c r="G27" s="17">
        <f t="shared" si="4"/>
        <v>85035.3</v>
      </c>
      <c r="H27" s="955"/>
      <c r="I27" s="51"/>
      <c r="J27" s="962"/>
      <c r="K27" s="963"/>
      <c r="L27" s="963"/>
      <c r="M27" s="963"/>
      <c r="N27" s="963"/>
      <c r="O27" s="963"/>
      <c r="P27" s="964"/>
      <c r="Q27"/>
      <c r="R27"/>
    </row>
    <row r="28" spans="2:27" ht="17.100000000000001" customHeight="1">
      <c r="B28" s="77"/>
      <c r="C28" s="261" t="s">
        <v>149</v>
      </c>
      <c r="D28" s="1111">
        <v>279559.49</v>
      </c>
      <c r="E28" s="1111"/>
      <c r="F28" s="262">
        <f>D28*1.05</f>
        <v>293537.4645</v>
      </c>
      <c r="G28" s="260"/>
      <c r="I28" s="51"/>
      <c r="J28" s="879" t="s">
        <v>124</v>
      </c>
      <c r="K28" s="196" t="s">
        <v>139</v>
      </c>
      <c r="L28" s="195">
        <f>D69-(P31*2)</f>
        <v>1499</v>
      </c>
      <c r="M28" s="194">
        <v>0.15</v>
      </c>
      <c r="N28" s="259"/>
      <c r="O28" s="1101">
        <f>L28*M28</f>
        <v>224.85</v>
      </c>
      <c r="P28" s="1102"/>
      <c r="Q28"/>
      <c r="R28"/>
    </row>
    <row r="29" spans="2:27" ht="17.100000000000001" customHeight="1">
      <c r="B29" s="77"/>
      <c r="C29" s="72" t="s">
        <v>48</v>
      </c>
      <c r="D29" s="1105">
        <f>9794.86+N7+I80</f>
        <v>14494.86</v>
      </c>
      <c r="E29" s="1106"/>
      <c r="F29" s="1107"/>
      <c r="G29" s="12">
        <f>ROUNDDOWN(D29*0.3025,2)</f>
        <v>4384.6899999999996</v>
      </c>
      <c r="H29" s="204">
        <v>50</v>
      </c>
      <c r="I29" s="51"/>
      <c r="J29" s="880"/>
      <c r="K29" s="974" t="s">
        <v>136</v>
      </c>
      <c r="L29" s="974"/>
      <c r="M29" s="975"/>
      <c r="O29" s="1103">
        <f>D45</f>
        <v>225</v>
      </c>
      <c r="P29" s="1104"/>
      <c r="Q29"/>
      <c r="R29"/>
      <c r="T29" s="918"/>
      <c r="U29" s="161"/>
      <c r="V29" s="162"/>
      <c r="W29" s="162"/>
      <c r="X29" s="163"/>
      <c r="Y29" s="921"/>
      <c r="Z29" s="922"/>
    </row>
    <row r="30" spans="2:27" ht="17.100000000000001" customHeight="1">
      <c r="B30" s="77"/>
      <c r="C30" s="74" t="s">
        <v>0</v>
      </c>
      <c r="D30" s="1108">
        <f>D29/F17</f>
        <v>0.26441933900911568</v>
      </c>
      <c r="E30" s="1109"/>
      <c r="F30" s="1109"/>
      <c r="G30" s="1110"/>
      <c r="H30" s="205"/>
      <c r="I30" s="51"/>
      <c r="J30" s="962"/>
      <c r="K30" s="963"/>
      <c r="L30" s="963"/>
      <c r="M30" s="963"/>
      <c r="N30" s="963"/>
      <c r="O30" s="963"/>
      <c r="P30" s="964"/>
      <c r="Q30" s="146"/>
      <c r="R30"/>
      <c r="T30" s="919"/>
      <c r="U30" s="165"/>
      <c r="V30" s="157"/>
      <c r="W30" s="171"/>
      <c r="X30" s="157"/>
      <c r="Y30" s="923"/>
      <c r="Z30" s="924"/>
    </row>
    <row r="31" spans="2:27" ht="17.100000000000001" customHeight="1">
      <c r="B31" s="77"/>
      <c r="C31" s="75" t="s">
        <v>64</v>
      </c>
      <c r="D31" s="1105">
        <f>F25</f>
        <v>148500.85</v>
      </c>
      <c r="E31" s="1106"/>
      <c r="F31" s="1107"/>
      <c r="G31" s="12">
        <f>ROUNDDOWN(D31*0.3025,2)</f>
        <v>44921.5</v>
      </c>
      <c r="H31" s="184" t="s">
        <v>120</v>
      </c>
      <c r="I31" s="51"/>
      <c r="J31" s="976" t="s">
        <v>148</v>
      </c>
      <c r="K31" s="190">
        <f>D32</f>
        <v>2.7089945400846811</v>
      </c>
      <c r="L31" s="229">
        <v>2.5821000000000001</v>
      </c>
      <c r="M31" s="256">
        <v>2</v>
      </c>
      <c r="N31" s="257">
        <f>(K31-L31)/M31</f>
        <v>6.344727004234052E-2</v>
      </c>
      <c r="O31" s="1099">
        <f>N32</f>
        <v>3478.0334150000099</v>
      </c>
      <c r="P31" s="871">
        <f>L33+L34</f>
        <v>36</v>
      </c>
      <c r="Q31"/>
      <c r="R31"/>
      <c r="T31" s="919"/>
      <c r="U31" s="167"/>
      <c r="V31" s="168"/>
      <c r="W31" s="172"/>
      <c r="X31" s="168"/>
      <c r="Y31" s="925"/>
      <c r="Z31" s="926"/>
    </row>
    <row r="32" spans="2:27" ht="17.100000000000001" customHeight="1">
      <c r="B32" s="77"/>
      <c r="C32" s="83" t="s">
        <v>62</v>
      </c>
      <c r="D32" s="854">
        <f>D31/F17</f>
        <v>2.7089945400846811</v>
      </c>
      <c r="E32" s="855"/>
      <c r="F32" s="855"/>
      <c r="G32" s="856"/>
      <c r="H32" s="187">
        <v>270.94</v>
      </c>
      <c r="I32" s="51"/>
      <c r="J32" s="977"/>
      <c r="K32" s="236"/>
      <c r="L32" s="237">
        <f>F17</f>
        <v>54817.7</v>
      </c>
      <c r="M32" s="238">
        <f>N31</f>
        <v>6.344727004234052E-2</v>
      </c>
      <c r="N32" s="258">
        <f>L32*M32</f>
        <v>3478.0334150000099</v>
      </c>
      <c r="O32" s="1100"/>
      <c r="P32" s="872"/>
      <c r="Q32"/>
      <c r="R32"/>
      <c r="S32" s="169"/>
      <c r="T32" s="919"/>
      <c r="U32" s="165"/>
      <c r="V32" s="157"/>
      <c r="W32" s="170"/>
      <c r="X32" s="157"/>
      <c r="Y32" s="927"/>
      <c r="Z32" s="929"/>
    </row>
    <row r="33" spans="2:26" ht="17.100000000000001" customHeight="1">
      <c r="B33" s="77"/>
      <c r="C33" s="75" t="s">
        <v>63</v>
      </c>
      <c r="D33" s="1088">
        <f>D69</f>
        <v>1571</v>
      </c>
      <c r="E33" s="1089"/>
      <c r="F33" s="1089"/>
      <c r="G33" s="1090"/>
      <c r="H33" s="20"/>
      <c r="I33" s="51"/>
      <c r="J33" s="978"/>
      <c r="K33" s="241">
        <f>C48</f>
        <v>59</v>
      </c>
      <c r="L33" s="242">
        <f>D47</f>
        <v>18</v>
      </c>
      <c r="M33" s="243">
        <f>J47</f>
        <v>81.02000000000001</v>
      </c>
      <c r="N33" s="240">
        <f>L33*M33</f>
        <v>1458.3600000000001</v>
      </c>
      <c r="O33" s="903">
        <f>N33+N34</f>
        <v>3470.4</v>
      </c>
      <c r="P33" s="872"/>
      <c r="Q33"/>
      <c r="R33"/>
      <c r="S33" s="169"/>
      <c r="T33" s="919"/>
      <c r="U33" s="230"/>
      <c r="V33" s="231"/>
      <c r="W33" s="232"/>
      <c r="X33" s="231"/>
      <c r="Y33" s="927"/>
      <c r="Z33" s="929"/>
    </row>
    <row r="34" spans="2:26" ht="17.100000000000001" customHeight="1">
      <c r="B34" s="77"/>
      <c r="C34" s="83" t="s">
        <v>37</v>
      </c>
      <c r="D34" s="949">
        <f>N26</f>
        <v>2872.8</v>
      </c>
      <c r="E34" s="950"/>
      <c r="F34" s="950"/>
      <c r="G34" s="164"/>
      <c r="H34" s="62">
        <f>$N$19/$D$69</f>
        <v>1.8</v>
      </c>
      <c r="I34" s="51"/>
      <c r="J34" s="979"/>
      <c r="K34" s="233">
        <f>C50</f>
        <v>84</v>
      </c>
      <c r="L34" s="234">
        <f>D49</f>
        <v>18</v>
      </c>
      <c r="M34" s="235">
        <f>J49</f>
        <v>111.78</v>
      </c>
      <c r="N34" s="239">
        <f>L34*M34</f>
        <v>2012.04</v>
      </c>
      <c r="O34" s="904"/>
      <c r="P34" s="873"/>
      <c r="Q34"/>
      <c r="R34"/>
      <c r="T34" s="920"/>
      <c r="U34" s="166"/>
      <c r="V34" s="158"/>
      <c r="W34" s="166"/>
      <c r="X34" s="158"/>
      <c r="Y34" s="928"/>
      <c r="Z34" s="930"/>
    </row>
    <row r="35" spans="2:26" ht="6.75" customHeight="1">
      <c r="B35" s="77"/>
      <c r="C35" s="76"/>
      <c r="D35" s="57"/>
      <c r="E35" s="57"/>
      <c r="F35" s="57"/>
      <c r="G35" s="57"/>
      <c r="H35" s="57"/>
      <c r="I35" s="52"/>
      <c r="J35" s="57"/>
      <c r="K35" s="57"/>
      <c r="L35" s="57"/>
      <c r="M35" s="57"/>
      <c r="N35" s="57"/>
      <c r="O35" s="57"/>
      <c r="P35" s="57"/>
      <c r="Q35"/>
      <c r="R35" s="10"/>
    </row>
    <row r="36" spans="2:26" ht="17.25">
      <c r="B36" s="77"/>
      <c r="C36" s="951" t="s">
        <v>31</v>
      </c>
      <c r="D36" s="951"/>
      <c r="E36" s="951"/>
      <c r="F36" s="951"/>
      <c r="G36" s="951"/>
      <c r="H36" s="951"/>
      <c r="I36" s="951"/>
      <c r="J36" s="951"/>
      <c r="K36" s="951"/>
      <c r="L36" s="951"/>
      <c r="M36" s="951"/>
      <c r="N36" s="951"/>
      <c r="O36" s="951"/>
      <c r="P36" s="952"/>
      <c r="S36" s="4"/>
    </row>
    <row r="37" spans="2:26" s="4" customFormat="1" ht="15.75" customHeight="1">
      <c r="B37" s="78"/>
      <c r="C37" s="957" t="s">
        <v>16</v>
      </c>
      <c r="D37" s="877" t="s">
        <v>2</v>
      </c>
      <c r="E37" s="877" t="s">
        <v>17</v>
      </c>
      <c r="F37" s="877" t="s">
        <v>18</v>
      </c>
      <c r="G37" s="877" t="s">
        <v>19</v>
      </c>
      <c r="H37" s="877"/>
      <c r="I37" s="877"/>
      <c r="J37" s="877" t="s">
        <v>8</v>
      </c>
      <c r="K37" s="877" t="s">
        <v>30</v>
      </c>
      <c r="L37" s="877"/>
      <c r="M37" s="877"/>
      <c r="N37" s="877" t="s">
        <v>23</v>
      </c>
      <c r="O37" s="877" t="s">
        <v>20</v>
      </c>
      <c r="P37" s="956" t="s">
        <v>68</v>
      </c>
    </row>
    <row r="38" spans="2:26" s="4" customFormat="1" ht="15.75" customHeight="1">
      <c r="B38" s="78"/>
      <c r="C38" s="958"/>
      <c r="D38" s="878"/>
      <c r="E38" s="878"/>
      <c r="F38" s="878"/>
      <c r="G38" s="80" t="s">
        <v>21</v>
      </c>
      <c r="H38" s="80" t="s">
        <v>142</v>
      </c>
      <c r="I38" s="80" t="s">
        <v>22</v>
      </c>
      <c r="J38" s="878"/>
      <c r="K38" s="80" t="s">
        <v>28</v>
      </c>
      <c r="L38" s="80" t="s">
        <v>15</v>
      </c>
      <c r="M38" s="80" t="s">
        <v>32</v>
      </c>
      <c r="N38" s="878"/>
      <c r="O38" s="878"/>
      <c r="P38" s="878"/>
      <c r="S38" s="2"/>
    </row>
    <row r="39" spans="2:26" ht="11.25" customHeight="1">
      <c r="B39" s="203"/>
      <c r="C39" s="86">
        <f>ROUNDDOWN(J40,0)</f>
        <v>16</v>
      </c>
      <c r="D39" s="935">
        <v>95</v>
      </c>
      <c r="E39" s="937">
        <f>D39/$D$69</f>
        <v>6.0471037555697008E-2</v>
      </c>
      <c r="F39" s="89">
        <v>39.96</v>
      </c>
      <c r="G39" s="89">
        <f>G53</f>
        <v>5.85</v>
      </c>
      <c r="H39" s="89">
        <f>H53</f>
        <v>8.91</v>
      </c>
      <c r="I39" s="89">
        <f>G39+H39</f>
        <v>14.76</v>
      </c>
      <c r="J39" s="89">
        <f>F39+I39</f>
        <v>54.72</v>
      </c>
      <c r="K39" s="89">
        <f>$K$69/$F$69*F39</f>
        <v>0.3666424715666286</v>
      </c>
      <c r="L39" s="89">
        <f>$L$69/$F$69*F39</f>
        <v>3.3437793406876533</v>
      </c>
      <c r="M39" s="89">
        <f>$M$69/$F$69*F39</f>
        <v>43.545246406036725</v>
      </c>
      <c r="N39" s="89">
        <f>K39+L39+M39</f>
        <v>47.255668218291007</v>
      </c>
      <c r="O39" s="89">
        <f>J39+N39</f>
        <v>101.97566821829101</v>
      </c>
      <c r="P39" s="898" t="s">
        <v>141</v>
      </c>
      <c r="R39" s="905">
        <f>D39+D41</f>
        <v>180</v>
      </c>
    </row>
    <row r="40" spans="2:26" ht="11.25" customHeight="1">
      <c r="B40" s="203"/>
      <c r="C40" s="87">
        <v>39</v>
      </c>
      <c r="D40" s="936"/>
      <c r="E40" s="938"/>
      <c r="F40" s="111">
        <f t="shared" ref="F40:O40" si="5">ROUNDDOWN(F39*0.3025,2)</f>
        <v>12.08</v>
      </c>
      <c r="G40" s="111">
        <f t="shared" si="5"/>
        <v>1.76</v>
      </c>
      <c r="H40" s="111">
        <f t="shared" si="5"/>
        <v>2.69</v>
      </c>
      <c r="I40" s="111">
        <f t="shared" si="5"/>
        <v>4.46</v>
      </c>
      <c r="J40" s="111">
        <f t="shared" si="5"/>
        <v>16.55</v>
      </c>
      <c r="K40" s="111">
        <f t="shared" si="5"/>
        <v>0.11</v>
      </c>
      <c r="L40" s="111">
        <f t="shared" si="5"/>
        <v>1.01</v>
      </c>
      <c r="M40" s="111">
        <f t="shared" si="5"/>
        <v>13.17</v>
      </c>
      <c r="N40" s="111">
        <f t="shared" si="5"/>
        <v>14.29</v>
      </c>
      <c r="O40" s="111">
        <f t="shared" si="5"/>
        <v>30.84</v>
      </c>
      <c r="P40" s="899"/>
      <c r="R40" s="906"/>
    </row>
    <row r="41" spans="2:26" ht="12" customHeight="1">
      <c r="B41" s="203"/>
      <c r="C41" s="88">
        <f>ROUNDDOWN(J42,0)</f>
        <v>20</v>
      </c>
      <c r="D41" s="939">
        <v>85</v>
      </c>
      <c r="E41" s="940">
        <f>D41/$D$69</f>
        <v>5.4105665181413111E-2</v>
      </c>
      <c r="F41" s="90">
        <v>49.98</v>
      </c>
      <c r="G41" s="90">
        <f>G55</f>
        <v>6.85</v>
      </c>
      <c r="H41" s="90">
        <f>H55</f>
        <v>11.15</v>
      </c>
      <c r="I41" s="90">
        <f>G41+H41</f>
        <v>18</v>
      </c>
      <c r="J41" s="90">
        <f>I41+F41</f>
        <v>67.97999999999999</v>
      </c>
      <c r="K41" s="90">
        <f>$K$69/$F$69*F41</f>
        <v>0.45857834656907148</v>
      </c>
      <c r="L41" s="90">
        <f>$L$69/$F$69*F41</f>
        <v>4.1822345207099323</v>
      </c>
      <c r="M41" s="90">
        <f>$M$69/$F$69*F41</f>
        <v>54.464249633976863</v>
      </c>
      <c r="N41" s="90">
        <f>N57</f>
        <v>70.942631041423368</v>
      </c>
      <c r="O41" s="90">
        <f>J41+N41</f>
        <v>138.92263104142336</v>
      </c>
      <c r="P41" s="899"/>
      <c r="R41" s="130"/>
    </row>
    <row r="42" spans="2:26" ht="12" customHeight="1" thickBot="1">
      <c r="B42" s="203"/>
      <c r="C42" s="206">
        <f>ROUNDDOWN(F41,0)</f>
        <v>49</v>
      </c>
      <c r="D42" s="939"/>
      <c r="E42" s="940"/>
      <c r="F42" s="207">
        <f t="shared" ref="F42:O42" si="6">ROUNDDOWN(F41*0.3025,2)</f>
        <v>15.11</v>
      </c>
      <c r="G42" s="207">
        <f t="shared" si="6"/>
        <v>2.0699999999999998</v>
      </c>
      <c r="H42" s="207">
        <f t="shared" si="6"/>
        <v>3.37</v>
      </c>
      <c r="I42" s="207">
        <f t="shared" si="6"/>
        <v>5.44</v>
      </c>
      <c r="J42" s="207">
        <f t="shared" si="6"/>
        <v>20.56</v>
      </c>
      <c r="K42" s="207">
        <f t="shared" si="6"/>
        <v>0.13</v>
      </c>
      <c r="L42" s="207">
        <f t="shared" si="6"/>
        <v>1.26</v>
      </c>
      <c r="M42" s="208">
        <f t="shared" si="6"/>
        <v>16.47</v>
      </c>
      <c r="N42" s="208">
        <f t="shared" si="6"/>
        <v>21.46</v>
      </c>
      <c r="O42" s="208">
        <f t="shared" si="6"/>
        <v>42.02</v>
      </c>
      <c r="P42" s="899"/>
      <c r="R42" s="148"/>
    </row>
    <row r="43" spans="2:26" ht="12" customHeight="1">
      <c r="B43" s="130"/>
      <c r="C43" s="209">
        <f>ROUNDDOWN(J44,0)</f>
        <v>24</v>
      </c>
      <c r="D43" s="941">
        <v>45</v>
      </c>
      <c r="E43" s="943">
        <f>D43/$D$69</f>
        <v>2.8644175684277531E-2</v>
      </c>
      <c r="F43" s="210">
        <f>F57</f>
        <v>59.99</v>
      </c>
      <c r="G43" s="210">
        <f>G57</f>
        <v>7.65</v>
      </c>
      <c r="H43" s="210">
        <f>H57</f>
        <v>13.38</v>
      </c>
      <c r="I43" s="210">
        <f>G43+H43</f>
        <v>21.03</v>
      </c>
      <c r="J43" s="210">
        <f>I43+F43</f>
        <v>81.02000000000001</v>
      </c>
      <c r="K43" s="210">
        <f>$K$69/$F$69*F43</f>
        <v>0.55042246920125248</v>
      </c>
      <c r="L43" s="210">
        <f>$L$69/$F$69*F43</f>
        <v>5.0198529191154231</v>
      </c>
      <c r="M43" s="210">
        <f>$M$69/$F$69*F43</f>
        <v>65.372355653106695</v>
      </c>
      <c r="N43" s="210">
        <f>N55</f>
        <v>147.76265625313965</v>
      </c>
      <c r="O43" s="211">
        <f>J43+N43</f>
        <v>228.78265625313966</v>
      </c>
      <c r="P43" s="900"/>
      <c r="R43" s="193"/>
    </row>
    <row r="44" spans="2:26" ht="12" customHeight="1" thickBot="1">
      <c r="B44" s="130"/>
      <c r="C44" s="212">
        <f>ROUNDDOWN(F43,0)</f>
        <v>59</v>
      </c>
      <c r="D44" s="942"/>
      <c r="E44" s="944"/>
      <c r="F44" s="213">
        <f t="shared" ref="F44:O44" si="7">ROUNDDOWN(F43*0.3025,2)</f>
        <v>18.14</v>
      </c>
      <c r="G44" s="213">
        <f t="shared" si="7"/>
        <v>2.31</v>
      </c>
      <c r="H44" s="213">
        <f t="shared" si="7"/>
        <v>4.04</v>
      </c>
      <c r="I44" s="213">
        <f t="shared" si="7"/>
        <v>6.36</v>
      </c>
      <c r="J44" s="213">
        <f t="shared" si="7"/>
        <v>24.5</v>
      </c>
      <c r="K44" s="213">
        <f t="shared" si="7"/>
        <v>0.16</v>
      </c>
      <c r="L44" s="213">
        <f t="shared" si="7"/>
        <v>1.51</v>
      </c>
      <c r="M44" s="214">
        <f t="shared" si="7"/>
        <v>19.77</v>
      </c>
      <c r="N44" s="214">
        <f t="shared" si="7"/>
        <v>44.69</v>
      </c>
      <c r="O44" s="215">
        <f t="shared" si="7"/>
        <v>69.2</v>
      </c>
      <c r="P44" s="901"/>
      <c r="R44" s="193"/>
    </row>
    <row r="45" spans="2:26" ht="12" customHeight="1">
      <c r="B45" s="203"/>
      <c r="C45" s="1006" t="s">
        <v>118</v>
      </c>
      <c r="D45" s="947">
        <f>SUM(D39:D44)</f>
        <v>225</v>
      </c>
      <c r="E45" s="948">
        <f>SUM(E39:E44)</f>
        <v>0.14322087842138764</v>
      </c>
      <c r="F45" s="244">
        <f>SUMPRODUCT(D39:D44,F39:F44)</f>
        <v>10744.05</v>
      </c>
      <c r="G45" s="244">
        <f>SUMPRODUCT(D39:D44,G39:G44)</f>
        <v>1482.25</v>
      </c>
      <c r="H45" s="244">
        <f>SUMPRODUCT(D39:D44,H39:H44)</f>
        <v>2396.3000000000002</v>
      </c>
      <c r="I45" s="244">
        <f>G45+H45</f>
        <v>3878.55</v>
      </c>
      <c r="J45" s="244">
        <f>F45+I45</f>
        <v>14622.599999999999</v>
      </c>
      <c r="K45" s="244">
        <f>SUMPRODUCT(D39:D44,K39:K44)</f>
        <v>98.57920537125716</v>
      </c>
      <c r="L45" s="244">
        <f>SUMPRODUCT(D39:D44,L39:L44)</f>
        <v>899.04235298586536</v>
      </c>
      <c r="M45" s="244">
        <f>SUMPRODUCT(D39:D44,M39:M44)</f>
        <v>11708.015631851324</v>
      </c>
      <c r="N45" s="244">
        <f>K45+L45+M45</f>
        <v>12705.637190208447</v>
      </c>
      <c r="O45" s="244">
        <f>J45+N45</f>
        <v>27328.237190208445</v>
      </c>
      <c r="P45" s="896"/>
      <c r="R45" s="193"/>
    </row>
    <row r="46" spans="2:26" ht="12" customHeight="1" thickBot="1">
      <c r="B46" s="203"/>
      <c r="C46" s="1006"/>
      <c r="D46" s="947"/>
      <c r="E46" s="948"/>
      <c r="F46" s="245">
        <f t="shared" ref="F46:O46" si="8">ROUNDDOWN(F45*0.3025,2)</f>
        <v>3250.07</v>
      </c>
      <c r="G46" s="245">
        <f t="shared" si="8"/>
        <v>448.38</v>
      </c>
      <c r="H46" s="245">
        <f t="shared" si="8"/>
        <v>724.88</v>
      </c>
      <c r="I46" s="245">
        <f t="shared" si="8"/>
        <v>1173.26</v>
      </c>
      <c r="J46" s="245">
        <f t="shared" si="8"/>
        <v>4423.33</v>
      </c>
      <c r="K46" s="245">
        <f t="shared" si="8"/>
        <v>29.82</v>
      </c>
      <c r="L46" s="245">
        <f t="shared" si="8"/>
        <v>271.95999999999998</v>
      </c>
      <c r="M46" s="245">
        <f t="shared" si="8"/>
        <v>3541.67</v>
      </c>
      <c r="N46" s="245">
        <f t="shared" si="8"/>
        <v>3843.45</v>
      </c>
      <c r="O46" s="245">
        <f t="shared" si="8"/>
        <v>8266.7900000000009</v>
      </c>
      <c r="P46" s="897"/>
      <c r="R46" s="193"/>
    </row>
    <row r="47" spans="2:26" ht="12" customHeight="1">
      <c r="B47" s="130"/>
      <c r="C47" s="209">
        <f>ROUNDDOWN(J48,0)</f>
        <v>24</v>
      </c>
      <c r="D47" s="941">
        <v>18</v>
      </c>
      <c r="E47" s="943">
        <f>D47/$D$69</f>
        <v>1.1457670273711012E-2</v>
      </c>
      <c r="F47" s="210">
        <f>F57</f>
        <v>59.99</v>
      </c>
      <c r="G47" s="210">
        <f>G57</f>
        <v>7.65</v>
      </c>
      <c r="H47" s="210">
        <f>H57</f>
        <v>13.38</v>
      </c>
      <c r="I47" s="210">
        <f>G47+H47</f>
        <v>21.03</v>
      </c>
      <c r="J47" s="210">
        <f>I47+F47</f>
        <v>81.02000000000001</v>
      </c>
      <c r="K47" s="210">
        <f>$K$69/$F$69*F47</f>
        <v>0.55042246920125248</v>
      </c>
      <c r="L47" s="210">
        <f>$L$69/$F$69*F47</f>
        <v>5.0198529191154231</v>
      </c>
      <c r="M47" s="210">
        <f>$M$69/$F$69*F47</f>
        <v>65.372355653106695</v>
      </c>
      <c r="N47" s="210">
        <f>N57</f>
        <v>70.942631041423368</v>
      </c>
      <c r="O47" s="211">
        <f>J47+N47</f>
        <v>151.96263104142338</v>
      </c>
      <c r="P47" s="902" t="s">
        <v>140</v>
      </c>
      <c r="R47" s="193"/>
    </row>
    <row r="48" spans="2:26" ht="12" customHeight="1">
      <c r="B48" s="130"/>
      <c r="C48" s="216">
        <f>ROUNDDOWN(F47,0)</f>
        <v>59</v>
      </c>
      <c r="D48" s="945"/>
      <c r="E48" s="946"/>
      <c r="F48" s="217">
        <f t="shared" ref="F48:O48" si="9">ROUNDDOWN(F47*0.3025,2)</f>
        <v>18.14</v>
      </c>
      <c r="G48" s="217">
        <f t="shared" si="9"/>
        <v>2.31</v>
      </c>
      <c r="H48" s="217">
        <f t="shared" si="9"/>
        <v>4.04</v>
      </c>
      <c r="I48" s="217">
        <f t="shared" si="9"/>
        <v>6.36</v>
      </c>
      <c r="J48" s="217">
        <f t="shared" si="9"/>
        <v>24.5</v>
      </c>
      <c r="K48" s="217">
        <f t="shared" si="9"/>
        <v>0.16</v>
      </c>
      <c r="L48" s="217">
        <f t="shared" si="9"/>
        <v>1.51</v>
      </c>
      <c r="M48" s="218">
        <f t="shared" si="9"/>
        <v>19.77</v>
      </c>
      <c r="N48" s="218">
        <f t="shared" si="9"/>
        <v>21.46</v>
      </c>
      <c r="O48" s="219">
        <f t="shared" si="9"/>
        <v>45.96</v>
      </c>
      <c r="P48" s="900"/>
      <c r="R48" s="193"/>
    </row>
    <row r="49" spans="2:18" ht="12" customHeight="1">
      <c r="B49" s="130"/>
      <c r="C49" s="221">
        <f>ROUNDDOWN(J50,0)</f>
        <v>33</v>
      </c>
      <c r="D49" s="931">
        <v>18</v>
      </c>
      <c r="E49" s="933">
        <f>D49/$D$69</f>
        <v>1.1457670273711012E-2</v>
      </c>
      <c r="F49" s="222">
        <f>F59</f>
        <v>84.98</v>
      </c>
      <c r="G49" s="222">
        <f>G59</f>
        <v>7.85</v>
      </c>
      <c r="H49" s="222">
        <f>H59</f>
        <v>18.95</v>
      </c>
      <c r="I49" s="222">
        <f>G49+H49</f>
        <v>26.799999999999997</v>
      </c>
      <c r="J49" s="222">
        <f>I49+F49</f>
        <v>111.78</v>
      </c>
      <c r="K49" s="222">
        <f>$K$69/$F$69*F49</f>
        <v>0.77971164248578828</v>
      </c>
      <c r="L49" s="222">
        <f>$L$69/$F$69*F49</f>
        <v>7.1109701794703897</v>
      </c>
      <c r="M49" s="222">
        <f>$M$69/$F$69*F49</f>
        <v>92.604480470095126</v>
      </c>
      <c r="N49" s="222">
        <f>N59</f>
        <v>100.4951622920513</v>
      </c>
      <c r="O49" s="223">
        <f>J49+N49</f>
        <v>212.27516229205131</v>
      </c>
      <c r="P49" s="900"/>
      <c r="R49" s="193"/>
    </row>
    <row r="50" spans="2:18" ht="12" customHeight="1" thickBot="1">
      <c r="C50" s="224">
        <f>ROUNDDOWN(F49,0)</f>
        <v>84</v>
      </c>
      <c r="D50" s="932"/>
      <c r="E50" s="934"/>
      <c r="F50" s="225">
        <f t="shared" ref="F50:O50" si="10">ROUNDDOWN(F49*0.3025,2)</f>
        <v>25.7</v>
      </c>
      <c r="G50" s="225">
        <f t="shared" si="10"/>
        <v>2.37</v>
      </c>
      <c r="H50" s="225">
        <f t="shared" si="10"/>
        <v>5.73</v>
      </c>
      <c r="I50" s="225">
        <f t="shared" si="10"/>
        <v>8.1</v>
      </c>
      <c r="J50" s="225">
        <f t="shared" si="10"/>
        <v>33.81</v>
      </c>
      <c r="K50" s="225">
        <f t="shared" si="10"/>
        <v>0.23</v>
      </c>
      <c r="L50" s="225">
        <f t="shared" si="10"/>
        <v>2.15</v>
      </c>
      <c r="M50" s="226">
        <f t="shared" si="10"/>
        <v>28.01</v>
      </c>
      <c r="N50" s="226">
        <f t="shared" si="10"/>
        <v>30.39</v>
      </c>
      <c r="O50" s="227">
        <f t="shared" si="10"/>
        <v>64.209999999999994</v>
      </c>
      <c r="P50" s="901"/>
      <c r="R50" s="193"/>
    </row>
    <row r="51" spans="2:18" ht="12" customHeight="1">
      <c r="B51" s="77"/>
      <c r="C51" s="1006" t="s">
        <v>118</v>
      </c>
      <c r="D51" s="947">
        <f>SUM(D47:D50)</f>
        <v>36</v>
      </c>
      <c r="E51" s="948">
        <f>SUM(E47:E50)</f>
        <v>2.2915340547422024E-2</v>
      </c>
      <c r="F51" s="244">
        <f>SUMPRODUCT(D47:D50,F47:F50)</f>
        <v>2609.46</v>
      </c>
      <c r="G51" s="244">
        <f>SUMPRODUCT(D47:D50,G47:G50)</f>
        <v>279</v>
      </c>
      <c r="H51" s="244">
        <f>SUMPRODUCT(D47:D50,H47:H50)</f>
        <v>581.93999999999994</v>
      </c>
      <c r="I51" s="244">
        <f>G51+H51</f>
        <v>860.93999999999994</v>
      </c>
      <c r="J51" s="244">
        <f>F51+I51</f>
        <v>3470.4</v>
      </c>
      <c r="K51" s="244">
        <f>SUMPRODUCT(D47:D50,K47:K50)</f>
        <v>23.942414010366733</v>
      </c>
      <c r="L51" s="244">
        <f>SUMPRODUCT(D47:D50,L47:L50)</f>
        <v>218.35481577454465</v>
      </c>
      <c r="M51" s="244">
        <f>SUMPRODUCT(D47:D50,M47:M50)</f>
        <v>2843.5830502176332</v>
      </c>
      <c r="N51" s="244">
        <f>K51+L51+M51</f>
        <v>3085.8802800025446</v>
      </c>
      <c r="O51" s="244">
        <f>J51+N51</f>
        <v>6556.2802800025447</v>
      </c>
      <c r="P51" s="896"/>
    </row>
    <row r="52" spans="2:18" ht="12" customHeight="1">
      <c r="B52" s="77"/>
      <c r="C52" s="1086"/>
      <c r="D52" s="1003"/>
      <c r="E52" s="1005"/>
      <c r="F52" s="143">
        <f t="shared" ref="F52:O52" si="11">ROUNDDOWN(F51*0.3025,2)</f>
        <v>789.36</v>
      </c>
      <c r="G52" s="143">
        <f t="shared" si="11"/>
        <v>84.39</v>
      </c>
      <c r="H52" s="143">
        <f t="shared" si="11"/>
        <v>176.03</v>
      </c>
      <c r="I52" s="143">
        <f t="shared" si="11"/>
        <v>260.43</v>
      </c>
      <c r="J52" s="143">
        <f t="shared" si="11"/>
        <v>1049.79</v>
      </c>
      <c r="K52" s="143">
        <f t="shared" si="11"/>
        <v>7.24</v>
      </c>
      <c r="L52" s="143">
        <f t="shared" si="11"/>
        <v>66.05</v>
      </c>
      <c r="M52" s="143">
        <f t="shared" si="11"/>
        <v>860.18</v>
      </c>
      <c r="N52" s="143">
        <f t="shared" si="11"/>
        <v>933.47</v>
      </c>
      <c r="O52" s="143">
        <f t="shared" si="11"/>
        <v>1983.27</v>
      </c>
      <c r="P52" s="897"/>
    </row>
    <row r="53" spans="2:18" ht="12" customHeight="1">
      <c r="B53" s="1074"/>
      <c r="C53" s="86">
        <f>ROUNDDOWN(J54,0)</f>
        <v>16</v>
      </c>
      <c r="D53" s="935">
        <v>22</v>
      </c>
      <c r="E53" s="937">
        <f>D53/$D$69</f>
        <v>1.4003819223424571E-2</v>
      </c>
      <c r="F53" s="89">
        <v>39.96</v>
      </c>
      <c r="G53" s="89">
        <v>5.85</v>
      </c>
      <c r="H53" s="89">
        <v>8.91</v>
      </c>
      <c r="I53" s="89">
        <f>G53+H53</f>
        <v>14.76</v>
      </c>
      <c r="J53" s="89">
        <f>F53+I53</f>
        <v>54.72</v>
      </c>
      <c r="K53" s="89">
        <f>$K$69/$F$69*F53</f>
        <v>0.3666424715666286</v>
      </c>
      <c r="L53" s="89">
        <f>$L$69/$F$69*F53</f>
        <v>3.3437793406876533</v>
      </c>
      <c r="M53" s="89">
        <f>$M$69/$F$69*F53</f>
        <v>43.545246406036725</v>
      </c>
      <c r="N53" s="89">
        <f>K53+L53+M53</f>
        <v>47.255668218291007</v>
      </c>
      <c r="O53" s="89">
        <f>J53+N53</f>
        <v>101.97566821829101</v>
      </c>
      <c r="P53" s="899" t="s">
        <v>137</v>
      </c>
    </row>
    <row r="54" spans="2:18" ht="12" customHeight="1">
      <c r="B54" s="838"/>
      <c r="C54" s="87">
        <v>39</v>
      </c>
      <c r="D54" s="936"/>
      <c r="E54" s="938"/>
      <c r="F54" s="111">
        <f t="shared" ref="F54:O54" si="12">ROUNDDOWN(F53*0.3025,2)</f>
        <v>12.08</v>
      </c>
      <c r="G54" s="111">
        <f t="shared" si="12"/>
        <v>1.76</v>
      </c>
      <c r="H54" s="111">
        <f t="shared" si="12"/>
        <v>2.69</v>
      </c>
      <c r="I54" s="111">
        <f t="shared" si="12"/>
        <v>4.46</v>
      </c>
      <c r="J54" s="111">
        <f t="shared" si="12"/>
        <v>16.55</v>
      </c>
      <c r="K54" s="111">
        <f t="shared" si="12"/>
        <v>0.11</v>
      </c>
      <c r="L54" s="111">
        <f t="shared" si="12"/>
        <v>1.01</v>
      </c>
      <c r="M54" s="111">
        <f t="shared" si="12"/>
        <v>13.17</v>
      </c>
      <c r="N54" s="111">
        <f t="shared" si="12"/>
        <v>14.29</v>
      </c>
      <c r="O54" s="111">
        <f t="shared" si="12"/>
        <v>30.84</v>
      </c>
      <c r="P54" s="899"/>
    </row>
    <row r="55" spans="2:18" ht="12" customHeight="1">
      <c r="B55" s="1074"/>
      <c r="C55" s="88">
        <f>ROUNDDOWN(J56,0)</f>
        <v>20</v>
      </c>
      <c r="D55" s="939">
        <v>95</v>
      </c>
      <c r="E55" s="940">
        <f>D55/$D$69</f>
        <v>6.0471037555697008E-2</v>
      </c>
      <c r="F55" s="90">
        <v>49.98</v>
      </c>
      <c r="G55" s="90">
        <v>6.85</v>
      </c>
      <c r="H55" s="90">
        <v>11.15</v>
      </c>
      <c r="I55" s="90">
        <f>G55+H55</f>
        <v>18</v>
      </c>
      <c r="J55" s="90">
        <f>I55+F55</f>
        <v>67.97999999999999</v>
      </c>
      <c r="K55" s="90">
        <f>$K$69/$F$69*F55</f>
        <v>0.45857834656907148</v>
      </c>
      <c r="L55" s="90">
        <f>$L$69/$F$69*F55</f>
        <v>4.1822345207099323</v>
      </c>
      <c r="M55" s="90">
        <f>$M$69/$F$69*F55</f>
        <v>54.464249633976863</v>
      </c>
      <c r="N55" s="90">
        <f>N65</f>
        <v>147.76265625313965</v>
      </c>
      <c r="O55" s="90">
        <f>J55+N55</f>
        <v>215.74265625313964</v>
      </c>
      <c r="P55" s="899"/>
    </row>
    <row r="56" spans="2:18" ht="12" customHeight="1" thickBot="1">
      <c r="B56" s="838"/>
      <c r="C56" s="206">
        <f>ROUNDDOWN(F55,0)</f>
        <v>49</v>
      </c>
      <c r="D56" s="939"/>
      <c r="E56" s="940"/>
      <c r="F56" s="207">
        <f t="shared" ref="F56:O56" si="13">ROUNDDOWN(F55*0.3025,2)</f>
        <v>15.11</v>
      </c>
      <c r="G56" s="207">
        <f t="shared" si="13"/>
        <v>2.0699999999999998</v>
      </c>
      <c r="H56" s="207">
        <f t="shared" si="13"/>
        <v>3.37</v>
      </c>
      <c r="I56" s="207">
        <f t="shared" si="13"/>
        <v>5.44</v>
      </c>
      <c r="J56" s="207">
        <f t="shared" si="13"/>
        <v>20.56</v>
      </c>
      <c r="K56" s="207">
        <f t="shared" si="13"/>
        <v>0.13</v>
      </c>
      <c r="L56" s="207">
        <f t="shared" si="13"/>
        <v>1.26</v>
      </c>
      <c r="M56" s="208">
        <f t="shared" si="13"/>
        <v>16.47</v>
      </c>
      <c r="N56" s="208">
        <f t="shared" si="13"/>
        <v>44.69</v>
      </c>
      <c r="O56" s="208">
        <f t="shared" si="13"/>
        <v>65.260000000000005</v>
      </c>
      <c r="P56" s="899"/>
    </row>
    <row r="57" spans="2:18" ht="12" customHeight="1">
      <c r="B57" s="1075"/>
      <c r="C57" s="209">
        <f>ROUNDDOWN(J58,0)</f>
        <v>24</v>
      </c>
      <c r="D57" s="941">
        <v>547</v>
      </c>
      <c r="E57" s="943">
        <f>D57/$D$69</f>
        <v>0.34818586887332909</v>
      </c>
      <c r="F57" s="210">
        <v>59.99</v>
      </c>
      <c r="G57" s="210">
        <v>7.65</v>
      </c>
      <c r="H57" s="210">
        <v>13.38</v>
      </c>
      <c r="I57" s="210">
        <f>G57+H57</f>
        <v>21.03</v>
      </c>
      <c r="J57" s="210">
        <f>I57+F57</f>
        <v>81.02000000000001</v>
      </c>
      <c r="K57" s="210">
        <f>$K$69/$F$69*F57</f>
        <v>0.55042246920125248</v>
      </c>
      <c r="L57" s="210">
        <f>$L$69/$F$69*F57</f>
        <v>5.0198529191154231</v>
      </c>
      <c r="M57" s="210">
        <f>$M$69/$F$69*F57</f>
        <v>65.372355653106695</v>
      </c>
      <c r="N57" s="210">
        <f>K57+L57+M57</f>
        <v>70.942631041423368</v>
      </c>
      <c r="O57" s="211">
        <f>J57+N57</f>
        <v>151.96263104142338</v>
      </c>
      <c r="P57" s="900"/>
    </row>
    <row r="58" spans="2:18" ht="12" customHeight="1">
      <c r="B58" s="1076"/>
      <c r="C58" s="216">
        <f>ROUNDDOWN(F57,0)</f>
        <v>59</v>
      </c>
      <c r="D58" s="945"/>
      <c r="E58" s="946"/>
      <c r="F58" s="217">
        <f t="shared" ref="F58:O58" si="14">ROUNDDOWN(F57*0.3025,2)</f>
        <v>18.14</v>
      </c>
      <c r="G58" s="217">
        <f t="shared" si="14"/>
        <v>2.31</v>
      </c>
      <c r="H58" s="217">
        <f t="shared" si="14"/>
        <v>4.04</v>
      </c>
      <c r="I58" s="217">
        <f t="shared" si="14"/>
        <v>6.36</v>
      </c>
      <c r="J58" s="217">
        <f t="shared" si="14"/>
        <v>24.5</v>
      </c>
      <c r="K58" s="217">
        <f t="shared" si="14"/>
        <v>0.16</v>
      </c>
      <c r="L58" s="217">
        <f t="shared" si="14"/>
        <v>1.51</v>
      </c>
      <c r="M58" s="217">
        <f t="shared" si="14"/>
        <v>19.77</v>
      </c>
      <c r="N58" s="217">
        <f t="shared" si="14"/>
        <v>21.46</v>
      </c>
      <c r="O58" s="220">
        <f t="shared" si="14"/>
        <v>45.96</v>
      </c>
      <c r="P58" s="900"/>
    </row>
    <row r="59" spans="2:18" ht="12" customHeight="1">
      <c r="C59" s="221">
        <f>ROUNDDOWN(J60,0)</f>
        <v>33</v>
      </c>
      <c r="D59" s="931">
        <v>539</v>
      </c>
      <c r="E59" s="933">
        <f>D59/$D$69</f>
        <v>0.34309357097390197</v>
      </c>
      <c r="F59" s="222">
        <v>84.98</v>
      </c>
      <c r="G59" s="222">
        <v>7.85</v>
      </c>
      <c r="H59" s="222">
        <v>18.95</v>
      </c>
      <c r="I59" s="222">
        <f>G59+H59</f>
        <v>26.799999999999997</v>
      </c>
      <c r="J59" s="222">
        <f>F59+I59</f>
        <v>111.78</v>
      </c>
      <c r="K59" s="222">
        <f>$K$69/$F$69*F59</f>
        <v>0.77971164248578828</v>
      </c>
      <c r="L59" s="222">
        <f>$L$69/$F$69*F59</f>
        <v>7.1109701794703897</v>
      </c>
      <c r="M59" s="222">
        <f>$M$69/$F$69*F59</f>
        <v>92.604480470095126</v>
      </c>
      <c r="N59" s="222">
        <f>K59+L59+M59</f>
        <v>100.4951622920513</v>
      </c>
      <c r="O59" s="223">
        <f>J59+N59</f>
        <v>212.27516229205131</v>
      </c>
      <c r="P59" s="900"/>
    </row>
    <row r="60" spans="2:18" ht="12" customHeight="1" thickBot="1">
      <c r="C60" s="224">
        <f>ROUNDDOWN(F59,0)</f>
        <v>84</v>
      </c>
      <c r="D60" s="932"/>
      <c r="E60" s="934"/>
      <c r="F60" s="225">
        <f t="shared" ref="F60:O60" si="15">ROUNDDOWN(F59*0.3025,2)</f>
        <v>25.7</v>
      </c>
      <c r="G60" s="225">
        <f t="shared" si="15"/>
        <v>2.37</v>
      </c>
      <c r="H60" s="225">
        <f t="shared" si="15"/>
        <v>5.73</v>
      </c>
      <c r="I60" s="225">
        <f t="shared" si="15"/>
        <v>8.1</v>
      </c>
      <c r="J60" s="225">
        <f t="shared" si="15"/>
        <v>33.81</v>
      </c>
      <c r="K60" s="225">
        <f t="shared" si="15"/>
        <v>0.23</v>
      </c>
      <c r="L60" s="225">
        <f t="shared" si="15"/>
        <v>2.15</v>
      </c>
      <c r="M60" s="225">
        <f t="shared" si="15"/>
        <v>28.01</v>
      </c>
      <c r="N60" s="225">
        <f t="shared" si="15"/>
        <v>30.39</v>
      </c>
      <c r="O60" s="228">
        <f t="shared" si="15"/>
        <v>64.209999999999994</v>
      </c>
      <c r="P60" s="900"/>
    </row>
    <row r="61" spans="2:18" ht="12" customHeight="1">
      <c r="B61" s="838" t="s">
        <v>143</v>
      </c>
      <c r="C61" s="88">
        <f>ROUNDDOWN(J62,0)</f>
        <v>39</v>
      </c>
      <c r="D61" s="939">
        <v>4</v>
      </c>
      <c r="E61" s="940">
        <f>D61/$D$69</f>
        <v>2.546148949713558E-3</v>
      </c>
      <c r="F61" s="90">
        <v>98.98</v>
      </c>
      <c r="G61" s="90">
        <v>10.15</v>
      </c>
      <c r="H61" s="90">
        <v>22.07</v>
      </c>
      <c r="I61" s="90">
        <f>G61+H61</f>
        <v>32.22</v>
      </c>
      <c r="J61" s="90">
        <f>F61+I61</f>
        <v>131.19999999999999</v>
      </c>
      <c r="K61" s="90">
        <f>$K$69/$F$69*F61</f>
        <v>0.908164960852475</v>
      </c>
      <c r="L61" s="90">
        <f>$L$69/$F$69*F61</f>
        <v>8.2824644429745717</v>
      </c>
      <c r="M61" s="90">
        <f>$M$69/$F$69*F61</f>
        <v>107.86057280454243</v>
      </c>
      <c r="N61" s="90">
        <f>K61+L61+M61</f>
        <v>117.05120220836947</v>
      </c>
      <c r="O61" s="90">
        <f>J61+N61</f>
        <v>248.25120220836948</v>
      </c>
      <c r="P61" s="899"/>
    </row>
    <row r="62" spans="2:18" ht="12" customHeight="1">
      <c r="B62" s="838"/>
      <c r="C62" s="87">
        <f>ROUNDDOWN(F61,0)</f>
        <v>98</v>
      </c>
      <c r="D62" s="936"/>
      <c r="E62" s="938"/>
      <c r="F62" s="111">
        <f t="shared" ref="F62:O62" si="16">ROUNDDOWN(F61*0.3025,2)</f>
        <v>29.94</v>
      </c>
      <c r="G62" s="111">
        <f t="shared" si="16"/>
        <v>3.07</v>
      </c>
      <c r="H62" s="111">
        <f t="shared" si="16"/>
        <v>6.67</v>
      </c>
      <c r="I62" s="111">
        <f t="shared" si="16"/>
        <v>9.74</v>
      </c>
      <c r="J62" s="111">
        <f t="shared" si="16"/>
        <v>39.68</v>
      </c>
      <c r="K62" s="111">
        <f t="shared" si="16"/>
        <v>0.27</v>
      </c>
      <c r="L62" s="111">
        <f t="shared" si="16"/>
        <v>2.5</v>
      </c>
      <c r="M62" s="111">
        <f t="shared" si="16"/>
        <v>32.619999999999997</v>
      </c>
      <c r="N62" s="111">
        <f t="shared" si="16"/>
        <v>35.4</v>
      </c>
      <c r="O62" s="111">
        <f t="shared" si="16"/>
        <v>75.09</v>
      </c>
      <c r="P62" s="899"/>
    </row>
    <row r="63" spans="2:18" ht="12" customHeight="1">
      <c r="B63" s="77"/>
      <c r="C63" s="88">
        <f>ROUNDDOWN(J64,0)</f>
        <v>42</v>
      </c>
      <c r="D63" s="1085">
        <v>94</v>
      </c>
      <c r="E63" s="1084">
        <f>D63/$D$69</f>
        <v>5.9834500318268619E-2</v>
      </c>
      <c r="F63" s="90">
        <v>104.99</v>
      </c>
      <c r="G63" s="90">
        <v>10.45</v>
      </c>
      <c r="H63" s="90">
        <v>23.41</v>
      </c>
      <c r="I63" s="90">
        <f>G63+H63</f>
        <v>33.86</v>
      </c>
      <c r="J63" s="90">
        <f>F63+I63</f>
        <v>138.85</v>
      </c>
      <c r="K63" s="90">
        <f>$K$69/$F$69*F63</f>
        <v>0.96330813537988835</v>
      </c>
      <c r="L63" s="90">
        <f>$L$69/$F$69*F63</f>
        <v>8.7853701946645817</v>
      </c>
      <c r="M63" s="90">
        <f>$M$69/$F$69*F63</f>
        <v>114.40979529954443</v>
      </c>
      <c r="N63" s="90">
        <f>K63+L63+M63</f>
        <v>124.1584736295889</v>
      </c>
      <c r="O63" s="90">
        <f>J63+N63</f>
        <v>263.00847362958888</v>
      </c>
      <c r="P63" s="899"/>
    </row>
    <row r="64" spans="2:18" ht="12" customHeight="1">
      <c r="B64" s="77"/>
      <c r="C64" s="87">
        <f>ROUNDDOWN(F63,0)</f>
        <v>104</v>
      </c>
      <c r="D64" s="936"/>
      <c r="E64" s="938"/>
      <c r="F64" s="111">
        <f t="shared" ref="F64:O64" si="17">ROUNDDOWN(F63*0.3025,2)</f>
        <v>31.75</v>
      </c>
      <c r="G64" s="111">
        <f t="shared" si="17"/>
        <v>3.16</v>
      </c>
      <c r="H64" s="111">
        <f t="shared" si="17"/>
        <v>7.08</v>
      </c>
      <c r="I64" s="111">
        <f t="shared" si="17"/>
        <v>10.24</v>
      </c>
      <c r="J64" s="111">
        <f t="shared" si="17"/>
        <v>42</v>
      </c>
      <c r="K64" s="111">
        <f t="shared" si="17"/>
        <v>0.28999999999999998</v>
      </c>
      <c r="L64" s="111">
        <f t="shared" si="17"/>
        <v>2.65</v>
      </c>
      <c r="M64" s="111">
        <f t="shared" si="17"/>
        <v>34.6</v>
      </c>
      <c r="N64" s="111">
        <f t="shared" si="17"/>
        <v>37.549999999999997</v>
      </c>
      <c r="O64" s="111">
        <f t="shared" si="17"/>
        <v>79.56</v>
      </c>
      <c r="P64" s="899"/>
    </row>
    <row r="65" spans="2:39" ht="12" customHeight="1">
      <c r="B65" s="838" t="s">
        <v>144</v>
      </c>
      <c r="C65" s="88">
        <f>ROUNDDOWN(J66,0)</f>
        <v>49</v>
      </c>
      <c r="D65" s="939">
        <v>9</v>
      </c>
      <c r="E65" s="940">
        <f>D65/$D$69</f>
        <v>5.7288351368555059E-3</v>
      </c>
      <c r="F65" s="90">
        <v>124.95</v>
      </c>
      <c r="G65" s="90">
        <v>11.85</v>
      </c>
      <c r="H65" s="90">
        <v>27.85</v>
      </c>
      <c r="I65" s="90">
        <f>G65+H65</f>
        <v>39.700000000000003</v>
      </c>
      <c r="J65" s="90">
        <f>F65+I65</f>
        <v>164.65</v>
      </c>
      <c r="K65" s="90">
        <f>$K$69/$F$69*F65</f>
        <v>1.1464458664226789</v>
      </c>
      <c r="L65" s="90">
        <f>$L$69/$F$69*F65</f>
        <v>10.455586301774831</v>
      </c>
      <c r="M65" s="90">
        <f>$M$69/$F$69*F65</f>
        <v>136.16062408494216</v>
      </c>
      <c r="N65" s="90">
        <f>K65+L65+M65</f>
        <v>147.76265625313965</v>
      </c>
      <c r="O65" s="90">
        <f>J65+N65</f>
        <v>312.41265625313963</v>
      </c>
      <c r="P65" s="899"/>
    </row>
    <row r="66" spans="2:39" ht="12" customHeight="1">
      <c r="B66" s="838"/>
      <c r="C66" s="87">
        <f>ROUNDDOWN(F65,0)</f>
        <v>124</v>
      </c>
      <c r="D66" s="936"/>
      <c r="E66" s="938"/>
      <c r="F66" s="111">
        <f t="shared" ref="F66:O66" si="18">ROUNDDOWN(F65*0.3025,2)</f>
        <v>37.79</v>
      </c>
      <c r="G66" s="111">
        <f t="shared" si="18"/>
        <v>3.58</v>
      </c>
      <c r="H66" s="111">
        <f t="shared" si="18"/>
        <v>8.42</v>
      </c>
      <c r="I66" s="111">
        <f t="shared" si="18"/>
        <v>12</v>
      </c>
      <c r="J66" s="111">
        <f t="shared" si="18"/>
        <v>49.8</v>
      </c>
      <c r="K66" s="111">
        <f t="shared" si="18"/>
        <v>0.34</v>
      </c>
      <c r="L66" s="111">
        <f t="shared" si="18"/>
        <v>3.16</v>
      </c>
      <c r="M66" s="111">
        <f t="shared" si="18"/>
        <v>41.18</v>
      </c>
      <c r="N66" s="111">
        <f t="shared" si="18"/>
        <v>44.69</v>
      </c>
      <c r="O66" s="111">
        <f t="shared" si="18"/>
        <v>94.5</v>
      </c>
      <c r="P66" s="899"/>
    </row>
    <row r="67" spans="2:39" ht="12" customHeight="1">
      <c r="B67" s="77"/>
      <c r="C67" s="1006" t="s">
        <v>118</v>
      </c>
      <c r="D67" s="1087">
        <f>SUM(D53:D66)</f>
        <v>1310</v>
      </c>
      <c r="E67" s="1091">
        <f>SUM(E53:E66)</f>
        <v>0.83386378103119041</v>
      </c>
      <c r="F67" s="244">
        <f>SUMPRODUCT(D53:D66,F53:F66)</f>
        <v>95635.5</v>
      </c>
      <c r="G67" s="244">
        <f>SUMPRODUCT(D53:D66,G53:G66)</f>
        <v>10324.699999999999</v>
      </c>
      <c r="H67" s="244">
        <f>SUMPRODUCT(D53:D66,H53:H66)</f>
        <v>21327.65</v>
      </c>
      <c r="I67" s="244">
        <f>G67+H67</f>
        <v>31652.35</v>
      </c>
      <c r="J67" s="244">
        <f>F67+I67</f>
        <v>127287.85</v>
      </c>
      <c r="K67" s="244">
        <f>SUMPRODUCT(D53:D66,K53:K66)</f>
        <v>877.47838061837604</v>
      </c>
      <c r="L67" s="244">
        <f>SUMPRODUCT(D53:D66,L53:L66)</f>
        <v>8002.6028312395892</v>
      </c>
      <c r="M67" s="244">
        <f>SUMPRODUCT(D53:D66,M53:M66)</f>
        <v>104216.00131793108</v>
      </c>
      <c r="N67" s="244">
        <f>K67+L67+M67</f>
        <v>113096.08252978904</v>
      </c>
      <c r="O67" s="244">
        <f>J67+N67</f>
        <v>240383.93252978905</v>
      </c>
      <c r="P67" s="899"/>
    </row>
    <row r="68" spans="2:39" ht="12" customHeight="1">
      <c r="B68" s="77"/>
      <c r="C68" s="1086"/>
      <c r="D68" s="1003"/>
      <c r="E68" s="1005"/>
      <c r="F68" s="143">
        <f t="shared" ref="F68:O68" si="19">ROUNDDOWN(F67*0.3025,2)</f>
        <v>28929.73</v>
      </c>
      <c r="G68" s="143">
        <f t="shared" si="19"/>
        <v>3123.22</v>
      </c>
      <c r="H68" s="143">
        <f t="shared" si="19"/>
        <v>6451.61</v>
      </c>
      <c r="I68" s="143">
        <f t="shared" si="19"/>
        <v>9574.83</v>
      </c>
      <c r="J68" s="143">
        <f t="shared" si="19"/>
        <v>38504.57</v>
      </c>
      <c r="K68" s="143">
        <f t="shared" si="19"/>
        <v>265.43</v>
      </c>
      <c r="L68" s="143">
        <f t="shared" si="19"/>
        <v>2420.7800000000002</v>
      </c>
      <c r="M68" s="143">
        <f t="shared" si="19"/>
        <v>31525.34</v>
      </c>
      <c r="N68" s="143">
        <f t="shared" si="19"/>
        <v>34211.56</v>
      </c>
      <c r="O68" s="143">
        <f t="shared" si="19"/>
        <v>72716.13</v>
      </c>
      <c r="P68" s="1004"/>
    </row>
    <row r="69" spans="2:39" ht="12" customHeight="1">
      <c r="B69" s="77"/>
      <c r="C69" s="1028" t="s">
        <v>117</v>
      </c>
      <c r="D69" s="1030">
        <f>D45+D51+D67</f>
        <v>1571</v>
      </c>
      <c r="E69" s="1036">
        <f>E45+E51+E67</f>
        <v>1</v>
      </c>
      <c r="F69" s="246">
        <f>F45+F51+F67</f>
        <v>108989.01</v>
      </c>
      <c r="G69" s="246">
        <f>G45+G51+G67</f>
        <v>12085.949999999999</v>
      </c>
      <c r="H69" s="246">
        <f>H45+H51+H67</f>
        <v>24305.890000000003</v>
      </c>
      <c r="I69" s="246">
        <f>G69+H69</f>
        <v>36391.840000000004</v>
      </c>
      <c r="J69" s="246">
        <f>F69+I69</f>
        <v>145380.85</v>
      </c>
      <c r="K69" s="246">
        <v>1000</v>
      </c>
      <c r="L69" s="246">
        <f>N6+N7+N8+N9+N10+N11+N12+N13+N14</f>
        <v>9120</v>
      </c>
      <c r="M69" s="246">
        <f>(N19*42)</f>
        <v>118767.6</v>
      </c>
      <c r="N69" s="246">
        <f>K69+L69+M69</f>
        <v>128887.6</v>
      </c>
      <c r="O69" s="246">
        <f>J69+N69</f>
        <v>274268.45</v>
      </c>
      <c r="P69" s="247"/>
    </row>
    <row r="70" spans="2:39" ht="12" customHeight="1">
      <c r="B70" s="77"/>
      <c r="C70" s="1029"/>
      <c r="D70" s="1031"/>
      <c r="E70" s="1037"/>
      <c r="F70" s="248">
        <f t="shared" ref="F70:O70" si="20">ROUNDDOWN(F69*0.3025,2)</f>
        <v>32969.17</v>
      </c>
      <c r="G70" s="248">
        <f t="shared" si="20"/>
        <v>3655.99</v>
      </c>
      <c r="H70" s="248">
        <f t="shared" si="20"/>
        <v>7352.53</v>
      </c>
      <c r="I70" s="248">
        <f t="shared" si="20"/>
        <v>11008.53</v>
      </c>
      <c r="J70" s="248">
        <f t="shared" si="20"/>
        <v>43977.7</v>
      </c>
      <c r="K70" s="248">
        <f t="shared" si="20"/>
        <v>302.5</v>
      </c>
      <c r="L70" s="248">
        <f t="shared" si="20"/>
        <v>2758.8</v>
      </c>
      <c r="M70" s="248">
        <f t="shared" si="20"/>
        <v>35927.19</v>
      </c>
      <c r="N70" s="248">
        <f t="shared" si="20"/>
        <v>38988.49</v>
      </c>
      <c r="O70" s="248">
        <f t="shared" si="20"/>
        <v>82966.2</v>
      </c>
      <c r="P70" s="249"/>
    </row>
    <row r="71" spans="2:39" ht="6" customHeight="1">
      <c r="B71" s="77"/>
      <c r="C71" s="1046"/>
      <c r="D71" s="1047"/>
      <c r="E71" s="1047"/>
      <c r="F71" s="1047"/>
      <c r="G71" s="1047"/>
      <c r="H71" s="1047"/>
      <c r="I71" s="1047"/>
      <c r="J71" s="1047"/>
      <c r="K71" s="1047"/>
      <c r="L71" s="1047"/>
      <c r="M71" s="1047"/>
      <c r="N71" s="1047"/>
      <c r="O71" s="1047"/>
      <c r="P71" s="1048"/>
    </row>
    <row r="72" spans="2:39" ht="18" customHeight="1">
      <c r="B72" s="77"/>
      <c r="C72" s="951" t="s">
        <v>87</v>
      </c>
      <c r="D72" s="951"/>
      <c r="E72" s="951"/>
      <c r="F72" s="951"/>
      <c r="G72" s="951"/>
      <c r="H72" s="951"/>
      <c r="I72" s="951"/>
      <c r="J72" s="951"/>
      <c r="K72" s="951"/>
      <c r="L72" s="951"/>
      <c r="M72" s="951"/>
      <c r="N72" s="951"/>
      <c r="O72" s="951"/>
      <c r="P72" s="952"/>
    </row>
    <row r="73" spans="2:39" s="6" customFormat="1" ht="14.1" customHeight="1">
      <c r="B73" s="79"/>
      <c r="C73" s="984" t="s">
        <v>16</v>
      </c>
      <c r="D73" s="985"/>
      <c r="E73" s="986" t="s">
        <v>7</v>
      </c>
      <c r="F73" s="987"/>
      <c r="G73" s="986" t="s">
        <v>83</v>
      </c>
      <c r="H73" s="987"/>
      <c r="I73" s="986" t="s">
        <v>22</v>
      </c>
      <c r="J73" s="987"/>
      <c r="K73" s="85" t="s">
        <v>49</v>
      </c>
      <c r="L73" s="85" t="s">
        <v>32</v>
      </c>
      <c r="M73" s="1044" t="s">
        <v>73</v>
      </c>
      <c r="N73" s="1045"/>
      <c r="O73" s="1051" t="s">
        <v>74</v>
      </c>
      <c r="P73" s="1052"/>
    </row>
    <row r="74" spans="2:39" s="6" customFormat="1" ht="14.1" hidden="1" customHeight="1">
      <c r="B74" s="79"/>
      <c r="C74" s="1032" t="s">
        <v>50</v>
      </c>
      <c r="D74" s="1033"/>
      <c r="E74" s="1049">
        <f>I74*0.7</f>
        <v>0</v>
      </c>
      <c r="F74" s="1050"/>
      <c r="G74" s="1049">
        <f>I74*0.3</f>
        <v>0</v>
      </c>
      <c r="H74" s="1050"/>
      <c r="I74" s="1049">
        <v>0</v>
      </c>
      <c r="J74" s="1050"/>
      <c r="K74" s="58">
        <f>I74*0.15</f>
        <v>0</v>
      </c>
      <c r="L74" s="59" t="e">
        <f>#REF!*42</f>
        <v>#REF!</v>
      </c>
      <c r="M74" s="988" t="e">
        <f>SUM(I74:L74)</f>
        <v>#REF!</v>
      </c>
      <c r="N74" s="989"/>
      <c r="O74" s="990"/>
      <c r="P74" s="991"/>
    </row>
    <row r="75" spans="2:39" s="6" customFormat="1" ht="14.1" hidden="1" customHeight="1">
      <c r="B75" s="79"/>
      <c r="C75" s="1034"/>
      <c r="D75" s="1035"/>
      <c r="E75" s="992">
        <f t="shared" ref="E75:E77" si="21">E74*0.3025</f>
        <v>0</v>
      </c>
      <c r="F75" s="993"/>
      <c r="G75" s="992">
        <f>G74*0.3025</f>
        <v>0</v>
      </c>
      <c r="H75" s="993"/>
      <c r="I75" s="1038">
        <f>I74*0.3025</f>
        <v>0</v>
      </c>
      <c r="J75" s="1039"/>
      <c r="K75" s="9">
        <f t="shared" ref="K75:K81" si="22">K74*0.3025</f>
        <v>0</v>
      </c>
      <c r="L75" s="60" t="e">
        <f>L74*0.3025</f>
        <v>#REF!</v>
      </c>
      <c r="M75" s="1040" t="e">
        <f>M74*0.3025</f>
        <v>#REF!</v>
      </c>
      <c r="N75" s="1041"/>
      <c r="O75" s="1042"/>
      <c r="P75" s="1043"/>
    </row>
    <row r="76" spans="2:39" s="6" customFormat="1" ht="14.1" customHeight="1">
      <c r="B76" s="79"/>
      <c r="C76" s="996" t="s">
        <v>38</v>
      </c>
      <c r="D76" s="1001" t="s">
        <v>84</v>
      </c>
      <c r="E76" s="1057">
        <f>I76*0.7</f>
        <v>1540</v>
      </c>
      <c r="F76" s="1000"/>
      <c r="G76" s="999">
        <f>I76*0.3</f>
        <v>660</v>
      </c>
      <c r="H76" s="1000"/>
      <c r="I76" s="1015">
        <v>2200</v>
      </c>
      <c r="J76" s="1016"/>
      <c r="K76" s="91">
        <v>0</v>
      </c>
      <c r="L76" s="91">
        <v>0</v>
      </c>
      <c r="M76" s="1017">
        <f>SUM(I76:L76)</f>
        <v>2200</v>
      </c>
      <c r="N76" s="1018"/>
      <c r="O76" s="1019"/>
      <c r="P76" s="1020"/>
      <c r="Q76" s="7"/>
      <c r="R76" s="7"/>
      <c r="S76" s="7"/>
      <c r="T76" s="8"/>
    </row>
    <row r="77" spans="2:39" s="6" customFormat="1" ht="14.1" customHeight="1">
      <c r="B77" s="79"/>
      <c r="C77" s="997"/>
      <c r="D77" s="1002"/>
      <c r="E77" s="1021">
        <f t="shared" si="21"/>
        <v>465.84999999999997</v>
      </c>
      <c r="F77" s="1022"/>
      <c r="G77" s="1023">
        <f>G76*0.3025</f>
        <v>199.65</v>
      </c>
      <c r="H77" s="1022"/>
      <c r="I77" s="1024">
        <f>I76*0.3025</f>
        <v>665.5</v>
      </c>
      <c r="J77" s="1025"/>
      <c r="K77" s="92">
        <f>K76*0.3025</f>
        <v>0</v>
      </c>
      <c r="L77" s="92">
        <f>L76*0.3025</f>
        <v>0</v>
      </c>
      <c r="M77" s="1024">
        <f>M76*0.3025</f>
        <v>665.5</v>
      </c>
      <c r="N77" s="1025"/>
      <c r="O77" s="1026"/>
      <c r="P77" s="1027"/>
      <c r="Q77" s="7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</row>
    <row r="78" spans="2:39" s="6" customFormat="1" ht="14.1" customHeight="1">
      <c r="B78" s="79"/>
      <c r="C78" s="997"/>
      <c r="D78" s="1077" t="s">
        <v>46</v>
      </c>
      <c r="E78" s="1057">
        <f>I78*0.7</f>
        <v>1680</v>
      </c>
      <c r="F78" s="1000"/>
      <c r="G78" s="999">
        <f>I78*0.3</f>
        <v>720</v>
      </c>
      <c r="H78" s="1000"/>
      <c r="I78" s="1058">
        <v>2400</v>
      </c>
      <c r="J78" s="1059"/>
      <c r="K78" s="93">
        <v>350</v>
      </c>
      <c r="L78" s="97">
        <f>N25*42</f>
        <v>1890</v>
      </c>
      <c r="M78" s="1058">
        <f>SUM(I78:L78)</f>
        <v>4640</v>
      </c>
      <c r="N78" s="1059"/>
      <c r="O78" s="1060"/>
      <c r="P78" s="1061"/>
      <c r="Q78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</row>
    <row r="79" spans="2:39" ht="14.1" customHeight="1">
      <c r="B79" s="77"/>
      <c r="C79" s="998"/>
      <c r="D79" s="1078"/>
      <c r="E79" s="1062">
        <f t="shared" ref="E79" si="23">E78*0.3025</f>
        <v>508.2</v>
      </c>
      <c r="F79" s="1063"/>
      <c r="G79" s="1064">
        <f>G78*0.3025</f>
        <v>217.79999999999998</v>
      </c>
      <c r="H79" s="1063"/>
      <c r="I79" s="1065">
        <f>I78*0.3025</f>
        <v>726</v>
      </c>
      <c r="J79" s="1066"/>
      <c r="K79" s="94">
        <f>K78*0.3025</f>
        <v>105.875</v>
      </c>
      <c r="L79" s="98">
        <f>L78*0.3025</f>
        <v>571.72500000000002</v>
      </c>
      <c r="M79" s="1065">
        <f>M78*0.3025</f>
        <v>1403.6</v>
      </c>
      <c r="N79" s="1066"/>
      <c r="O79" s="1067"/>
      <c r="P79" s="1068"/>
      <c r="Q79"/>
      <c r="AM79" s="6"/>
    </row>
    <row r="80" spans="2:39" ht="14.1" customHeight="1">
      <c r="B80" s="77"/>
      <c r="C80" s="1008" t="s">
        <v>1</v>
      </c>
      <c r="D80" s="1009"/>
      <c r="E80" s="1012">
        <f>I80*0.7</f>
        <v>3220</v>
      </c>
      <c r="F80" s="1013"/>
      <c r="G80" s="1014">
        <f>I80*0.3</f>
        <v>1380</v>
      </c>
      <c r="H80" s="1013"/>
      <c r="I80" s="1014">
        <f>I76+I78</f>
        <v>4600</v>
      </c>
      <c r="J80" s="1013"/>
      <c r="K80" s="95">
        <f>K78</f>
        <v>350</v>
      </c>
      <c r="L80" s="95">
        <f>L78</f>
        <v>1890</v>
      </c>
      <c r="M80" s="982">
        <f>SUM(I80:L80)</f>
        <v>6840</v>
      </c>
      <c r="N80" s="983"/>
      <c r="O80" s="1072"/>
      <c r="P80" s="1073"/>
      <c r="Q80" s="6"/>
      <c r="AM80" s="6"/>
    </row>
    <row r="81" spans="2:39" ht="14.1" customHeight="1">
      <c r="B81" s="77"/>
      <c r="C81" s="1010"/>
      <c r="D81" s="1011"/>
      <c r="E81" s="1071">
        <f t="shared" ref="E81" si="24">E80*0.3025</f>
        <v>974.05</v>
      </c>
      <c r="F81" s="1070"/>
      <c r="G81" s="1069">
        <f>G80*0.3025</f>
        <v>417.45</v>
      </c>
      <c r="H81" s="1070"/>
      <c r="I81" s="1053">
        <f>I80*0.3025</f>
        <v>1391.5</v>
      </c>
      <c r="J81" s="1054"/>
      <c r="K81" s="96">
        <f t="shared" si="22"/>
        <v>105.875</v>
      </c>
      <c r="L81" s="99">
        <f>L80*0.3025</f>
        <v>571.72500000000002</v>
      </c>
      <c r="M81" s="1053">
        <f>M80*0.3025</f>
        <v>2069.1</v>
      </c>
      <c r="N81" s="1054"/>
      <c r="O81" s="1055"/>
      <c r="P81" s="1056"/>
      <c r="Q81" s="7"/>
      <c r="AM81" s="6"/>
    </row>
    <row r="82" spans="2:39" ht="14.1" customHeight="1">
      <c r="M82" s="5"/>
      <c r="N82" s="5"/>
      <c r="O82" s="5"/>
      <c r="P82" s="6"/>
      <c r="Q82" s="6"/>
      <c r="AM82" s="6"/>
    </row>
    <row r="83" spans="2:39" ht="14.1" customHeight="1">
      <c r="P83" s="6"/>
      <c r="Q83" s="6"/>
      <c r="AM83" s="6"/>
    </row>
    <row r="84" spans="2:39" ht="14.1" customHeight="1">
      <c r="P84" s="6"/>
      <c r="Q84" s="6"/>
      <c r="AM84" s="6"/>
    </row>
    <row r="85" spans="2:39" ht="14.1" customHeight="1">
      <c r="P85" s="6"/>
      <c r="Q85" s="6"/>
      <c r="AM85" s="6"/>
    </row>
    <row r="86" spans="2:39" ht="14.1" customHeight="1">
      <c r="D86" s="11">
        <f>D41+D57</f>
        <v>632</v>
      </c>
      <c r="E86" s="145">
        <f>E41+E57</f>
        <v>0.40229153405474222</v>
      </c>
      <c r="I86" s="144">
        <f t="shared" ref="I86:O86" si="25">I51+I67</f>
        <v>32513.289999999997</v>
      </c>
      <c r="J86" s="144">
        <f t="shared" si="25"/>
        <v>130758.25</v>
      </c>
      <c r="K86" s="144">
        <f t="shared" si="25"/>
        <v>901.42079462874278</v>
      </c>
      <c r="L86" s="144">
        <f t="shared" si="25"/>
        <v>8220.9576470141346</v>
      </c>
      <c r="M86" s="144">
        <f t="shared" si="25"/>
        <v>107059.58436814872</v>
      </c>
      <c r="N86" s="144">
        <f t="shared" si="25"/>
        <v>116181.96280979158</v>
      </c>
      <c r="O86" s="144">
        <f t="shared" si="25"/>
        <v>246940.21280979158</v>
      </c>
      <c r="P86" s="6"/>
      <c r="Q86" s="6"/>
      <c r="AM86" s="6"/>
    </row>
    <row r="87" spans="2:39" ht="14.1" customHeight="1">
      <c r="D87" s="11">
        <f>D57+D59+D61</f>
        <v>1090</v>
      </c>
      <c r="AM87" s="6"/>
    </row>
    <row r="88" spans="2:39" ht="14.1" customHeight="1">
      <c r="AM88" s="6"/>
    </row>
    <row r="89" spans="2:39" ht="14.1" customHeight="1">
      <c r="AM89" s="6"/>
    </row>
    <row r="90" spans="2:39" ht="14.1" customHeight="1">
      <c r="AM90" s="6"/>
    </row>
    <row r="91" spans="2:39" ht="14.1" customHeight="1">
      <c r="AM91" s="6"/>
    </row>
    <row r="92" spans="2:39" ht="14.1" customHeight="1" thickBot="1">
      <c r="C92" s="1" t="s">
        <v>9</v>
      </c>
      <c r="G92" s="3"/>
      <c r="I92" s="1007" t="s">
        <v>89</v>
      </c>
      <c r="J92" s="1007"/>
      <c r="K92" s="1007"/>
      <c r="L92" s="112"/>
      <c r="M92" s="113"/>
      <c r="N92" s="112"/>
      <c r="O92" s="6"/>
      <c r="AM92" s="6"/>
    </row>
    <row r="93" spans="2:39" ht="14.1" customHeight="1">
      <c r="C93" s="34"/>
      <c r="D93" s="35" t="s">
        <v>53</v>
      </c>
      <c r="E93" s="36" t="s">
        <v>54</v>
      </c>
      <c r="F93" s="36" t="s">
        <v>55</v>
      </c>
      <c r="G93" s="37" t="s">
        <v>29</v>
      </c>
      <c r="I93" s="114"/>
      <c r="J93" s="115">
        <v>0</v>
      </c>
      <c r="K93" s="116">
        <v>300</v>
      </c>
      <c r="L93" s="117">
        <v>500</v>
      </c>
      <c r="M93" s="118">
        <v>1000</v>
      </c>
      <c r="N93" s="117">
        <v>2000</v>
      </c>
      <c r="O93" s="6"/>
      <c r="AM93" s="6"/>
    </row>
    <row r="94" spans="2:39" ht="14.1" customHeight="1">
      <c r="C94" s="38"/>
      <c r="D94" s="39"/>
      <c r="E94" s="40"/>
      <c r="F94" s="40"/>
      <c r="G94" s="41"/>
      <c r="I94" s="119"/>
      <c r="J94" s="120" t="s">
        <v>90</v>
      </c>
      <c r="K94" s="120" t="s">
        <v>91</v>
      </c>
      <c r="L94" s="120" t="s">
        <v>92</v>
      </c>
      <c r="M94" s="120" t="s">
        <v>93</v>
      </c>
      <c r="N94" s="120" t="s">
        <v>94</v>
      </c>
      <c r="O94" s="6"/>
      <c r="AM94" s="6"/>
    </row>
    <row r="95" spans="2:39" ht="14.1" customHeight="1">
      <c r="C95" s="980" t="s">
        <v>56</v>
      </c>
      <c r="D95" s="106">
        <v>0</v>
      </c>
      <c r="E95" s="106">
        <f>J69</f>
        <v>145380.85</v>
      </c>
      <c r="F95" s="106">
        <f>D95+E95</f>
        <v>145380.85</v>
      </c>
      <c r="G95" s="42"/>
      <c r="I95" s="119" t="s">
        <v>4</v>
      </c>
      <c r="J95" s="121">
        <v>6</v>
      </c>
      <c r="K95" s="121">
        <v>8</v>
      </c>
      <c r="L95" s="121">
        <v>12</v>
      </c>
      <c r="M95" s="122">
        <v>15</v>
      </c>
      <c r="N95" s="121">
        <v>20</v>
      </c>
      <c r="O95" s="6"/>
      <c r="AM95" s="6"/>
    </row>
    <row r="96" spans="2:39" ht="14.1" customHeight="1">
      <c r="C96" s="981"/>
      <c r="D96" s="107">
        <f>ROUNDDOWN(D95*0.3025,2)</f>
        <v>0</v>
      </c>
      <c r="E96" s="107">
        <f>ROUNDDOWN(E95*0.3025,2)</f>
        <v>43977.7</v>
      </c>
      <c r="F96" s="108">
        <f>ROUNDDOWN(F95*0.3025,2)</f>
        <v>43977.7</v>
      </c>
      <c r="G96" s="43"/>
      <c r="I96" s="114"/>
      <c r="J96" s="112"/>
      <c r="K96" s="112"/>
      <c r="L96" s="112"/>
      <c r="M96" s="113"/>
      <c r="N96" s="112"/>
      <c r="O96" s="6"/>
      <c r="AM96" s="6"/>
    </row>
    <row r="97" spans="3:39" ht="14.1" customHeight="1">
      <c r="C97" s="994" t="s">
        <v>57</v>
      </c>
      <c r="D97" s="106">
        <f>K69</f>
        <v>1000</v>
      </c>
      <c r="E97" s="106">
        <v>0</v>
      </c>
      <c r="F97" s="106">
        <f>D97+E97</f>
        <v>1000</v>
      </c>
      <c r="G97" s="42"/>
      <c r="I97" s="114"/>
      <c r="J97" s="112"/>
      <c r="K97" s="112"/>
      <c r="L97" s="112"/>
      <c r="M97" s="113"/>
      <c r="N97" s="112"/>
      <c r="O97" s="6"/>
      <c r="AM97" s="6"/>
    </row>
    <row r="98" spans="3:39" ht="14.1" customHeight="1">
      <c r="C98" s="995"/>
      <c r="D98" s="107">
        <f>ROUNDDOWN(D97*0.3025,2)</f>
        <v>302.5</v>
      </c>
      <c r="E98" s="107">
        <f>ROUNDDOWN(E97*0.3025,2)</f>
        <v>0</v>
      </c>
      <c r="F98" s="108">
        <f>ROUNDDOWN(F97*0.3025,2)</f>
        <v>302.5</v>
      </c>
      <c r="G98" s="43"/>
      <c r="I98" s="1007" t="s">
        <v>95</v>
      </c>
      <c r="J98" s="1007"/>
      <c r="K98" s="1007"/>
      <c r="L98" s="112"/>
      <c r="M98" s="113"/>
      <c r="N98" s="112"/>
      <c r="O98" s="6"/>
      <c r="AM98" s="6"/>
    </row>
    <row r="99" spans="3:39" ht="20.25" customHeight="1">
      <c r="C99" s="994" t="s">
        <v>58</v>
      </c>
      <c r="D99" s="106">
        <f>N6+N10+N12+N8+N9+N11</f>
        <v>8100</v>
      </c>
      <c r="E99" s="106">
        <f>N7</f>
        <v>100</v>
      </c>
      <c r="F99" s="106">
        <f>D99+E99</f>
        <v>8200</v>
      </c>
      <c r="G99" s="42"/>
      <c r="I99" s="123"/>
      <c r="J99" s="123">
        <v>0</v>
      </c>
      <c r="K99" s="142">
        <v>150</v>
      </c>
      <c r="L99" s="142">
        <v>300</v>
      </c>
      <c r="M99" s="142">
        <v>500</v>
      </c>
      <c r="N99" s="142">
        <v>1000</v>
      </c>
      <c r="O99" s="142">
        <v>1500</v>
      </c>
      <c r="AM99" s="6"/>
    </row>
    <row r="100" spans="3:39" ht="20.25" customHeight="1">
      <c r="C100" s="981"/>
      <c r="D100" s="107">
        <f>ROUNDDOWN(D99*0.3025,2)</f>
        <v>2450.25</v>
      </c>
      <c r="E100" s="107">
        <f>ROUNDDOWN(E99*0.3025,2)</f>
        <v>30.25</v>
      </c>
      <c r="F100" s="108">
        <f>ROUNDDOWN(F99*0.3025,2)</f>
        <v>2480.5</v>
      </c>
      <c r="G100" s="43"/>
      <c r="I100" s="125"/>
      <c r="J100" s="125" t="s">
        <v>96</v>
      </c>
      <c r="K100" s="125" t="s">
        <v>97</v>
      </c>
      <c r="L100" s="125" t="s">
        <v>91</v>
      </c>
      <c r="M100" s="125" t="s">
        <v>92</v>
      </c>
      <c r="N100" s="125" t="s">
        <v>98</v>
      </c>
      <c r="O100" s="125" t="s">
        <v>99</v>
      </c>
    </row>
    <row r="101" spans="3:39" ht="14.1" customHeight="1">
      <c r="C101" s="980" t="s">
        <v>138</v>
      </c>
      <c r="D101" s="106">
        <f>M69</f>
        <v>118767.6</v>
      </c>
      <c r="E101" s="106">
        <v>0</v>
      </c>
      <c r="F101" s="106">
        <f>D101+E101</f>
        <v>118767.6</v>
      </c>
      <c r="G101" s="49">
        <v>0.7</v>
      </c>
      <c r="I101" s="126" t="s">
        <v>100</v>
      </c>
      <c r="J101" s="124">
        <v>0</v>
      </c>
      <c r="K101" s="127">
        <f>50+(D69*0.1)</f>
        <v>207.10000000000002</v>
      </c>
      <c r="L101" s="127">
        <v>155</v>
      </c>
      <c r="M101" s="127">
        <v>225</v>
      </c>
      <c r="N101" s="127">
        <v>375</v>
      </c>
      <c r="O101" s="128">
        <v>500</v>
      </c>
    </row>
    <row r="102" spans="3:39" ht="14.1" customHeight="1">
      <c r="C102" s="981"/>
      <c r="D102" s="108">
        <f>ROUNDDOWN(D101*0.3025,2)</f>
        <v>35927.19</v>
      </c>
      <c r="E102" s="107">
        <f>ROUNDDOWN(E101*0.3025,2)</f>
        <v>0</v>
      </c>
      <c r="F102" s="108">
        <f>ROUNDDOWN(F101*0.3025,2)</f>
        <v>35927.19</v>
      </c>
      <c r="G102" s="48">
        <f>(D101+D97+D99+D103)/(F17*G101)</f>
        <v>3.4532016379485362</v>
      </c>
      <c r="I102" s="126" t="s">
        <v>24</v>
      </c>
      <c r="J102" s="124">
        <v>0</v>
      </c>
      <c r="K102" s="123">
        <v>0</v>
      </c>
      <c r="L102" s="127">
        <v>198</v>
      </c>
      <c r="M102" s="127">
        <v>330</v>
      </c>
      <c r="N102" s="127">
        <v>580</v>
      </c>
      <c r="O102" s="127">
        <v>725</v>
      </c>
    </row>
    <row r="103" spans="3:39" ht="14.1" customHeight="1">
      <c r="C103" s="980" t="s">
        <v>59</v>
      </c>
      <c r="D103" s="106">
        <f>M78</f>
        <v>4640</v>
      </c>
      <c r="E103" s="106">
        <f>M76</f>
        <v>2200</v>
      </c>
      <c r="F103" s="106">
        <f>D103+E103</f>
        <v>6840</v>
      </c>
      <c r="G103" s="42"/>
      <c r="I103" s="126" t="s">
        <v>35</v>
      </c>
      <c r="J103" s="124">
        <v>0</v>
      </c>
      <c r="K103" s="123">
        <v>0</v>
      </c>
      <c r="L103" s="129">
        <v>108</v>
      </c>
      <c r="M103" s="129">
        <v>158</v>
      </c>
      <c r="N103" s="129">
        <v>203</v>
      </c>
      <c r="O103" s="129">
        <v>298</v>
      </c>
    </row>
    <row r="104" spans="3:39" ht="14.1" customHeight="1">
      <c r="C104" s="981"/>
      <c r="D104" s="107">
        <f>ROUNDDOWN(D103*0.3025,2)</f>
        <v>1403.6</v>
      </c>
      <c r="E104" s="107">
        <f>ROUNDDOWN(E103*0.3025,2)</f>
        <v>665.5</v>
      </c>
      <c r="F104" s="108">
        <f>ROUNDDOWN(F103*0.3025,2)</f>
        <v>2069.1</v>
      </c>
      <c r="G104" s="43"/>
      <c r="O104" s="6"/>
    </row>
    <row r="105" spans="3:39" ht="14.1" customHeight="1">
      <c r="C105" s="81" t="s">
        <v>55</v>
      </c>
      <c r="D105" s="106">
        <f>D95+D97+D99+D101+D103</f>
        <v>132507.6</v>
      </c>
      <c r="E105" s="106">
        <f>E95+E97+E99+E101+E103</f>
        <v>147680.85</v>
      </c>
      <c r="F105" s="106">
        <f>D105+E105</f>
        <v>280188.45</v>
      </c>
      <c r="G105" s="42"/>
      <c r="I105" s="1007" t="s">
        <v>101</v>
      </c>
      <c r="J105" s="1007"/>
      <c r="K105" s="1007"/>
      <c r="O105" s="6"/>
    </row>
    <row r="106" spans="3:39" ht="14.1" customHeight="1" thickBot="1">
      <c r="C106" s="44"/>
      <c r="D106" s="109">
        <f>ROUNDDOWN(D105*0.3025,2)</f>
        <v>40083.54</v>
      </c>
      <c r="E106" s="109">
        <f>ROUNDDOWN(E105*0.3025,2)</f>
        <v>44673.45</v>
      </c>
      <c r="F106" s="110">
        <f>ROUNDDOWN(F105*0.3025,2)</f>
        <v>84757</v>
      </c>
      <c r="G106" s="45"/>
      <c r="J106" s="130">
        <v>0</v>
      </c>
      <c r="K106" s="130">
        <v>500</v>
      </c>
      <c r="L106" s="130">
        <v>1000</v>
      </c>
      <c r="M106" s="130">
        <v>1500</v>
      </c>
      <c r="N106" s="6"/>
      <c r="O106" s="6"/>
    </row>
    <row r="107" spans="3:39" ht="14.1" customHeight="1">
      <c r="I107" s="131"/>
      <c r="J107" s="132" t="s">
        <v>102</v>
      </c>
      <c r="K107" s="132" t="s">
        <v>103</v>
      </c>
      <c r="L107" s="132" t="s">
        <v>104</v>
      </c>
      <c r="M107" s="125" t="s">
        <v>99</v>
      </c>
      <c r="N107" s="6"/>
      <c r="O107" s="6"/>
    </row>
    <row r="108" spans="3:39" ht="14.1" customHeight="1">
      <c r="I108" s="133" t="s">
        <v>105</v>
      </c>
      <c r="J108" s="134">
        <v>90</v>
      </c>
      <c r="K108" s="134">
        <v>90</v>
      </c>
      <c r="L108" s="134">
        <v>108</v>
      </c>
      <c r="M108" s="135">
        <v>138</v>
      </c>
      <c r="N108" s="6"/>
      <c r="O108" s="6"/>
    </row>
    <row r="109" spans="3:39" ht="14.1" customHeight="1">
      <c r="I109" s="133" t="s">
        <v>106</v>
      </c>
      <c r="J109" s="134">
        <v>188</v>
      </c>
      <c r="K109" s="134">
        <v>188</v>
      </c>
      <c r="L109" s="134">
        <v>324</v>
      </c>
      <c r="M109" s="135">
        <v>454</v>
      </c>
    </row>
    <row r="110" spans="3:39" ht="14.1" customHeight="1">
      <c r="I110" s="136" t="s">
        <v>107</v>
      </c>
      <c r="J110" s="135">
        <v>146</v>
      </c>
      <c r="K110" s="134">
        <v>158</v>
      </c>
      <c r="L110" s="135">
        <v>184</v>
      </c>
      <c r="M110" s="135">
        <v>210</v>
      </c>
    </row>
    <row r="111" spans="3:39" ht="14.1" customHeight="1">
      <c r="I111" s="133" t="s">
        <v>108</v>
      </c>
      <c r="J111" s="135">
        <v>60</v>
      </c>
      <c r="K111" s="134">
        <v>80</v>
      </c>
      <c r="L111" s="135">
        <v>100</v>
      </c>
      <c r="M111" s="135">
        <v>150</v>
      </c>
    </row>
    <row r="112" spans="3:39" ht="14.1" customHeight="1">
      <c r="I112" s="137" t="s">
        <v>1</v>
      </c>
      <c r="J112" s="135">
        <f>SUM(J108:J111)</f>
        <v>484</v>
      </c>
      <c r="K112" s="135">
        <f t="shared" ref="K112:M112" si="26">SUM(K108:K111)</f>
        <v>516</v>
      </c>
      <c r="L112" s="135">
        <f t="shared" si="26"/>
        <v>716</v>
      </c>
      <c r="M112" s="135">
        <f t="shared" si="26"/>
        <v>952</v>
      </c>
    </row>
    <row r="113" spans="9:13" ht="14.1" customHeight="1">
      <c r="I113" s="1007" t="s">
        <v>109</v>
      </c>
      <c r="J113" s="1007"/>
      <c r="K113" s="1007"/>
    </row>
    <row r="114" spans="9:13" ht="14.1" customHeight="1">
      <c r="J114" s="130">
        <v>0</v>
      </c>
      <c r="K114" s="130">
        <v>500</v>
      </c>
      <c r="L114" s="130">
        <v>1000</v>
      </c>
      <c r="M114" s="130">
        <v>1500</v>
      </c>
    </row>
    <row r="115" spans="9:13" ht="14.1" customHeight="1">
      <c r="I115" s="131"/>
      <c r="J115" s="132" t="s">
        <v>110</v>
      </c>
      <c r="K115" s="132" t="s">
        <v>111</v>
      </c>
      <c r="L115" s="132" t="s">
        <v>112</v>
      </c>
      <c r="M115" s="125" t="s">
        <v>113</v>
      </c>
    </row>
    <row r="116" spans="9:13" ht="14.1" customHeight="1">
      <c r="I116" s="133" t="s">
        <v>114</v>
      </c>
      <c r="J116" s="138">
        <v>36</v>
      </c>
      <c r="K116" s="138">
        <v>48</v>
      </c>
      <c r="L116" s="138">
        <v>56</v>
      </c>
      <c r="M116" s="139">
        <v>63</v>
      </c>
    </row>
    <row r="117" spans="9:13" ht="14.1" customHeight="1">
      <c r="I117" s="133" t="s">
        <v>115</v>
      </c>
      <c r="J117" s="138">
        <v>12</v>
      </c>
      <c r="K117" s="138">
        <v>18</v>
      </c>
      <c r="L117" s="138">
        <v>22</v>
      </c>
      <c r="M117" s="139">
        <v>34</v>
      </c>
    </row>
    <row r="118" spans="9:13" ht="14.1" customHeight="1">
      <c r="I118" s="137" t="s">
        <v>116</v>
      </c>
      <c r="J118" s="140">
        <f>SUM(J116:J117)</f>
        <v>48</v>
      </c>
      <c r="K118" s="141">
        <f>SUM(K116:K117)</f>
        <v>66</v>
      </c>
      <c r="L118" s="140">
        <f>SUM(L116:L117)</f>
        <v>78</v>
      </c>
      <c r="M118" s="140">
        <f>SUM(M116:M117)</f>
        <v>97</v>
      </c>
    </row>
  </sheetData>
  <mergeCells count="188">
    <mergeCell ref="K8:K16"/>
    <mergeCell ref="O16:P16"/>
    <mergeCell ref="K18:L18"/>
    <mergeCell ref="O31:O32"/>
    <mergeCell ref="O28:P28"/>
    <mergeCell ref="O29:P29"/>
    <mergeCell ref="D29:F29"/>
    <mergeCell ref="D30:G30"/>
    <mergeCell ref="D31:F31"/>
    <mergeCell ref="D28:E28"/>
    <mergeCell ref="D9:D16"/>
    <mergeCell ref="D22:D24"/>
    <mergeCell ref="H22:H24"/>
    <mergeCell ref="D17:E17"/>
    <mergeCell ref="B53:B54"/>
    <mergeCell ref="B55:B56"/>
    <mergeCell ref="B57:B58"/>
    <mergeCell ref="D78:D79"/>
    <mergeCell ref="C18:C27"/>
    <mergeCell ref="D18:E18"/>
    <mergeCell ref="F37:F38"/>
    <mergeCell ref="D41:D42"/>
    <mergeCell ref="E41:E42"/>
    <mergeCell ref="D57:D58"/>
    <mergeCell ref="E57:E58"/>
    <mergeCell ref="E76:F76"/>
    <mergeCell ref="E63:E64"/>
    <mergeCell ref="D63:D64"/>
    <mergeCell ref="B61:B62"/>
    <mergeCell ref="C67:C68"/>
    <mergeCell ref="D67:D68"/>
    <mergeCell ref="C51:C52"/>
    <mergeCell ref="D33:G33"/>
    <mergeCell ref="E37:E38"/>
    <mergeCell ref="E67:E68"/>
    <mergeCell ref="E61:E62"/>
    <mergeCell ref="D65:D66"/>
    <mergeCell ref="E65:E66"/>
    <mergeCell ref="I105:K105"/>
    <mergeCell ref="I81:J81"/>
    <mergeCell ref="M81:N81"/>
    <mergeCell ref="O81:P81"/>
    <mergeCell ref="E78:F78"/>
    <mergeCell ref="G78:H78"/>
    <mergeCell ref="I78:J78"/>
    <mergeCell ref="M78:N78"/>
    <mergeCell ref="O78:P78"/>
    <mergeCell ref="E79:F79"/>
    <mergeCell ref="G79:H79"/>
    <mergeCell ref="I79:J79"/>
    <mergeCell ref="M79:N79"/>
    <mergeCell ref="O79:P79"/>
    <mergeCell ref="G81:H81"/>
    <mergeCell ref="E81:F81"/>
    <mergeCell ref="I92:K92"/>
    <mergeCell ref="I98:K98"/>
    <mergeCell ref="O80:P80"/>
    <mergeCell ref="E69:E70"/>
    <mergeCell ref="I75:J75"/>
    <mergeCell ref="M75:N75"/>
    <mergeCell ref="O75:P75"/>
    <mergeCell ref="I73:J73"/>
    <mergeCell ref="M73:N73"/>
    <mergeCell ref="G73:H73"/>
    <mergeCell ref="C71:P71"/>
    <mergeCell ref="E74:F74"/>
    <mergeCell ref="G74:H74"/>
    <mergeCell ref="I74:J74"/>
    <mergeCell ref="O73:P73"/>
    <mergeCell ref="D61:D62"/>
    <mergeCell ref="D76:D77"/>
    <mergeCell ref="D51:D52"/>
    <mergeCell ref="P53:P68"/>
    <mergeCell ref="E51:E52"/>
    <mergeCell ref="C45:C46"/>
    <mergeCell ref="I113:K113"/>
    <mergeCell ref="C80:D81"/>
    <mergeCell ref="E80:F80"/>
    <mergeCell ref="G80:H80"/>
    <mergeCell ref="I80:J80"/>
    <mergeCell ref="D59:D60"/>
    <mergeCell ref="E59:E60"/>
    <mergeCell ref="I76:J76"/>
    <mergeCell ref="M76:N76"/>
    <mergeCell ref="O76:P76"/>
    <mergeCell ref="E77:F77"/>
    <mergeCell ref="G77:H77"/>
    <mergeCell ref="I77:J77"/>
    <mergeCell ref="M77:N77"/>
    <mergeCell ref="O77:P77"/>
    <mergeCell ref="C69:C70"/>
    <mergeCell ref="D69:D70"/>
    <mergeCell ref="C74:D75"/>
    <mergeCell ref="C101:C102"/>
    <mergeCell ref="C103:C104"/>
    <mergeCell ref="M80:N80"/>
    <mergeCell ref="C72:P72"/>
    <mergeCell ref="C73:D73"/>
    <mergeCell ref="E73:F73"/>
    <mergeCell ref="M74:N74"/>
    <mergeCell ref="O74:P74"/>
    <mergeCell ref="E75:F75"/>
    <mergeCell ref="G75:H75"/>
    <mergeCell ref="C97:C98"/>
    <mergeCell ref="C76:C79"/>
    <mergeCell ref="C99:C100"/>
    <mergeCell ref="C95:C96"/>
    <mergeCell ref="G76:H76"/>
    <mergeCell ref="D34:F34"/>
    <mergeCell ref="C36:P36"/>
    <mergeCell ref="D25:D27"/>
    <mergeCell ref="H25:H27"/>
    <mergeCell ref="P37:P38"/>
    <mergeCell ref="D39:D40"/>
    <mergeCell ref="E39:E40"/>
    <mergeCell ref="C37:C38"/>
    <mergeCell ref="D37:D38"/>
    <mergeCell ref="N37:N38"/>
    <mergeCell ref="O37:O38"/>
    <mergeCell ref="J19:J26"/>
    <mergeCell ref="J30:P30"/>
    <mergeCell ref="J27:P27"/>
    <mergeCell ref="N19:N24"/>
    <mergeCell ref="O19:P24"/>
    <mergeCell ref="K29:M29"/>
    <mergeCell ref="J31:J34"/>
    <mergeCell ref="K37:M37"/>
    <mergeCell ref="D49:D50"/>
    <mergeCell ref="E49:E50"/>
    <mergeCell ref="D53:D54"/>
    <mergeCell ref="E53:E54"/>
    <mergeCell ref="D55:D56"/>
    <mergeCell ref="E55:E56"/>
    <mergeCell ref="G37:I37"/>
    <mergeCell ref="D43:D44"/>
    <mergeCell ref="E43:E44"/>
    <mergeCell ref="D47:D48"/>
    <mergeCell ref="E47:E48"/>
    <mergeCell ref="D45:D46"/>
    <mergeCell ref="E45:E46"/>
    <mergeCell ref="T20:AA21"/>
    <mergeCell ref="U22:V22"/>
    <mergeCell ref="K17:L17"/>
    <mergeCell ref="O17:P17"/>
    <mergeCell ref="P51:P52"/>
    <mergeCell ref="P45:P46"/>
    <mergeCell ref="P39:P44"/>
    <mergeCell ref="P47:P50"/>
    <mergeCell ref="O33:O34"/>
    <mergeCell ref="R39:R40"/>
    <mergeCell ref="W22:Z22"/>
    <mergeCell ref="U23:V23"/>
    <mergeCell ref="W23:Z23"/>
    <mergeCell ref="U24:V24"/>
    <mergeCell ref="W24:Z24"/>
    <mergeCell ref="K26:L26"/>
    <mergeCell ref="O25:P25"/>
    <mergeCell ref="O26:P26"/>
    <mergeCell ref="K22:K24"/>
    <mergeCell ref="T29:T34"/>
    <mergeCell ref="Y29:Z29"/>
    <mergeCell ref="Y30:Z31"/>
    <mergeCell ref="Y32:Y34"/>
    <mergeCell ref="Z32:Z34"/>
    <mergeCell ref="B65:B66"/>
    <mergeCell ref="C2:H2"/>
    <mergeCell ref="J2:P2"/>
    <mergeCell ref="D3:H3"/>
    <mergeCell ref="O3:P3"/>
    <mergeCell ref="D4:H4"/>
    <mergeCell ref="K4:M4"/>
    <mergeCell ref="D32:G32"/>
    <mergeCell ref="O6:P6"/>
    <mergeCell ref="O7:P7"/>
    <mergeCell ref="D5:H5"/>
    <mergeCell ref="K5:M5"/>
    <mergeCell ref="K6:L6"/>
    <mergeCell ref="D7:H7"/>
    <mergeCell ref="F18:G18"/>
    <mergeCell ref="D19:D21"/>
    <mergeCell ref="L8:L10"/>
    <mergeCell ref="P31:P34"/>
    <mergeCell ref="K19:K21"/>
    <mergeCell ref="J37:J38"/>
    <mergeCell ref="J28:J29"/>
    <mergeCell ref="C8:C17"/>
    <mergeCell ref="D8:E8"/>
    <mergeCell ref="H19:H21"/>
  </mergeCells>
  <phoneticPr fontId="2" type="noConversion"/>
  <printOptions horizontalCentered="1"/>
  <pageMargins left="0.7" right="0.7" top="0.75" bottom="0.75" header="0.3" footer="0.3"/>
  <pageSetup paperSize="8" scale="64" orientation="landscape" r:id="rId1"/>
  <headerFooter alignWithMargins="0"/>
  <rowBreaks count="1" manualBreakCount="1">
    <brk id="7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autoPageBreaks="0" fitToPage="1"/>
  </sheetPr>
  <dimension ref="B1:AQ120"/>
  <sheetViews>
    <sheetView topLeftCell="E1" zoomScaleNormal="100" zoomScaleSheetLayoutView="115" workbookViewId="0">
      <selection activeCell="H30" sqref="H30:P30"/>
    </sheetView>
  </sheetViews>
  <sheetFormatPr defaultColWidth="8.77734375" defaultRowHeight="14.1" customHeight="1"/>
  <cols>
    <col min="1" max="2" width="8.77734375" style="2"/>
    <col min="3" max="3" width="10.21875" style="2" bestFit="1" customWidth="1"/>
    <col min="4" max="4" width="9.5546875" style="2" bestFit="1" customWidth="1"/>
    <col min="5" max="6" width="8.77734375" style="2"/>
    <col min="7" max="7" width="13.21875" style="2" customWidth="1"/>
    <col min="8" max="9" width="9.21875" style="2" customWidth="1"/>
    <col min="10" max="13" width="11.6640625" style="2" customWidth="1"/>
    <col min="14" max="14" width="12.21875" style="2" bestFit="1" customWidth="1"/>
    <col min="15" max="15" width="13.21875" style="2" customWidth="1"/>
    <col min="16" max="16" width="14.88671875" style="2" customWidth="1"/>
    <col min="17" max="17" width="13.5546875" style="2" customWidth="1"/>
    <col min="18" max="18" width="12.33203125" style="2" customWidth="1"/>
    <col min="19" max="19" width="11.109375" style="2" customWidth="1"/>
    <col min="20" max="20" width="14" style="2" customWidth="1"/>
    <col min="21" max="21" width="4.5546875" style="2" customWidth="1"/>
    <col min="22" max="22" width="8" style="2" customWidth="1"/>
    <col min="23" max="23" width="15.21875" style="2" bestFit="1" customWidth="1"/>
    <col min="24" max="24" width="10.33203125" style="2" bestFit="1" customWidth="1"/>
    <col min="25" max="25" width="10.6640625" style="2" bestFit="1" customWidth="1"/>
    <col min="26" max="26" width="18.33203125" style="2" customWidth="1"/>
    <col min="27" max="27" width="8.77734375" style="2" customWidth="1"/>
    <col min="28" max="28" width="11.77734375" style="2" customWidth="1"/>
    <col min="29" max="29" width="8.6640625" style="2" customWidth="1"/>
    <col min="30" max="30" width="9.6640625" style="2" customWidth="1"/>
    <col min="31" max="31" width="15.77734375" style="2" customWidth="1"/>
    <col min="32" max="32" width="13.5546875" style="2" bestFit="1" customWidth="1"/>
    <col min="33" max="33" width="14.44140625" style="2" bestFit="1" customWidth="1"/>
    <col min="34" max="34" width="15.44140625" style="2" bestFit="1" customWidth="1"/>
    <col min="35" max="35" width="10.5546875" style="2" bestFit="1" customWidth="1"/>
    <col min="36" max="16384" width="8.77734375" style="2"/>
  </cols>
  <sheetData>
    <row r="1" spans="6:25" ht="14.1" customHeight="1"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</row>
    <row r="2" spans="6:25" ht="18" customHeight="1">
      <c r="F2" s="77"/>
      <c r="G2" s="839" t="s">
        <v>60</v>
      </c>
      <c r="H2" s="839"/>
      <c r="I2" s="839"/>
      <c r="J2" s="839"/>
      <c r="K2" s="839"/>
      <c r="L2" s="840"/>
      <c r="M2" s="70"/>
      <c r="N2" s="841" t="s">
        <v>33</v>
      </c>
      <c r="O2" s="842"/>
      <c r="P2" s="842"/>
      <c r="Q2" s="842"/>
      <c r="R2" s="842"/>
      <c r="S2" s="842"/>
      <c r="T2" s="843"/>
    </row>
    <row r="3" spans="6:25" ht="17.100000000000001" customHeight="1">
      <c r="F3" s="77"/>
      <c r="G3" s="72" t="s">
        <v>52</v>
      </c>
      <c r="H3" s="844" t="s">
        <v>125</v>
      </c>
      <c r="I3" s="845"/>
      <c r="J3" s="845"/>
      <c r="K3" s="845"/>
      <c r="L3" s="846"/>
      <c r="M3" s="51"/>
      <c r="N3" s="53" t="s">
        <v>65</v>
      </c>
      <c r="O3" s="29"/>
      <c r="P3" s="84" t="s">
        <v>61</v>
      </c>
      <c r="Q3" s="30"/>
      <c r="R3" s="31" t="s">
        <v>10</v>
      </c>
      <c r="S3" s="847" t="s">
        <v>51</v>
      </c>
      <c r="T3" s="848"/>
    </row>
    <row r="4" spans="6:25" ht="17.100000000000001" customHeight="1">
      <c r="F4" s="77"/>
      <c r="G4" s="73" t="s">
        <v>11</v>
      </c>
      <c r="H4" s="849" t="s">
        <v>126</v>
      </c>
      <c r="I4" s="850"/>
      <c r="J4" s="850"/>
      <c r="K4" s="850"/>
      <c r="L4" s="851"/>
      <c r="M4" s="51"/>
      <c r="N4" s="54" t="s">
        <v>4</v>
      </c>
      <c r="O4" s="852" t="str">
        <f>INDEX($N$96:$R$96,MATCH($H$71,$N$95:$R$95,1))</f>
        <v>1000~2000세대 미만</v>
      </c>
      <c r="P4" s="852"/>
      <c r="Q4" s="853"/>
      <c r="R4" s="32">
        <f>INDEX($N$97:$R$97,MATCH($H$71,$N$95:$R$95,1))</f>
        <v>15</v>
      </c>
      <c r="S4" s="21"/>
      <c r="T4" s="67"/>
    </row>
    <row r="5" spans="6:25" ht="17.100000000000001" customHeight="1">
      <c r="F5" s="77"/>
      <c r="G5" s="73" t="s">
        <v>27</v>
      </c>
      <c r="H5" s="849" t="s">
        <v>127</v>
      </c>
      <c r="I5" s="850"/>
      <c r="J5" s="850"/>
      <c r="K5" s="850"/>
      <c r="L5" s="851"/>
      <c r="M5" s="51"/>
      <c r="N5" s="55" t="s">
        <v>5</v>
      </c>
      <c r="O5" s="857" t="s">
        <v>25</v>
      </c>
      <c r="P5" s="857"/>
      <c r="Q5" s="861"/>
      <c r="R5" s="33" t="s">
        <v>12</v>
      </c>
      <c r="S5" s="22"/>
      <c r="T5" s="68"/>
    </row>
    <row r="6" spans="6:25" ht="17.100000000000001" customHeight="1">
      <c r="F6" s="77"/>
      <c r="G6" s="73" t="s">
        <v>39</v>
      </c>
      <c r="H6" s="50" t="s">
        <v>128</v>
      </c>
      <c r="I6" s="185">
        <v>4</v>
      </c>
      <c r="J6" s="186"/>
      <c r="K6" s="186"/>
      <c r="L6" s="186"/>
      <c r="M6" s="51"/>
      <c r="N6" s="55" t="s">
        <v>6</v>
      </c>
      <c r="O6" s="862">
        <f>H71</f>
        <v>1571</v>
      </c>
      <c r="P6" s="862"/>
      <c r="Q6" s="23">
        <f>IF(H71&gt;=50, ROUNDUP((10+(H71-50)*0.05),2), "해당없음")</f>
        <v>86.05</v>
      </c>
      <c r="R6" s="252">
        <v>350</v>
      </c>
      <c r="S6" s="857" t="s">
        <v>13</v>
      </c>
      <c r="T6" s="858"/>
    </row>
    <row r="7" spans="6:25" ht="17.100000000000001" customHeight="1">
      <c r="F7" s="77"/>
      <c r="G7" s="74" t="s">
        <v>40</v>
      </c>
      <c r="H7" s="863" t="s">
        <v>78</v>
      </c>
      <c r="I7" s="864"/>
      <c r="J7" s="864"/>
      <c r="K7" s="864"/>
      <c r="L7" s="865"/>
      <c r="M7" s="51"/>
      <c r="N7" s="56" t="s">
        <v>66</v>
      </c>
      <c r="O7" s="24"/>
      <c r="P7" s="63"/>
      <c r="Q7" s="25"/>
      <c r="R7" s="255">
        <v>100</v>
      </c>
      <c r="S7" s="859"/>
      <c r="T7" s="860"/>
    </row>
    <row r="8" spans="6:25" ht="17.100000000000001" customHeight="1">
      <c r="F8" s="77"/>
      <c r="G8" s="881" t="s">
        <v>41</v>
      </c>
      <c r="H8" s="884" t="s">
        <v>3</v>
      </c>
      <c r="I8" s="885"/>
      <c r="J8" s="103">
        <v>74209.399999999994</v>
      </c>
      <c r="K8" s="104">
        <f t="shared" ref="K8:K12" si="0">ROUNDDOWN(J8*0.3025,2)</f>
        <v>22448.34</v>
      </c>
      <c r="L8" s="105">
        <f>J8/$J$8</f>
        <v>1</v>
      </c>
      <c r="M8" s="51"/>
      <c r="N8" s="54" t="s">
        <v>67</v>
      </c>
      <c r="O8" s="1092" t="s">
        <v>75</v>
      </c>
      <c r="P8" s="868" t="s">
        <v>146</v>
      </c>
      <c r="Q8" s="188">
        <v>500</v>
      </c>
      <c r="R8" s="251">
        <v>600</v>
      </c>
      <c r="S8" s="27"/>
      <c r="T8" s="69"/>
      <c r="Y8" s="173"/>
    </row>
    <row r="9" spans="6:25" ht="17.100000000000001" customHeight="1">
      <c r="F9" s="77"/>
      <c r="G9" s="882"/>
      <c r="H9" s="1112" t="s">
        <v>14</v>
      </c>
      <c r="I9" s="65" t="s">
        <v>133</v>
      </c>
      <c r="J9" s="13">
        <v>9078</v>
      </c>
      <c r="K9" s="14">
        <f t="shared" si="0"/>
        <v>2746.09</v>
      </c>
      <c r="L9" s="15">
        <f t="shared" ref="L9:L12" si="1">J9/$J$8</f>
        <v>0.12232951620684172</v>
      </c>
      <c r="M9" s="189"/>
      <c r="N9" s="55" t="s">
        <v>24</v>
      </c>
      <c r="O9" s="1093"/>
      <c r="P9" s="869"/>
      <c r="Q9" s="188">
        <v>725</v>
      </c>
      <c r="R9" s="252">
        <v>1200</v>
      </c>
      <c r="S9" s="82"/>
      <c r="T9" s="68"/>
    </row>
    <row r="10" spans="6:25" ht="17.100000000000001" customHeight="1">
      <c r="F10" s="77"/>
      <c r="G10" s="882"/>
      <c r="H10" s="1113"/>
      <c r="I10" s="65" t="s">
        <v>134</v>
      </c>
      <c r="J10" s="13">
        <v>5100</v>
      </c>
      <c r="K10" s="14">
        <f t="shared" si="0"/>
        <v>1542.75</v>
      </c>
      <c r="L10" s="15">
        <f t="shared" si="1"/>
        <v>6.8724447307214456E-2</v>
      </c>
      <c r="M10" s="51"/>
      <c r="N10" s="55" t="s">
        <v>35</v>
      </c>
      <c r="O10" s="1093"/>
      <c r="P10" s="870"/>
      <c r="Q10" s="188">
        <v>298</v>
      </c>
      <c r="R10" s="252">
        <v>650</v>
      </c>
      <c r="S10" s="28"/>
      <c r="T10" s="68"/>
      <c r="W10" s="130"/>
      <c r="X10" s="149"/>
    </row>
    <row r="11" spans="6:25" ht="17.100000000000001" customHeight="1">
      <c r="F11" s="77"/>
      <c r="G11" s="882"/>
      <c r="H11" s="1113"/>
      <c r="I11" s="65" t="s">
        <v>129</v>
      </c>
      <c r="J11" s="13">
        <v>1000</v>
      </c>
      <c r="K11" s="14">
        <f t="shared" si="0"/>
        <v>302.5</v>
      </c>
      <c r="L11" s="15">
        <f t="shared" si="1"/>
        <v>1.347538182494401E-2</v>
      </c>
      <c r="M11" s="189"/>
      <c r="N11" s="55" t="s">
        <v>88</v>
      </c>
      <c r="O11" s="1093"/>
      <c r="P11" s="147" t="str">
        <f>IF(H71&gt;=500,"500세대이상 의무설치", "해당없음")</f>
        <v>500세대이상 의무설치</v>
      </c>
      <c r="Q11" s="26" t="str">
        <f>IF(H71&gt;=500,"66㎡ 이상", "해당없음")</f>
        <v>66㎡ 이상</v>
      </c>
      <c r="R11" s="252">
        <v>100</v>
      </c>
      <c r="S11" s="28"/>
      <c r="T11" s="68"/>
      <c r="W11" s="130"/>
      <c r="X11" s="149"/>
    </row>
    <row r="12" spans="6:25" ht="17.100000000000001" customHeight="1">
      <c r="F12" s="77"/>
      <c r="G12" s="882"/>
      <c r="H12" s="1113"/>
      <c r="I12" s="65" t="s">
        <v>130</v>
      </c>
      <c r="J12" s="13">
        <v>250</v>
      </c>
      <c r="K12" s="14">
        <f t="shared" si="0"/>
        <v>75.62</v>
      </c>
      <c r="L12" s="15">
        <f t="shared" si="1"/>
        <v>3.3688454562360026E-3</v>
      </c>
      <c r="M12" s="51"/>
      <c r="N12" s="55" t="s">
        <v>34</v>
      </c>
      <c r="O12" s="1093"/>
      <c r="P12" s="61"/>
      <c r="Q12" s="47"/>
      <c r="R12" s="252">
        <v>5200</v>
      </c>
      <c r="S12" s="22"/>
      <c r="T12" s="68"/>
      <c r="W12" s="130"/>
      <c r="X12" s="149"/>
    </row>
    <row r="13" spans="6:25" ht="17.100000000000001" customHeight="1">
      <c r="F13" s="77"/>
      <c r="G13" s="882"/>
      <c r="H13" s="1113"/>
      <c r="I13" s="65" t="s">
        <v>135</v>
      </c>
      <c r="J13" s="13">
        <f>1039.4+1199.7+770</f>
        <v>3009.1000000000004</v>
      </c>
      <c r="K13" s="14">
        <f>ROUNDDOWN(J13*0.3025,2)</f>
        <v>910.25</v>
      </c>
      <c r="L13" s="15">
        <f>J13/$J$8</f>
        <v>4.0548771449439025E-2</v>
      </c>
      <c r="M13" s="51"/>
      <c r="N13" s="55" t="s">
        <v>147</v>
      </c>
      <c r="O13" s="1093"/>
      <c r="P13" s="61"/>
      <c r="Q13" s="47"/>
      <c r="R13" s="250">
        <v>420</v>
      </c>
      <c r="S13" s="22"/>
      <c r="T13" s="68"/>
      <c r="W13" s="130"/>
      <c r="X13" s="149"/>
    </row>
    <row r="14" spans="6:25" ht="17.100000000000001" customHeight="1">
      <c r="F14" s="77"/>
      <c r="G14" s="882"/>
      <c r="H14" s="1113"/>
      <c r="I14" s="65" t="s">
        <v>131</v>
      </c>
      <c r="J14" s="13">
        <v>954.6</v>
      </c>
      <c r="K14" s="14">
        <f>ROUNDDOWN(J14*0.3025,2)</f>
        <v>288.76</v>
      </c>
      <c r="L14" s="15">
        <f>J14/$J$8</f>
        <v>1.2863599490091552E-2</v>
      </c>
      <c r="M14" s="192"/>
      <c r="N14" s="55" t="s">
        <v>145</v>
      </c>
      <c r="O14" s="1093"/>
      <c r="P14" s="61"/>
      <c r="Q14" s="47"/>
      <c r="R14" s="250">
        <v>500</v>
      </c>
      <c r="S14" s="22"/>
      <c r="T14" s="68"/>
      <c r="W14" s="130"/>
      <c r="X14" s="149"/>
    </row>
    <row r="15" spans="6:25" ht="17.100000000000001" customHeight="1">
      <c r="F15" s="77"/>
      <c r="G15" s="882"/>
      <c r="H15" s="1113"/>
      <c r="M15" s="191"/>
      <c r="N15" s="55" t="s">
        <v>76</v>
      </c>
      <c r="O15" s="1093"/>
      <c r="P15" s="202" t="str">
        <f>IF(H71&gt;=500,"500세대이상 의무설치", "해당없음")</f>
        <v>500세대이상 의무설치</v>
      </c>
      <c r="Q15" s="47"/>
      <c r="R15" s="253">
        <v>800</v>
      </c>
      <c r="S15" s="22"/>
      <c r="T15" s="68"/>
      <c r="W15" s="130"/>
      <c r="X15" s="149"/>
    </row>
    <row r="16" spans="6:25" ht="17.100000000000001" customHeight="1">
      <c r="F16" s="77"/>
      <c r="G16" s="882"/>
      <c r="H16" s="1114"/>
      <c r="I16" s="65" t="s">
        <v>132</v>
      </c>
      <c r="J16" s="100">
        <f>SUM(J9:J14)</f>
        <v>19391.699999999997</v>
      </c>
      <c r="K16" s="101">
        <f>ROUNDDOWN(J16*0.3025,2)</f>
        <v>5865.98</v>
      </c>
      <c r="L16" s="102">
        <f>J16/$J$8</f>
        <v>0.26131056173476674</v>
      </c>
      <c r="M16" s="51"/>
      <c r="N16" s="55" t="s">
        <v>77</v>
      </c>
      <c r="O16" s="1094"/>
      <c r="P16" s="202" t="str">
        <f>IF(H71&lt;100,"-해당없음-",IF(H71&lt;300,"지역여건에 맞게 설치",IF(H71&lt;1000,"200㎡+세대당 1㎡",IF(H71&gt;1000,"500㎡+세대당 0.7㎡"))))</f>
        <v>500㎡+세대당 0.7㎡</v>
      </c>
      <c r="Q16" s="26">
        <f>500+(H71*0.7)</f>
        <v>1599.6999999999998</v>
      </c>
      <c r="R16" s="253">
        <f>ROUNDUP(Q16,-2)+100</f>
        <v>1700</v>
      </c>
      <c r="S16" s="1095"/>
      <c r="T16" s="1096"/>
    </row>
    <row r="17" spans="6:31" ht="17.100000000000001" customHeight="1">
      <c r="F17" s="77"/>
      <c r="G17" s="883"/>
      <c r="H17" s="1115" t="s">
        <v>42</v>
      </c>
      <c r="I17" s="1116"/>
      <c r="J17" s="16">
        <f>J8-J16</f>
        <v>54817.7</v>
      </c>
      <c r="K17" s="17">
        <f>ROUNDDOWN(J17*0.3025,2)</f>
        <v>16582.349999999999</v>
      </c>
      <c r="L17" s="18">
        <f>J17/$J$8</f>
        <v>0.73868943826523326</v>
      </c>
      <c r="M17" s="51"/>
      <c r="N17" s="201" t="s">
        <v>26</v>
      </c>
      <c r="O17" s="892" t="s">
        <v>79</v>
      </c>
      <c r="P17" s="893"/>
      <c r="Q17" s="198">
        <f>500+$H$71*2</f>
        <v>3642</v>
      </c>
      <c r="R17" s="254">
        <f>R8+R9+R10+R11+R12+R14+R15+R16</f>
        <v>10750</v>
      </c>
      <c r="S17" s="894" t="s">
        <v>80</v>
      </c>
      <c r="T17" s="895"/>
    </row>
    <row r="18" spans="6:31" ht="17.100000000000001" customHeight="1">
      <c r="F18" s="77"/>
      <c r="G18" s="1079" t="s">
        <v>43</v>
      </c>
      <c r="H18" s="1082" t="s">
        <v>70</v>
      </c>
      <c r="I18" s="1083"/>
      <c r="J18" s="866" t="s">
        <v>71</v>
      </c>
      <c r="K18" s="866"/>
      <c r="L18" s="64" t="s">
        <v>72</v>
      </c>
      <c r="M18" s="51"/>
      <c r="N18" s="54" t="s">
        <v>36</v>
      </c>
      <c r="O18" s="1097" t="s">
        <v>85</v>
      </c>
      <c r="P18" s="1098"/>
      <c r="Q18" s="199">
        <f>J17*0.15</f>
        <v>8222.6549999999988</v>
      </c>
      <c r="R18" s="200">
        <f>ROUNDUP(Q18,-2)+200</f>
        <v>8500</v>
      </c>
      <c r="S18" s="21"/>
      <c r="T18" s="67"/>
      <c r="W18" s="130"/>
      <c r="X18" s="177"/>
    </row>
    <row r="19" spans="6:31" ht="17.100000000000001" customHeight="1">
      <c r="F19" s="77"/>
      <c r="G19" s="1080"/>
      <c r="H19" s="867" t="s">
        <v>44</v>
      </c>
      <c r="I19" s="66" t="s">
        <v>45</v>
      </c>
      <c r="J19" s="19">
        <f>N71+R13+R14</f>
        <v>146300.85</v>
      </c>
      <c r="K19" s="14">
        <f>ROUNDDOWN(J19*0.3025,2)</f>
        <v>44256</v>
      </c>
      <c r="L19" s="886">
        <f>J19/$J$25</f>
        <v>0.98518526998330314</v>
      </c>
      <c r="M19" s="51"/>
      <c r="N19" s="959" t="s">
        <v>37</v>
      </c>
      <c r="O19" s="874" t="s">
        <v>81</v>
      </c>
      <c r="P19" s="197" t="s">
        <v>122</v>
      </c>
      <c r="Q19" s="178">
        <f>ROUNDUP((H49*J49+H43*J43+H47*J47+H53*J53+H55*J55+H39*J39+H41*J41+H57*J57+H59*J59+H61*J61)/75,0)</f>
        <v>1302</v>
      </c>
      <c r="R19" s="965">
        <f>H71*S19</f>
        <v>2827.8</v>
      </c>
      <c r="S19" s="968">
        <v>1.8</v>
      </c>
      <c r="T19" s="969"/>
      <c r="W19" s="177"/>
    </row>
    <row r="20" spans="6:31" ht="17.100000000000001" customHeight="1">
      <c r="F20" s="77"/>
      <c r="G20" s="1080"/>
      <c r="H20" s="867"/>
      <c r="I20" s="66" t="s">
        <v>46</v>
      </c>
      <c r="J20" s="19">
        <f>O71+Q71+R6+R7+R8+R9+R10+R11+R12</f>
        <v>127967.6</v>
      </c>
      <c r="K20" s="14">
        <f t="shared" ref="K20:K27" si="2">ROUNDDOWN(J20*0.3025,2)</f>
        <v>38710.19</v>
      </c>
      <c r="L20" s="887"/>
      <c r="M20" s="51"/>
      <c r="N20" s="960"/>
      <c r="O20" s="875"/>
      <c r="P20" s="150" t="s">
        <v>123</v>
      </c>
      <c r="Q20" s="179">
        <f>ROUNDUP((H63*J63+H65*J65+H67*J67)/65,0)</f>
        <v>176</v>
      </c>
      <c r="R20" s="966"/>
      <c r="S20" s="970"/>
      <c r="T20" s="971"/>
      <c r="W20" s="177"/>
      <c r="X20" s="889"/>
      <c r="Y20" s="889"/>
      <c r="Z20" s="889"/>
      <c r="AA20" s="889"/>
      <c r="AB20" s="889"/>
      <c r="AC20" s="889"/>
      <c r="AD20" s="889"/>
      <c r="AE20" s="889"/>
    </row>
    <row r="21" spans="6:31" ht="17.100000000000001" customHeight="1">
      <c r="F21" s="77"/>
      <c r="G21" s="1080"/>
      <c r="H21" s="867"/>
      <c r="I21" s="66" t="s">
        <v>47</v>
      </c>
      <c r="J21" s="19">
        <f>SUM(J19:J20)</f>
        <v>274268.45</v>
      </c>
      <c r="K21" s="14">
        <f t="shared" si="2"/>
        <v>82966.2</v>
      </c>
      <c r="L21" s="888"/>
      <c r="M21" s="51"/>
      <c r="N21" s="960"/>
      <c r="O21" s="876"/>
      <c r="P21" s="151" t="s">
        <v>82</v>
      </c>
      <c r="Q21" s="180">
        <f>SUM(Q19:Q20)</f>
        <v>1478</v>
      </c>
      <c r="R21" s="966"/>
      <c r="S21" s="970"/>
      <c r="T21" s="971"/>
      <c r="X21" s="889"/>
      <c r="Y21" s="889"/>
      <c r="Z21" s="889"/>
      <c r="AA21" s="889"/>
      <c r="AB21" s="889"/>
      <c r="AC21" s="889"/>
      <c r="AD21" s="889"/>
      <c r="AE21" s="889"/>
    </row>
    <row r="22" spans="6:31" ht="17.100000000000001" customHeight="1">
      <c r="F22" s="77"/>
      <c r="G22" s="1080"/>
      <c r="H22" s="953" t="s">
        <v>38</v>
      </c>
      <c r="I22" s="65" t="s">
        <v>45</v>
      </c>
      <c r="J22" s="19">
        <f>Q78</f>
        <v>2200</v>
      </c>
      <c r="K22" s="14">
        <f t="shared" si="2"/>
        <v>665.5</v>
      </c>
      <c r="L22" s="886">
        <f>J22/$J$25</f>
        <v>1.4814730016696873E-2</v>
      </c>
      <c r="M22" s="51"/>
      <c r="N22" s="960"/>
      <c r="O22" s="874" t="s">
        <v>86</v>
      </c>
      <c r="P22" s="159" t="s">
        <v>121</v>
      </c>
      <c r="Q22" s="178">
        <f>(H39+H41+H43+H47+H53+H55+H57)*0.8</f>
        <v>725.6</v>
      </c>
      <c r="R22" s="966"/>
      <c r="S22" s="970"/>
      <c r="T22" s="971"/>
      <c r="X22" s="174"/>
      <c r="Y22" s="890"/>
      <c r="Z22" s="891"/>
      <c r="AA22" s="907"/>
      <c r="AB22" s="891"/>
      <c r="AC22" s="891"/>
      <c r="AD22" s="891"/>
    </row>
    <row r="23" spans="6:31" ht="17.100000000000001" customHeight="1">
      <c r="F23" s="77"/>
      <c r="G23" s="1080"/>
      <c r="H23" s="953"/>
      <c r="I23" s="65" t="s">
        <v>46</v>
      </c>
      <c r="J23" s="19">
        <f>H105</f>
        <v>4640</v>
      </c>
      <c r="K23" s="14">
        <f t="shared" si="2"/>
        <v>1403.6</v>
      </c>
      <c r="L23" s="887"/>
      <c r="M23" s="51"/>
      <c r="N23" s="960"/>
      <c r="O23" s="875"/>
      <c r="P23" s="160" t="s">
        <v>119</v>
      </c>
      <c r="Q23" s="181">
        <f>(H49+H59+H63+H65+H67)*1</f>
        <v>654</v>
      </c>
      <c r="R23" s="966"/>
      <c r="S23" s="970"/>
      <c r="T23" s="971"/>
      <c r="X23" s="175"/>
      <c r="Y23" s="908"/>
      <c r="Z23" s="909"/>
      <c r="AA23" s="910"/>
      <c r="AB23" s="911"/>
      <c r="AC23" s="911"/>
      <c r="AD23" s="911"/>
    </row>
    <row r="24" spans="6:31" ht="17.100000000000001" customHeight="1">
      <c r="F24" s="77"/>
      <c r="G24" s="1080"/>
      <c r="H24" s="953"/>
      <c r="I24" s="65" t="s">
        <v>47</v>
      </c>
      <c r="J24" s="19">
        <f>J22+J23</f>
        <v>6840</v>
      </c>
      <c r="K24" s="14">
        <f t="shared" si="2"/>
        <v>2069.1</v>
      </c>
      <c r="L24" s="888"/>
      <c r="M24" s="51"/>
      <c r="N24" s="960"/>
      <c r="O24" s="876"/>
      <c r="P24" s="152" t="s">
        <v>82</v>
      </c>
      <c r="Q24" s="180">
        <f>SUM(Q22:Q23)</f>
        <v>1379.6</v>
      </c>
      <c r="R24" s="967"/>
      <c r="S24" s="972"/>
      <c r="T24" s="973"/>
      <c r="X24" s="176"/>
      <c r="Y24" s="908"/>
      <c r="Z24" s="909"/>
      <c r="AA24" s="910"/>
      <c r="AB24" s="911"/>
      <c r="AC24" s="911"/>
      <c r="AD24" s="911"/>
    </row>
    <row r="25" spans="6:31" ht="17.100000000000001" customHeight="1">
      <c r="F25" s="77"/>
      <c r="G25" s="1080"/>
      <c r="H25" s="953" t="s">
        <v>1</v>
      </c>
      <c r="I25" s="65" t="s">
        <v>45</v>
      </c>
      <c r="J25" s="46">
        <f>J19+J22</f>
        <v>148500.85</v>
      </c>
      <c r="K25" s="14">
        <f t="shared" si="2"/>
        <v>44921.5</v>
      </c>
      <c r="L25" s="886">
        <f>J25/$J$25</f>
        <v>1</v>
      </c>
      <c r="M25" s="51"/>
      <c r="N25" s="960"/>
      <c r="O25" s="153" t="s">
        <v>38</v>
      </c>
      <c r="P25" s="154">
        <v>134</v>
      </c>
      <c r="Q25" s="182">
        <f>(M82+O82)/P25</f>
        <v>36.940298507462686</v>
      </c>
      <c r="R25" s="155">
        <f>ROUNDUP(Q25*S25,0)</f>
        <v>45</v>
      </c>
      <c r="S25" s="914">
        <v>1.2</v>
      </c>
      <c r="T25" s="915"/>
    </row>
    <row r="26" spans="6:31" ht="17.100000000000001" customHeight="1">
      <c r="F26" s="77"/>
      <c r="G26" s="1080"/>
      <c r="H26" s="953"/>
      <c r="I26" s="65" t="s">
        <v>46</v>
      </c>
      <c r="J26" s="46">
        <f>J20+J23</f>
        <v>132607.6</v>
      </c>
      <c r="K26" s="14">
        <f t="shared" si="2"/>
        <v>40113.79</v>
      </c>
      <c r="L26" s="887"/>
      <c r="M26" s="51"/>
      <c r="N26" s="961"/>
      <c r="O26" s="912" t="s">
        <v>69</v>
      </c>
      <c r="P26" s="913"/>
      <c r="Q26" s="183">
        <f>SUM(Q24+Q25)</f>
        <v>1416.5402985074627</v>
      </c>
      <c r="R26" s="156">
        <f>SUM(R19+R25)</f>
        <v>2872.8</v>
      </c>
      <c r="S26" s="916"/>
      <c r="T26" s="917"/>
      <c r="U26"/>
      <c r="V26"/>
    </row>
    <row r="27" spans="6:31" ht="17.100000000000001" customHeight="1">
      <c r="F27" s="77"/>
      <c r="G27" s="1081"/>
      <c r="H27" s="954"/>
      <c r="I27" s="263" t="s">
        <v>1</v>
      </c>
      <c r="J27" s="264">
        <f>J21+J24</f>
        <v>281108.45</v>
      </c>
      <c r="K27" s="17">
        <f t="shared" si="2"/>
        <v>85035.3</v>
      </c>
      <c r="L27" s="955"/>
      <c r="M27" s="51"/>
      <c r="N27" s="962"/>
      <c r="O27" s="963"/>
      <c r="P27" s="963"/>
      <c r="Q27" s="963"/>
      <c r="R27" s="963"/>
      <c r="S27" s="963"/>
      <c r="T27" s="964"/>
      <c r="U27"/>
      <c r="V27"/>
    </row>
    <row r="28" spans="6:31" ht="17.100000000000001" customHeight="1">
      <c r="F28" s="77"/>
      <c r="G28" s="261" t="s">
        <v>149</v>
      </c>
      <c r="H28" s="1111">
        <v>279559.49</v>
      </c>
      <c r="I28" s="1111"/>
      <c r="J28" s="262">
        <f>H28*1.05</f>
        <v>293537.4645</v>
      </c>
      <c r="K28" s="260"/>
      <c r="M28" s="51"/>
      <c r="N28" s="879" t="s">
        <v>124</v>
      </c>
      <c r="O28" s="196" t="s">
        <v>139</v>
      </c>
      <c r="P28" s="195">
        <f>H71-(T31*2)</f>
        <v>1499</v>
      </c>
      <c r="Q28" s="194">
        <v>0.15</v>
      </c>
      <c r="R28" s="259"/>
      <c r="S28" s="1101">
        <f>P28*Q28</f>
        <v>224.85</v>
      </c>
      <c r="T28" s="1102"/>
      <c r="U28"/>
      <c r="V28"/>
    </row>
    <row r="29" spans="6:31" ht="17.100000000000001" customHeight="1">
      <c r="F29" s="77"/>
      <c r="G29" s="72" t="s">
        <v>48</v>
      </c>
      <c r="H29" s="1105">
        <v>10250.69</v>
      </c>
      <c r="I29" s="1106"/>
      <c r="J29" s="1107"/>
      <c r="K29" s="12">
        <f>ROUNDDOWN(H29*0.3025,2)</f>
        <v>3100.83</v>
      </c>
      <c r="L29" s="204">
        <v>50</v>
      </c>
      <c r="M29" s="51"/>
      <c r="N29" s="880"/>
      <c r="O29" s="974" t="s">
        <v>136</v>
      </c>
      <c r="P29" s="974"/>
      <c r="Q29" s="975"/>
      <c r="S29" s="1103">
        <f>H45</f>
        <v>225</v>
      </c>
      <c r="T29" s="1104"/>
      <c r="U29"/>
      <c r="V29"/>
      <c r="X29" s="918"/>
      <c r="Y29" s="161"/>
      <c r="Z29" s="162"/>
      <c r="AA29" s="162"/>
      <c r="AB29" s="163"/>
      <c r="AC29" s="921"/>
      <c r="AD29" s="922"/>
    </row>
    <row r="30" spans="6:31" ht="17.100000000000001" customHeight="1">
      <c r="F30" s="77"/>
      <c r="G30" s="74" t="s">
        <v>0</v>
      </c>
      <c r="H30" s="1108">
        <f>H29/J17</f>
        <v>0.18699598852195551</v>
      </c>
      <c r="I30" s="1109"/>
      <c r="J30" s="1109"/>
      <c r="K30" s="1110"/>
      <c r="L30" s="205"/>
      <c r="M30" s="51"/>
      <c r="N30" s="962"/>
      <c r="O30" s="963"/>
      <c r="P30" s="963"/>
      <c r="Q30" s="963"/>
      <c r="R30" s="963"/>
      <c r="S30" s="963"/>
      <c r="T30" s="964"/>
      <c r="U30" s="146"/>
      <c r="V30"/>
      <c r="X30" s="919"/>
      <c r="Y30" s="165"/>
      <c r="Z30" s="157"/>
      <c r="AA30" s="171"/>
      <c r="AB30" s="157"/>
      <c r="AC30" s="923"/>
      <c r="AD30" s="924"/>
    </row>
    <row r="31" spans="6:31" ht="17.100000000000001" customHeight="1">
      <c r="F31" s="77"/>
      <c r="G31" s="75" t="s">
        <v>64</v>
      </c>
      <c r="H31" s="1105">
        <f>J25</f>
        <v>148500.85</v>
      </c>
      <c r="I31" s="1106"/>
      <c r="J31" s="1107"/>
      <c r="K31" s="12">
        <f>ROUNDDOWN(H31*0.3025,2)</f>
        <v>44921.5</v>
      </c>
      <c r="L31" s="184" t="s">
        <v>120</v>
      </c>
      <c r="M31" s="51"/>
      <c r="N31" s="976" t="s">
        <v>148</v>
      </c>
      <c r="O31" s="190">
        <f>H32</f>
        <v>2.7089945400846811</v>
      </c>
      <c r="P31" s="229">
        <v>2.5821000000000001</v>
      </c>
      <c r="Q31" s="256">
        <v>2</v>
      </c>
      <c r="R31" s="257">
        <f>(O31-P31)/Q31</f>
        <v>6.344727004234052E-2</v>
      </c>
      <c r="S31" s="1099">
        <f>R32</f>
        <v>3478.0334150000099</v>
      </c>
      <c r="T31" s="871">
        <f>P33+P34</f>
        <v>36</v>
      </c>
      <c r="U31"/>
      <c r="V31"/>
      <c r="X31" s="919"/>
      <c r="Y31" s="167"/>
      <c r="Z31" s="168"/>
      <c r="AA31" s="172"/>
      <c r="AB31" s="168"/>
      <c r="AC31" s="925"/>
      <c r="AD31" s="926"/>
    </row>
    <row r="32" spans="6:31" ht="17.100000000000001" customHeight="1">
      <c r="F32" s="77"/>
      <c r="G32" s="83" t="s">
        <v>62</v>
      </c>
      <c r="H32" s="854">
        <f>H31/J17</f>
        <v>2.7089945400846811</v>
      </c>
      <c r="I32" s="855"/>
      <c r="J32" s="855"/>
      <c r="K32" s="856"/>
      <c r="L32" s="187">
        <v>270.94</v>
      </c>
      <c r="M32" s="51"/>
      <c r="N32" s="977"/>
      <c r="O32" s="236"/>
      <c r="P32" s="237">
        <f>J17</f>
        <v>54817.7</v>
      </c>
      <c r="Q32" s="238">
        <f>R31</f>
        <v>6.344727004234052E-2</v>
      </c>
      <c r="R32" s="258">
        <f>P32*Q32</f>
        <v>3478.0334150000099</v>
      </c>
      <c r="S32" s="1100"/>
      <c r="T32" s="872"/>
      <c r="U32"/>
      <c r="V32"/>
      <c r="W32" s="169"/>
      <c r="X32" s="919"/>
      <c r="Y32" s="165"/>
      <c r="Z32" s="157"/>
      <c r="AA32" s="170"/>
      <c r="AB32" s="157"/>
      <c r="AC32" s="927"/>
      <c r="AD32" s="929"/>
    </row>
    <row r="33" spans="2:30" ht="17.100000000000001" customHeight="1">
      <c r="F33" s="77"/>
      <c r="G33" s="75" t="s">
        <v>63</v>
      </c>
      <c r="H33" s="1088">
        <f>H71</f>
        <v>1571</v>
      </c>
      <c r="I33" s="1089"/>
      <c r="J33" s="1089"/>
      <c r="K33" s="1090"/>
      <c r="L33" s="20"/>
      <c r="M33" s="51"/>
      <c r="N33" s="978"/>
      <c r="O33" s="241">
        <f>G48</f>
        <v>59</v>
      </c>
      <c r="P33" s="242">
        <f>H47</f>
        <v>18</v>
      </c>
      <c r="Q33" s="243">
        <f>N47</f>
        <v>81.02000000000001</v>
      </c>
      <c r="R33" s="240">
        <f>P33*Q33</f>
        <v>1458.3600000000001</v>
      </c>
      <c r="S33" s="903">
        <f>R33+R34</f>
        <v>3470.4</v>
      </c>
      <c r="T33" s="872"/>
      <c r="U33"/>
      <c r="V33"/>
      <c r="W33" s="169"/>
      <c r="X33" s="919"/>
      <c r="Y33" s="230"/>
      <c r="Z33" s="231"/>
      <c r="AA33" s="232"/>
      <c r="AB33" s="231"/>
      <c r="AC33" s="927"/>
      <c r="AD33" s="929"/>
    </row>
    <row r="34" spans="2:30" ht="17.100000000000001" customHeight="1">
      <c r="F34" s="77"/>
      <c r="G34" s="83" t="s">
        <v>37</v>
      </c>
      <c r="H34" s="949">
        <f>R26</f>
        <v>2872.8</v>
      </c>
      <c r="I34" s="950"/>
      <c r="J34" s="950"/>
      <c r="K34" s="164"/>
      <c r="L34" s="62">
        <f>$R$19/$H$71</f>
        <v>1.8</v>
      </c>
      <c r="M34" s="51"/>
      <c r="N34" s="979"/>
      <c r="O34" s="233">
        <f>G50</f>
        <v>84</v>
      </c>
      <c r="P34" s="234">
        <f>H49</f>
        <v>18</v>
      </c>
      <c r="Q34" s="235">
        <f>N49</f>
        <v>111.78</v>
      </c>
      <c r="R34" s="239">
        <f>P34*Q34</f>
        <v>2012.04</v>
      </c>
      <c r="S34" s="904"/>
      <c r="T34" s="873"/>
      <c r="U34"/>
      <c r="V34"/>
      <c r="X34" s="920"/>
      <c r="Y34" s="166"/>
      <c r="Z34" s="158"/>
      <c r="AA34" s="166"/>
      <c r="AB34" s="158"/>
      <c r="AC34" s="928"/>
      <c r="AD34" s="930"/>
    </row>
    <row r="35" spans="2:30" ht="6.75" customHeight="1">
      <c r="F35" s="77"/>
      <c r="G35" s="76"/>
      <c r="H35" s="57"/>
      <c r="I35" s="57"/>
      <c r="J35" s="57"/>
      <c r="K35" s="57"/>
      <c r="L35" s="57"/>
      <c r="M35" s="52"/>
      <c r="N35" s="57"/>
      <c r="O35" s="57"/>
      <c r="P35" s="57"/>
      <c r="Q35" s="57"/>
      <c r="R35" s="57"/>
      <c r="S35" s="57"/>
      <c r="T35" s="57"/>
      <c r="U35"/>
      <c r="V35" s="10"/>
    </row>
    <row r="36" spans="2:30" ht="17.25">
      <c r="F36" s="77"/>
      <c r="G36" s="951" t="s">
        <v>31</v>
      </c>
      <c r="H36" s="951"/>
      <c r="I36" s="951"/>
      <c r="J36" s="951"/>
      <c r="K36" s="951"/>
      <c r="L36" s="951"/>
      <c r="M36" s="951"/>
      <c r="N36" s="951"/>
      <c r="O36" s="951"/>
      <c r="P36" s="951"/>
      <c r="Q36" s="951"/>
      <c r="R36" s="951"/>
      <c r="S36" s="951"/>
      <c r="T36" s="952"/>
      <c r="W36" s="4"/>
    </row>
    <row r="37" spans="2:30" s="4" customFormat="1" ht="15.75" customHeight="1">
      <c r="B37" s="1122" t="s">
        <v>150</v>
      </c>
      <c r="C37" s="1122" t="s">
        <v>152</v>
      </c>
      <c r="D37" s="1122" t="s">
        <v>153</v>
      </c>
      <c r="E37" s="1122" t="s">
        <v>154</v>
      </c>
      <c r="F37" s="78"/>
      <c r="G37" s="957" t="s">
        <v>16</v>
      </c>
      <c r="H37" s="877" t="s">
        <v>2</v>
      </c>
      <c r="I37" s="877" t="s">
        <v>17</v>
      </c>
      <c r="J37" s="877" t="s">
        <v>18</v>
      </c>
      <c r="K37" s="877" t="s">
        <v>19</v>
      </c>
      <c r="L37" s="877"/>
      <c r="M37" s="877"/>
      <c r="N37" s="877" t="s">
        <v>8</v>
      </c>
      <c r="O37" s="877" t="s">
        <v>30</v>
      </c>
      <c r="P37" s="877"/>
      <c r="Q37" s="877"/>
      <c r="R37" s="877" t="s">
        <v>23</v>
      </c>
      <c r="S37" s="877" t="s">
        <v>20</v>
      </c>
      <c r="T37" s="956" t="s">
        <v>68</v>
      </c>
    </row>
    <row r="38" spans="2:30" s="4" customFormat="1" ht="15.75" customHeight="1">
      <c r="B38" s="1122"/>
      <c r="C38" s="1122"/>
      <c r="D38" s="1122"/>
      <c r="E38" s="1122"/>
      <c r="F38" s="78"/>
      <c r="G38" s="958"/>
      <c r="H38" s="878"/>
      <c r="I38" s="878"/>
      <c r="J38" s="878"/>
      <c r="K38" s="80" t="s">
        <v>21</v>
      </c>
      <c r="L38" s="80" t="s">
        <v>142</v>
      </c>
      <c r="M38" s="80" t="s">
        <v>22</v>
      </c>
      <c r="N38" s="878"/>
      <c r="O38" s="80" t="s">
        <v>28</v>
      </c>
      <c r="P38" s="80" t="s">
        <v>15</v>
      </c>
      <c r="Q38" s="80" t="s">
        <v>32</v>
      </c>
      <c r="R38" s="878"/>
      <c r="S38" s="878"/>
      <c r="T38" s="878"/>
      <c r="W38" s="2"/>
    </row>
    <row r="39" spans="2:30" ht="11.25" customHeight="1">
      <c r="B39" s="1127">
        <f>G54</f>
        <v>39</v>
      </c>
      <c r="C39" s="1121">
        <v>117</v>
      </c>
      <c r="D39" s="1121">
        <f>H39+H53</f>
        <v>117</v>
      </c>
      <c r="E39" s="1121">
        <f>D39-C39</f>
        <v>0</v>
      </c>
      <c r="F39" s="203"/>
      <c r="G39" s="86">
        <f>ROUNDDOWN(N40,0)</f>
        <v>16</v>
      </c>
      <c r="H39" s="935">
        <v>95</v>
      </c>
      <c r="I39" s="937">
        <f>H39/$H$71</f>
        <v>6.0471037555697008E-2</v>
      </c>
      <c r="J39" s="89">
        <v>39.96</v>
      </c>
      <c r="K39" s="89">
        <f>K53</f>
        <v>5.85</v>
      </c>
      <c r="L39" s="89">
        <f>L53</f>
        <v>8.91</v>
      </c>
      <c r="M39" s="89">
        <f>K39+L39</f>
        <v>14.76</v>
      </c>
      <c r="N39" s="89">
        <f>J39+M39</f>
        <v>54.72</v>
      </c>
      <c r="O39" s="89">
        <f>$O$71/$J$71*J39</f>
        <v>0.36664247156662855</v>
      </c>
      <c r="P39" s="89">
        <f>$P$71/$J$71*J39</f>
        <v>3.3437793406876528</v>
      </c>
      <c r="Q39" s="89">
        <f>$Q$71/$J$71*J39</f>
        <v>43.545246406036718</v>
      </c>
      <c r="R39" s="89">
        <f>O39+P39+Q39</f>
        <v>47.255668218291</v>
      </c>
      <c r="S39" s="89">
        <f>N39+R39</f>
        <v>101.97566821829099</v>
      </c>
      <c r="T39" s="898" t="s">
        <v>141</v>
      </c>
      <c r="V39" s="905">
        <f>H39+H41</f>
        <v>180</v>
      </c>
    </row>
    <row r="40" spans="2:30" ht="11.25" customHeight="1">
      <c r="B40" s="1076"/>
      <c r="C40" s="1121"/>
      <c r="D40" s="1121"/>
      <c r="E40" s="1121"/>
      <c r="F40" s="203"/>
      <c r="G40" s="87">
        <v>39</v>
      </c>
      <c r="H40" s="936"/>
      <c r="I40" s="938"/>
      <c r="J40" s="111">
        <f t="shared" ref="J40:S40" si="3">ROUNDDOWN(J39*0.3025,2)</f>
        <v>12.08</v>
      </c>
      <c r="K40" s="111">
        <f t="shared" si="3"/>
        <v>1.76</v>
      </c>
      <c r="L40" s="111">
        <f t="shared" si="3"/>
        <v>2.69</v>
      </c>
      <c r="M40" s="111">
        <f t="shared" si="3"/>
        <v>4.46</v>
      </c>
      <c r="N40" s="111">
        <f t="shared" si="3"/>
        <v>16.55</v>
      </c>
      <c r="O40" s="111">
        <f t="shared" si="3"/>
        <v>0.11</v>
      </c>
      <c r="P40" s="111">
        <f t="shared" si="3"/>
        <v>1.01</v>
      </c>
      <c r="Q40" s="111">
        <f t="shared" si="3"/>
        <v>13.17</v>
      </c>
      <c r="R40" s="111">
        <f t="shared" si="3"/>
        <v>14.29</v>
      </c>
      <c r="S40" s="111">
        <f t="shared" si="3"/>
        <v>30.84</v>
      </c>
      <c r="T40" s="899"/>
      <c r="V40" s="906"/>
    </row>
    <row r="41" spans="2:30" ht="12" customHeight="1">
      <c r="B41" s="1127">
        <f>G56</f>
        <v>49</v>
      </c>
      <c r="C41" s="1121">
        <v>180</v>
      </c>
      <c r="D41" s="1121">
        <f>H41+H55</f>
        <v>180</v>
      </c>
      <c r="E41" s="1121">
        <f t="shared" ref="E41" si="4">D41-C41</f>
        <v>0</v>
      </c>
      <c r="F41" s="203"/>
      <c r="G41" s="88">
        <f>ROUNDDOWN(N42,0)</f>
        <v>20</v>
      </c>
      <c r="H41" s="939">
        <v>85</v>
      </c>
      <c r="I41" s="940">
        <f>H41/$H$71</f>
        <v>5.4105665181413111E-2</v>
      </c>
      <c r="J41" s="90">
        <v>49.98</v>
      </c>
      <c r="K41" s="90">
        <f>K55</f>
        <v>6.85</v>
      </c>
      <c r="L41" s="90">
        <f>L55</f>
        <v>11.15</v>
      </c>
      <c r="M41" s="90">
        <f>K41+L41</f>
        <v>18</v>
      </c>
      <c r="N41" s="90">
        <f>M41+J41</f>
        <v>67.97999999999999</v>
      </c>
      <c r="O41" s="90">
        <f>$O$71/$J$71*J41</f>
        <v>0.45857834656907143</v>
      </c>
      <c r="P41" s="90">
        <f>$P$71/$J$71*J41</f>
        <v>4.1822345207099314</v>
      </c>
      <c r="Q41" s="90">
        <f>$Q$71/$J$71*J41</f>
        <v>54.464249633976848</v>
      </c>
      <c r="R41" s="90">
        <f>R57</f>
        <v>70.942631041423354</v>
      </c>
      <c r="S41" s="90">
        <f>N41+R41</f>
        <v>138.92263104142336</v>
      </c>
      <c r="T41" s="899"/>
      <c r="V41" s="130"/>
    </row>
    <row r="42" spans="2:30" ht="12" customHeight="1" thickBot="1">
      <c r="B42" s="1076"/>
      <c r="C42" s="1121"/>
      <c r="D42" s="1121"/>
      <c r="E42" s="1121"/>
      <c r="F42" s="203"/>
      <c r="G42" s="206">
        <f>ROUNDDOWN(J41,0)</f>
        <v>49</v>
      </c>
      <c r="H42" s="939"/>
      <c r="I42" s="940"/>
      <c r="J42" s="207">
        <f t="shared" ref="J42:S42" si="5">ROUNDDOWN(J41*0.3025,2)</f>
        <v>15.11</v>
      </c>
      <c r="K42" s="207">
        <f t="shared" si="5"/>
        <v>2.0699999999999998</v>
      </c>
      <c r="L42" s="207">
        <f t="shared" si="5"/>
        <v>3.37</v>
      </c>
      <c r="M42" s="207">
        <f t="shared" si="5"/>
        <v>5.44</v>
      </c>
      <c r="N42" s="207">
        <f t="shared" si="5"/>
        <v>20.56</v>
      </c>
      <c r="O42" s="207">
        <f t="shared" si="5"/>
        <v>0.13</v>
      </c>
      <c r="P42" s="207">
        <f t="shared" si="5"/>
        <v>1.26</v>
      </c>
      <c r="Q42" s="208">
        <f t="shared" si="5"/>
        <v>16.47</v>
      </c>
      <c r="R42" s="208">
        <f t="shared" si="5"/>
        <v>21.46</v>
      </c>
      <c r="S42" s="208">
        <f t="shared" si="5"/>
        <v>42.02</v>
      </c>
      <c r="T42" s="899"/>
      <c r="V42" s="148"/>
    </row>
    <row r="43" spans="2:30" ht="12" customHeight="1">
      <c r="B43" s="1127">
        <f>G58</f>
        <v>59</v>
      </c>
      <c r="C43" s="1121">
        <v>610</v>
      </c>
      <c r="D43" s="1121">
        <f>H43+H47+H57</f>
        <v>610</v>
      </c>
      <c r="E43" s="1121">
        <f t="shared" ref="E43" si="6">D43-C43</f>
        <v>0</v>
      </c>
      <c r="F43" s="130"/>
      <c r="G43" s="209">
        <f>ROUNDDOWN(N44,0)</f>
        <v>24</v>
      </c>
      <c r="H43" s="941">
        <v>45</v>
      </c>
      <c r="I43" s="943">
        <f>H43/$H$71</f>
        <v>2.8644175684277531E-2</v>
      </c>
      <c r="J43" s="210">
        <f>J57</f>
        <v>59.99</v>
      </c>
      <c r="K43" s="210">
        <f>K57</f>
        <v>7.65</v>
      </c>
      <c r="L43" s="210">
        <f>L57</f>
        <v>13.38</v>
      </c>
      <c r="M43" s="210">
        <f>K43+L43</f>
        <v>21.03</v>
      </c>
      <c r="N43" s="210">
        <f>M43+J43</f>
        <v>81.02000000000001</v>
      </c>
      <c r="O43" s="210">
        <f>$O$71/$J$71*J43</f>
        <v>0.55042246920125248</v>
      </c>
      <c r="P43" s="210">
        <f>$P$71/$J$71*J43</f>
        <v>5.0198529191154222</v>
      </c>
      <c r="Q43" s="210">
        <f>$Q$71/$J$71*J43</f>
        <v>65.372355653106681</v>
      </c>
      <c r="R43" s="210">
        <f>R55</f>
        <v>147.76265625313962</v>
      </c>
      <c r="S43" s="211">
        <f>N43+R43</f>
        <v>228.78265625313963</v>
      </c>
      <c r="T43" s="900"/>
      <c r="V43" s="193"/>
    </row>
    <row r="44" spans="2:30" ht="12" customHeight="1" thickBot="1">
      <c r="B44" s="1076"/>
      <c r="C44" s="1121"/>
      <c r="D44" s="1121"/>
      <c r="E44" s="1121"/>
      <c r="F44" s="130"/>
      <c r="G44" s="212">
        <f>ROUNDDOWN(J43,0)</f>
        <v>59</v>
      </c>
      <c r="H44" s="942"/>
      <c r="I44" s="944"/>
      <c r="J44" s="213">
        <f t="shared" ref="J44:S44" si="7">ROUNDDOWN(J43*0.3025,2)</f>
        <v>18.14</v>
      </c>
      <c r="K44" s="213">
        <f t="shared" si="7"/>
        <v>2.31</v>
      </c>
      <c r="L44" s="213">
        <f t="shared" si="7"/>
        <v>4.04</v>
      </c>
      <c r="M44" s="213">
        <f t="shared" si="7"/>
        <v>6.36</v>
      </c>
      <c r="N44" s="213">
        <f t="shared" si="7"/>
        <v>24.5</v>
      </c>
      <c r="O44" s="213">
        <f t="shared" si="7"/>
        <v>0.16</v>
      </c>
      <c r="P44" s="213">
        <f t="shared" si="7"/>
        <v>1.51</v>
      </c>
      <c r="Q44" s="214">
        <f t="shared" si="7"/>
        <v>19.77</v>
      </c>
      <c r="R44" s="214">
        <f t="shared" si="7"/>
        <v>44.69</v>
      </c>
      <c r="S44" s="215">
        <f t="shared" si="7"/>
        <v>69.2</v>
      </c>
      <c r="T44" s="901"/>
      <c r="V44" s="193"/>
    </row>
    <row r="45" spans="2:30" ht="12" customHeight="1">
      <c r="B45" s="1127">
        <f>G60</f>
        <v>84</v>
      </c>
      <c r="C45" s="1121">
        <v>557</v>
      </c>
      <c r="D45" s="1121">
        <f>H49+H59+H61</f>
        <v>557</v>
      </c>
      <c r="E45" s="1121">
        <f t="shared" ref="E45" si="8">D45-C45</f>
        <v>0</v>
      </c>
      <c r="F45" s="203"/>
      <c r="G45" s="1006" t="s">
        <v>118</v>
      </c>
      <c r="H45" s="947">
        <f>SUM(H39:H44)</f>
        <v>225</v>
      </c>
      <c r="I45" s="948">
        <f>SUM(I39:I44)</f>
        <v>0.14322087842138764</v>
      </c>
      <c r="J45" s="244">
        <f>SUMPRODUCT(H39:H44,J39:J44)</f>
        <v>10744.05</v>
      </c>
      <c r="K45" s="244">
        <f>SUMPRODUCT(H39:H44,K39:K44)</f>
        <v>1482.25</v>
      </c>
      <c r="L45" s="244">
        <f>SUMPRODUCT(H39:H44,L39:L44)</f>
        <v>2396.3000000000002</v>
      </c>
      <c r="M45" s="244">
        <f>K45+L45</f>
        <v>3878.55</v>
      </c>
      <c r="N45" s="244">
        <f>J45+M45</f>
        <v>14622.599999999999</v>
      </c>
      <c r="O45" s="244">
        <f>SUMPRODUCT(H39:H44,O39:O44)</f>
        <v>98.579205371257132</v>
      </c>
      <c r="P45" s="244">
        <f>SUMPRODUCT(H39:H44,P39:P44)</f>
        <v>899.04235298586525</v>
      </c>
      <c r="Q45" s="244">
        <f>SUMPRODUCT(H39:H44,Q39:Q44)</f>
        <v>11708.015631851322</v>
      </c>
      <c r="R45" s="244">
        <f>O45+P45+Q45</f>
        <v>12705.637190208445</v>
      </c>
      <c r="S45" s="244">
        <f>N45+R45</f>
        <v>27328.237190208441</v>
      </c>
      <c r="T45" s="896"/>
      <c r="V45" s="193"/>
    </row>
    <row r="46" spans="2:30" ht="12" customHeight="1" thickBot="1">
      <c r="B46" s="1076"/>
      <c r="C46" s="1121"/>
      <c r="D46" s="1121"/>
      <c r="E46" s="1121"/>
      <c r="F46" s="203"/>
      <c r="G46" s="1006"/>
      <c r="H46" s="947"/>
      <c r="I46" s="948"/>
      <c r="J46" s="245">
        <f t="shared" ref="J46:S46" si="9">ROUNDDOWN(J45*0.3025,2)</f>
        <v>3250.07</v>
      </c>
      <c r="K46" s="245">
        <f t="shared" si="9"/>
        <v>448.38</v>
      </c>
      <c r="L46" s="245">
        <f t="shared" si="9"/>
        <v>724.88</v>
      </c>
      <c r="M46" s="245">
        <f t="shared" si="9"/>
        <v>1173.26</v>
      </c>
      <c r="N46" s="245">
        <f t="shared" si="9"/>
        <v>4423.33</v>
      </c>
      <c r="O46" s="245">
        <f t="shared" si="9"/>
        <v>29.82</v>
      </c>
      <c r="P46" s="245">
        <f t="shared" si="9"/>
        <v>271.95999999999998</v>
      </c>
      <c r="Q46" s="245">
        <f t="shared" si="9"/>
        <v>3541.67</v>
      </c>
      <c r="R46" s="245">
        <f t="shared" si="9"/>
        <v>3843.45</v>
      </c>
      <c r="S46" s="245">
        <f t="shared" si="9"/>
        <v>8266.7900000000009</v>
      </c>
      <c r="T46" s="897"/>
      <c r="V46" s="193"/>
    </row>
    <row r="47" spans="2:30" ht="12" customHeight="1">
      <c r="B47" s="1127">
        <f>G64</f>
        <v>98</v>
      </c>
      <c r="C47" s="1121">
        <v>4</v>
      </c>
      <c r="D47" s="1121">
        <f>H63</f>
        <v>4</v>
      </c>
      <c r="E47" s="1121">
        <f t="shared" ref="E47" si="10">D47-C47</f>
        <v>0</v>
      </c>
      <c r="F47" s="130"/>
      <c r="G47" s="209">
        <f>ROUNDDOWN(N48,0)</f>
        <v>24</v>
      </c>
      <c r="H47" s="941">
        <v>18</v>
      </c>
      <c r="I47" s="943">
        <f>H47/$H$71</f>
        <v>1.1457670273711012E-2</v>
      </c>
      <c r="J47" s="210">
        <f>J57</f>
        <v>59.99</v>
      </c>
      <c r="K47" s="210">
        <f>K57</f>
        <v>7.65</v>
      </c>
      <c r="L47" s="210">
        <f>L57</f>
        <v>13.38</v>
      </c>
      <c r="M47" s="210">
        <f>K47+L47</f>
        <v>21.03</v>
      </c>
      <c r="N47" s="210">
        <f>M47+J47</f>
        <v>81.02000000000001</v>
      </c>
      <c r="O47" s="210">
        <f>$O$71/$J$71*J47</f>
        <v>0.55042246920125248</v>
      </c>
      <c r="P47" s="210">
        <f>$P$71/$J$71*J47</f>
        <v>5.0198529191154222</v>
      </c>
      <c r="Q47" s="210">
        <f>$Q$71/$J$71*J47</f>
        <v>65.372355653106681</v>
      </c>
      <c r="R47" s="210">
        <f>R57</f>
        <v>70.942631041423354</v>
      </c>
      <c r="S47" s="211">
        <f>N47+R47</f>
        <v>151.96263104142338</v>
      </c>
      <c r="T47" s="902" t="s">
        <v>140</v>
      </c>
      <c r="V47" s="193"/>
    </row>
    <row r="48" spans="2:30" ht="12" customHeight="1">
      <c r="B48" s="1076"/>
      <c r="C48" s="1121"/>
      <c r="D48" s="1121"/>
      <c r="E48" s="1121"/>
      <c r="F48" s="130"/>
      <c r="G48" s="216">
        <f>ROUNDDOWN(J47,0)</f>
        <v>59</v>
      </c>
      <c r="H48" s="945"/>
      <c r="I48" s="946"/>
      <c r="J48" s="217">
        <f t="shared" ref="J48:S48" si="11">ROUNDDOWN(J47*0.3025,2)</f>
        <v>18.14</v>
      </c>
      <c r="K48" s="217">
        <f t="shared" si="11"/>
        <v>2.31</v>
      </c>
      <c r="L48" s="217">
        <f t="shared" si="11"/>
        <v>4.04</v>
      </c>
      <c r="M48" s="217">
        <f t="shared" si="11"/>
        <v>6.36</v>
      </c>
      <c r="N48" s="217">
        <f t="shared" si="11"/>
        <v>24.5</v>
      </c>
      <c r="O48" s="217">
        <f t="shared" si="11"/>
        <v>0.16</v>
      </c>
      <c r="P48" s="217">
        <f t="shared" si="11"/>
        <v>1.51</v>
      </c>
      <c r="Q48" s="218">
        <f t="shared" si="11"/>
        <v>19.77</v>
      </c>
      <c r="R48" s="218">
        <f t="shared" si="11"/>
        <v>21.46</v>
      </c>
      <c r="S48" s="219">
        <f t="shared" si="11"/>
        <v>45.96</v>
      </c>
      <c r="T48" s="900"/>
      <c r="V48" s="193"/>
    </row>
    <row r="49" spans="2:22" ht="12" customHeight="1">
      <c r="B49" s="1127">
        <f>G66</f>
        <v>104</v>
      </c>
      <c r="C49" s="1121">
        <v>94</v>
      </c>
      <c r="D49" s="1121">
        <f>H65</f>
        <v>94</v>
      </c>
      <c r="E49" s="1121">
        <f t="shared" ref="E49" si="12">D49-C49</f>
        <v>0</v>
      </c>
      <c r="F49" s="130"/>
      <c r="G49" s="221">
        <f>ROUNDDOWN(N50,0)</f>
        <v>33</v>
      </c>
      <c r="H49" s="931">
        <v>18</v>
      </c>
      <c r="I49" s="933">
        <f>H49/$H$71</f>
        <v>1.1457670273711012E-2</v>
      </c>
      <c r="J49" s="222">
        <f>J59</f>
        <v>84.98</v>
      </c>
      <c r="K49" s="222">
        <f>K59</f>
        <v>7.85</v>
      </c>
      <c r="L49" s="222">
        <f>L59</f>
        <v>18.95</v>
      </c>
      <c r="M49" s="222">
        <f>K49+L49</f>
        <v>26.799999999999997</v>
      </c>
      <c r="N49" s="222">
        <f>M49+J49</f>
        <v>111.78</v>
      </c>
      <c r="O49" s="222">
        <f>$O$71/$J$71*J49</f>
        <v>0.77971164248578817</v>
      </c>
      <c r="P49" s="222">
        <f>$P$71/$J$71*J49</f>
        <v>7.1109701794703888</v>
      </c>
      <c r="Q49" s="222">
        <f>$Q$71/$J$71*J49</f>
        <v>92.604480470095098</v>
      </c>
      <c r="R49" s="222">
        <f>R59</f>
        <v>100.49516229205128</v>
      </c>
      <c r="S49" s="223">
        <f>N49+R49</f>
        <v>212.27516229205128</v>
      </c>
      <c r="T49" s="900"/>
      <c r="V49" s="193"/>
    </row>
    <row r="50" spans="2:22" ht="12" customHeight="1" thickBot="1">
      <c r="B50" s="1076"/>
      <c r="C50" s="1121"/>
      <c r="D50" s="1121"/>
      <c r="E50" s="1121"/>
      <c r="G50" s="224">
        <f>ROUNDDOWN(J49,0)</f>
        <v>84</v>
      </c>
      <c r="H50" s="932"/>
      <c r="I50" s="934"/>
      <c r="J50" s="225">
        <f t="shared" ref="J50:S50" si="13">ROUNDDOWN(J49*0.3025,2)</f>
        <v>25.7</v>
      </c>
      <c r="K50" s="225">
        <f t="shared" si="13"/>
        <v>2.37</v>
      </c>
      <c r="L50" s="225">
        <f t="shared" si="13"/>
        <v>5.73</v>
      </c>
      <c r="M50" s="225">
        <f t="shared" si="13"/>
        <v>8.1</v>
      </c>
      <c r="N50" s="225">
        <f t="shared" si="13"/>
        <v>33.81</v>
      </c>
      <c r="O50" s="225">
        <f t="shared" si="13"/>
        <v>0.23</v>
      </c>
      <c r="P50" s="225">
        <f t="shared" si="13"/>
        <v>2.15</v>
      </c>
      <c r="Q50" s="226">
        <f t="shared" si="13"/>
        <v>28.01</v>
      </c>
      <c r="R50" s="226">
        <f t="shared" si="13"/>
        <v>30.39</v>
      </c>
      <c r="S50" s="227">
        <f t="shared" si="13"/>
        <v>64.209999999999994</v>
      </c>
      <c r="T50" s="901"/>
      <c r="V50" s="193"/>
    </row>
    <row r="51" spans="2:22" ht="12" customHeight="1">
      <c r="B51" s="1127">
        <f>G68</f>
        <v>124</v>
      </c>
      <c r="C51" s="1121">
        <v>9</v>
      </c>
      <c r="D51" s="1121">
        <f>H67</f>
        <v>9</v>
      </c>
      <c r="E51" s="1121">
        <f t="shared" ref="E51" si="14">D51-C51</f>
        <v>0</v>
      </c>
      <c r="F51" s="77"/>
      <c r="G51" s="1006" t="s">
        <v>118</v>
      </c>
      <c r="H51" s="947">
        <f>SUM(H47:H50)</f>
        <v>36</v>
      </c>
      <c r="I51" s="948">
        <f>SUM(I47:I50)</f>
        <v>2.2915340547422024E-2</v>
      </c>
      <c r="J51" s="244">
        <f>SUMPRODUCT(H47:H50,J47:J50)</f>
        <v>2609.46</v>
      </c>
      <c r="K51" s="244">
        <f>SUMPRODUCT(H47:H50,K47:K50)</f>
        <v>279</v>
      </c>
      <c r="L51" s="244">
        <f>SUMPRODUCT(H47:H50,L47:L50)</f>
        <v>581.93999999999994</v>
      </c>
      <c r="M51" s="244">
        <f>K51+L51</f>
        <v>860.93999999999994</v>
      </c>
      <c r="N51" s="244">
        <f>J51+M51</f>
        <v>3470.4</v>
      </c>
      <c r="O51" s="244">
        <f>SUMPRODUCT(H47:H50,O47:O50)</f>
        <v>23.942414010366733</v>
      </c>
      <c r="P51" s="244">
        <f>SUMPRODUCT(H47:H50,P47:P50)</f>
        <v>218.35481577454459</v>
      </c>
      <c r="Q51" s="244">
        <f>SUMPRODUCT(H47:H50,Q47:Q50)</f>
        <v>2843.5830502176318</v>
      </c>
      <c r="R51" s="244">
        <f>O51+P51+Q51</f>
        <v>3085.8802800025433</v>
      </c>
      <c r="S51" s="244">
        <f>N51+R51</f>
        <v>6556.2802800025438</v>
      </c>
      <c r="T51" s="896"/>
    </row>
    <row r="52" spans="2:22" ht="12" customHeight="1">
      <c r="B52" s="1076"/>
      <c r="C52" s="1121"/>
      <c r="D52" s="1121"/>
      <c r="E52" s="1121"/>
      <c r="F52" s="77"/>
      <c r="G52" s="1086"/>
      <c r="H52" s="1003"/>
      <c r="I52" s="1005"/>
      <c r="J52" s="143">
        <f t="shared" ref="J52:S52" si="15">ROUNDDOWN(J51*0.3025,2)</f>
        <v>789.36</v>
      </c>
      <c r="K52" s="143">
        <f t="shared" si="15"/>
        <v>84.39</v>
      </c>
      <c r="L52" s="143">
        <f t="shared" si="15"/>
        <v>176.03</v>
      </c>
      <c r="M52" s="143">
        <f t="shared" si="15"/>
        <v>260.43</v>
      </c>
      <c r="N52" s="143">
        <f t="shared" si="15"/>
        <v>1049.79</v>
      </c>
      <c r="O52" s="143">
        <f t="shared" si="15"/>
        <v>7.24</v>
      </c>
      <c r="P52" s="143">
        <f t="shared" si="15"/>
        <v>66.05</v>
      </c>
      <c r="Q52" s="143">
        <f t="shared" si="15"/>
        <v>860.18</v>
      </c>
      <c r="R52" s="143">
        <f t="shared" si="15"/>
        <v>933.47</v>
      </c>
      <c r="S52" s="143">
        <f t="shared" si="15"/>
        <v>1983.27</v>
      </c>
      <c r="T52" s="897"/>
    </row>
    <row r="53" spans="2:22" ht="12" customHeight="1">
      <c r="B53" s="1127" t="s">
        <v>151</v>
      </c>
      <c r="C53" s="1121">
        <f>SUM(C39:C52)</f>
        <v>1571</v>
      </c>
      <c r="D53" s="1121">
        <f>H71</f>
        <v>1571</v>
      </c>
      <c r="E53" s="1121">
        <f t="shared" ref="E53" si="16">D53-C53</f>
        <v>0</v>
      </c>
      <c r="F53" s="1074"/>
      <c r="G53" s="86">
        <f>ROUNDDOWN(N54,0)</f>
        <v>16</v>
      </c>
      <c r="H53" s="935">
        <v>22</v>
      </c>
      <c r="I53" s="937">
        <f>H53/$H$71</f>
        <v>1.4003819223424571E-2</v>
      </c>
      <c r="J53" s="89">
        <v>39.96</v>
      </c>
      <c r="K53" s="89">
        <v>5.85</v>
      </c>
      <c r="L53" s="89">
        <v>8.91</v>
      </c>
      <c r="M53" s="89">
        <f>K53+L53</f>
        <v>14.76</v>
      </c>
      <c r="N53" s="89">
        <f>J53+M53</f>
        <v>54.72</v>
      </c>
      <c r="O53" s="89">
        <f>$O$71/$J$71*J53</f>
        <v>0.36664247156662855</v>
      </c>
      <c r="P53" s="89">
        <f>$P$71/$J$71*J53</f>
        <v>3.3437793406876528</v>
      </c>
      <c r="Q53" s="89">
        <f>$Q$71/$J$71*J53</f>
        <v>43.545246406036718</v>
      </c>
      <c r="R53" s="89">
        <f>O53+P53+Q53</f>
        <v>47.255668218291</v>
      </c>
      <c r="S53" s="89">
        <f>N53+R53</f>
        <v>101.97566821829099</v>
      </c>
      <c r="T53" s="899" t="s">
        <v>137</v>
      </c>
    </row>
    <row r="54" spans="2:22" ht="12" customHeight="1">
      <c r="B54" s="1076"/>
      <c r="C54" s="1121"/>
      <c r="D54" s="1121"/>
      <c r="E54" s="1121"/>
      <c r="F54" s="838"/>
      <c r="G54" s="87">
        <v>39</v>
      </c>
      <c r="H54" s="936"/>
      <c r="I54" s="938"/>
      <c r="J54" s="111">
        <f t="shared" ref="J54:S54" si="17">ROUNDDOWN(J53*0.3025,2)</f>
        <v>12.08</v>
      </c>
      <c r="K54" s="111">
        <f t="shared" si="17"/>
        <v>1.76</v>
      </c>
      <c r="L54" s="111">
        <f t="shared" si="17"/>
        <v>2.69</v>
      </c>
      <c r="M54" s="111">
        <f t="shared" si="17"/>
        <v>4.46</v>
      </c>
      <c r="N54" s="111">
        <f t="shared" si="17"/>
        <v>16.55</v>
      </c>
      <c r="O54" s="111">
        <f t="shared" si="17"/>
        <v>0.11</v>
      </c>
      <c r="P54" s="111">
        <f t="shared" si="17"/>
        <v>1.01</v>
      </c>
      <c r="Q54" s="111">
        <f t="shared" si="17"/>
        <v>13.17</v>
      </c>
      <c r="R54" s="111">
        <f t="shared" si="17"/>
        <v>14.29</v>
      </c>
      <c r="S54" s="111">
        <f t="shared" si="17"/>
        <v>30.84</v>
      </c>
      <c r="T54" s="899"/>
    </row>
    <row r="55" spans="2:22" ht="12" customHeight="1">
      <c r="B55" s="1076"/>
      <c r="C55" s="130"/>
      <c r="D55" s="130"/>
      <c r="E55" s="130"/>
      <c r="F55" s="1074"/>
      <c r="G55" s="88">
        <f>ROUNDDOWN(N56,0)</f>
        <v>20</v>
      </c>
      <c r="H55" s="939">
        <v>95</v>
      </c>
      <c r="I55" s="940">
        <f>H55/$H$71</f>
        <v>6.0471037555697008E-2</v>
      </c>
      <c r="J55" s="90">
        <v>49.98</v>
      </c>
      <c r="K55" s="90">
        <v>6.85</v>
      </c>
      <c r="L55" s="90">
        <v>11.15</v>
      </c>
      <c r="M55" s="90">
        <f>K55+L55</f>
        <v>18</v>
      </c>
      <c r="N55" s="90">
        <f>M55+J55</f>
        <v>67.97999999999999</v>
      </c>
      <c r="O55" s="90">
        <f>$O$71/$J$71*J55</f>
        <v>0.45857834656907143</v>
      </c>
      <c r="P55" s="90">
        <f>$P$71/$J$71*J55</f>
        <v>4.1822345207099314</v>
      </c>
      <c r="Q55" s="90">
        <f>$Q$71/$J$71*J55</f>
        <v>54.464249633976848</v>
      </c>
      <c r="R55" s="90">
        <f>R67</f>
        <v>147.76265625313962</v>
      </c>
      <c r="S55" s="90">
        <f>N55+R55</f>
        <v>215.74265625313961</v>
      </c>
      <c r="T55" s="899"/>
    </row>
    <row r="56" spans="2:22" ht="12" customHeight="1" thickBot="1">
      <c r="B56" s="1076"/>
      <c r="C56" s="130"/>
      <c r="D56" s="130"/>
      <c r="E56" s="130"/>
      <c r="F56" s="838"/>
      <c r="G56" s="206">
        <f>ROUNDDOWN(J55,0)</f>
        <v>49</v>
      </c>
      <c r="H56" s="939"/>
      <c r="I56" s="940"/>
      <c r="J56" s="207">
        <f t="shared" ref="J56:S56" si="18">ROUNDDOWN(J55*0.3025,2)</f>
        <v>15.11</v>
      </c>
      <c r="K56" s="207">
        <f t="shared" si="18"/>
        <v>2.0699999999999998</v>
      </c>
      <c r="L56" s="207">
        <f t="shared" si="18"/>
        <v>3.37</v>
      </c>
      <c r="M56" s="207">
        <f t="shared" si="18"/>
        <v>5.44</v>
      </c>
      <c r="N56" s="207">
        <f t="shared" si="18"/>
        <v>20.56</v>
      </c>
      <c r="O56" s="207">
        <f t="shared" si="18"/>
        <v>0.13</v>
      </c>
      <c r="P56" s="207">
        <f t="shared" si="18"/>
        <v>1.26</v>
      </c>
      <c r="Q56" s="208">
        <f t="shared" si="18"/>
        <v>16.47</v>
      </c>
      <c r="R56" s="208">
        <f t="shared" si="18"/>
        <v>44.69</v>
      </c>
      <c r="S56" s="208">
        <f t="shared" si="18"/>
        <v>65.260000000000005</v>
      </c>
      <c r="T56" s="899"/>
    </row>
    <row r="57" spans="2:22" ht="12" customHeight="1">
      <c r="B57" s="1076" t="s">
        <v>155</v>
      </c>
      <c r="C57" s="1123">
        <v>2.7090000000000001</v>
      </c>
      <c r="D57" s="1076"/>
      <c r="E57" s="1123">
        <f>D57-C57</f>
        <v>-2.7090000000000001</v>
      </c>
      <c r="F57" s="1075"/>
      <c r="G57" s="209">
        <f>ROUNDDOWN(N58,0)</f>
        <v>24</v>
      </c>
      <c r="H57" s="941">
        <v>547</v>
      </c>
      <c r="I57" s="943">
        <f>H57/$H$71</f>
        <v>0.34818586887332909</v>
      </c>
      <c r="J57" s="210">
        <v>59.99</v>
      </c>
      <c r="K57" s="210">
        <v>7.65</v>
      </c>
      <c r="L57" s="210">
        <v>13.38</v>
      </c>
      <c r="M57" s="210">
        <f>K57+L57</f>
        <v>21.03</v>
      </c>
      <c r="N57" s="210">
        <f>M57+J57</f>
        <v>81.02000000000001</v>
      </c>
      <c r="O57" s="210">
        <f>$O$71/$J$71*J57</f>
        <v>0.55042246920125248</v>
      </c>
      <c r="P57" s="210">
        <f>$P$71/$J$71*J57</f>
        <v>5.0198529191154222</v>
      </c>
      <c r="Q57" s="210">
        <f>$Q$71/$J$71*J57</f>
        <v>65.372355653106681</v>
      </c>
      <c r="R57" s="210">
        <f>O57+P57+Q57</f>
        <v>70.942631041423354</v>
      </c>
      <c r="S57" s="211">
        <f>N57+R57</f>
        <v>151.96263104142338</v>
      </c>
      <c r="T57" s="900"/>
    </row>
    <row r="58" spans="2:22" ht="12" customHeight="1">
      <c r="B58" s="1076"/>
      <c r="C58" s="1076"/>
      <c r="D58" s="1076"/>
      <c r="E58" s="1076"/>
      <c r="F58" s="1076"/>
      <c r="G58" s="216">
        <f>ROUNDDOWN(J57,0)</f>
        <v>59</v>
      </c>
      <c r="H58" s="945"/>
      <c r="I58" s="946"/>
      <c r="J58" s="217">
        <f t="shared" ref="J58:S58" si="19">ROUNDDOWN(J57*0.3025,2)</f>
        <v>18.14</v>
      </c>
      <c r="K58" s="217">
        <f t="shared" si="19"/>
        <v>2.31</v>
      </c>
      <c r="L58" s="217">
        <f t="shared" si="19"/>
        <v>4.04</v>
      </c>
      <c r="M58" s="217">
        <f t="shared" si="19"/>
        <v>6.36</v>
      </c>
      <c r="N58" s="217">
        <f t="shared" si="19"/>
        <v>24.5</v>
      </c>
      <c r="O58" s="217">
        <f t="shared" si="19"/>
        <v>0.16</v>
      </c>
      <c r="P58" s="217">
        <f t="shared" si="19"/>
        <v>1.51</v>
      </c>
      <c r="Q58" s="217">
        <f t="shared" si="19"/>
        <v>19.77</v>
      </c>
      <c r="R58" s="217">
        <f t="shared" si="19"/>
        <v>21.46</v>
      </c>
      <c r="S58" s="220">
        <f t="shared" si="19"/>
        <v>45.96</v>
      </c>
      <c r="T58" s="900"/>
    </row>
    <row r="59" spans="2:22" ht="12" customHeight="1">
      <c r="B59" s="1076" t="s">
        <v>156</v>
      </c>
      <c r="C59" s="1124">
        <v>279599.49</v>
      </c>
      <c r="D59" s="1125">
        <f>J27</f>
        <v>281108.45</v>
      </c>
      <c r="E59" s="1126">
        <f>((D59/C59)-1)</f>
        <v>5.3968624907005935E-3</v>
      </c>
      <c r="G59" s="221">
        <f>ROUNDDOWN(N60,0)</f>
        <v>33</v>
      </c>
      <c r="H59" s="931">
        <v>529</v>
      </c>
      <c r="I59" s="933">
        <f>H59/$H$71</f>
        <v>0.33672819859961806</v>
      </c>
      <c r="J59" s="222">
        <v>84.98</v>
      </c>
      <c r="K59" s="222">
        <v>7.85</v>
      </c>
      <c r="L59" s="222">
        <v>18.95</v>
      </c>
      <c r="M59" s="222">
        <f>K59+L59</f>
        <v>26.799999999999997</v>
      </c>
      <c r="N59" s="222">
        <f>J59+M59</f>
        <v>111.78</v>
      </c>
      <c r="O59" s="222">
        <f>$O$71/$J$71*J59</f>
        <v>0.77971164248578817</v>
      </c>
      <c r="P59" s="222">
        <f>$P$71/$J$71*J59</f>
        <v>7.1109701794703888</v>
      </c>
      <c r="Q59" s="222">
        <f>$Q$71/$J$71*J59</f>
        <v>92.604480470095098</v>
      </c>
      <c r="R59" s="222">
        <f>O59+P59+Q59</f>
        <v>100.49516229205128</v>
      </c>
      <c r="S59" s="223">
        <f>N59+R59</f>
        <v>212.27516229205128</v>
      </c>
      <c r="T59" s="900"/>
    </row>
    <row r="60" spans="2:22" ht="12" customHeight="1" thickBot="1">
      <c r="B60" s="1076"/>
      <c r="C60" s="1124"/>
      <c r="D60" s="1076"/>
      <c r="E60" s="1126"/>
      <c r="G60" s="224">
        <f>ROUNDDOWN(J59,0)</f>
        <v>84</v>
      </c>
      <c r="H60" s="932"/>
      <c r="I60" s="934"/>
      <c r="J60" s="225">
        <f t="shared" ref="J60:S60" si="20">ROUNDDOWN(J59*0.3025,2)</f>
        <v>25.7</v>
      </c>
      <c r="K60" s="225">
        <f t="shared" si="20"/>
        <v>2.37</v>
      </c>
      <c r="L60" s="225">
        <f t="shared" si="20"/>
        <v>5.73</v>
      </c>
      <c r="M60" s="225">
        <f t="shared" si="20"/>
        <v>8.1</v>
      </c>
      <c r="N60" s="225">
        <f t="shared" si="20"/>
        <v>33.81</v>
      </c>
      <c r="O60" s="225">
        <f t="shared" si="20"/>
        <v>0.23</v>
      </c>
      <c r="P60" s="225">
        <f t="shared" si="20"/>
        <v>2.15</v>
      </c>
      <c r="Q60" s="225">
        <f t="shared" si="20"/>
        <v>28.01</v>
      </c>
      <c r="R60" s="225">
        <f t="shared" si="20"/>
        <v>30.39</v>
      </c>
      <c r="S60" s="228">
        <f t="shared" si="20"/>
        <v>64.209999999999994</v>
      </c>
      <c r="T60" s="900"/>
    </row>
    <row r="61" spans="2:22" ht="12" customHeight="1">
      <c r="B61" s="130"/>
      <c r="C61" s="265"/>
      <c r="D61" s="130"/>
      <c r="E61" s="266"/>
      <c r="F61" s="270"/>
      <c r="G61" s="269">
        <f>ROUNDDOWN(N62,0)</f>
        <v>33</v>
      </c>
      <c r="H61" s="931">
        <v>10</v>
      </c>
      <c r="I61" s="933">
        <f>H61/$H$71</f>
        <v>6.3653723742838958E-3</v>
      </c>
      <c r="J61" s="222">
        <v>84.98</v>
      </c>
      <c r="K61" s="222">
        <v>7.85</v>
      </c>
      <c r="L61" s="222">
        <v>18.95</v>
      </c>
      <c r="M61" s="222">
        <f>K61+L61</f>
        <v>26.799999999999997</v>
      </c>
      <c r="N61" s="222">
        <f>J61+M61</f>
        <v>111.78</v>
      </c>
      <c r="O61" s="222">
        <f>$O$71/$J$71*J61</f>
        <v>0.77971164248578817</v>
      </c>
      <c r="P61" s="222">
        <f>$P$71/$J$71*J61</f>
        <v>7.1109701794703888</v>
      </c>
      <c r="Q61" s="222">
        <f>$Q$71/$J$71*J61</f>
        <v>92.604480470095098</v>
      </c>
      <c r="R61" s="222">
        <f>O61+P61+Q61</f>
        <v>100.49516229205128</v>
      </c>
      <c r="S61" s="223">
        <f>N61+R61</f>
        <v>212.27516229205128</v>
      </c>
      <c r="T61" s="900"/>
    </row>
    <row r="62" spans="2:22" ht="12" customHeight="1">
      <c r="B62" s="130"/>
      <c r="C62" s="265"/>
      <c r="D62" s="130"/>
      <c r="E62" s="266"/>
      <c r="F62" s="270"/>
      <c r="G62" s="271">
        <f>ROUNDDOWN(J61,0)</f>
        <v>84</v>
      </c>
      <c r="H62" s="1119"/>
      <c r="I62" s="1120"/>
      <c r="J62" s="267">
        <f t="shared" ref="J62:S62" si="21">ROUNDDOWN(J61*0.3025,2)</f>
        <v>25.7</v>
      </c>
      <c r="K62" s="267">
        <f t="shared" si="21"/>
        <v>2.37</v>
      </c>
      <c r="L62" s="267">
        <f t="shared" si="21"/>
        <v>5.73</v>
      </c>
      <c r="M62" s="267">
        <f t="shared" si="21"/>
        <v>8.1</v>
      </c>
      <c r="N62" s="267">
        <f t="shared" si="21"/>
        <v>33.81</v>
      </c>
      <c r="O62" s="267">
        <f t="shared" si="21"/>
        <v>0.23</v>
      </c>
      <c r="P62" s="267">
        <f t="shared" si="21"/>
        <v>2.15</v>
      </c>
      <c r="Q62" s="267">
        <f t="shared" si="21"/>
        <v>28.01</v>
      </c>
      <c r="R62" s="267">
        <f t="shared" si="21"/>
        <v>30.39</v>
      </c>
      <c r="S62" s="268">
        <f t="shared" si="21"/>
        <v>64.209999999999994</v>
      </c>
      <c r="T62" s="900"/>
    </row>
    <row r="63" spans="2:22" ht="12" customHeight="1">
      <c r="B63" s="1076"/>
      <c r="C63" s="1076"/>
      <c r="D63" s="130"/>
      <c r="E63" s="130"/>
      <c r="F63" s="838" t="s">
        <v>143</v>
      </c>
      <c r="G63" s="88">
        <f>ROUNDDOWN(N64,0)</f>
        <v>39</v>
      </c>
      <c r="H63" s="939">
        <v>4</v>
      </c>
      <c r="I63" s="940">
        <f>H63/$H$71</f>
        <v>2.546148949713558E-3</v>
      </c>
      <c r="J63" s="90">
        <v>98.98</v>
      </c>
      <c r="K63" s="90">
        <v>10.15</v>
      </c>
      <c r="L63" s="90">
        <v>22.07</v>
      </c>
      <c r="M63" s="90">
        <f>K63+L63</f>
        <v>32.22</v>
      </c>
      <c r="N63" s="90">
        <f>J63+M63</f>
        <v>131.19999999999999</v>
      </c>
      <c r="O63" s="90">
        <f>$O$71/$J$71*J63</f>
        <v>0.90816496085247489</v>
      </c>
      <c r="P63" s="90">
        <f>$P$71/$J$71*J63</f>
        <v>8.2824644429745717</v>
      </c>
      <c r="Q63" s="90">
        <f>$Q$71/$J$71*J63</f>
        <v>107.8605728045424</v>
      </c>
      <c r="R63" s="90">
        <f>O63+P63+Q63</f>
        <v>117.05120220836945</v>
      </c>
      <c r="S63" s="90">
        <f>N63+R63</f>
        <v>248.25120220836942</v>
      </c>
      <c r="T63" s="899"/>
    </row>
    <row r="64" spans="2:22" ht="12" customHeight="1">
      <c r="B64" s="1076"/>
      <c r="C64" s="1076"/>
      <c r="D64" s="130"/>
      <c r="E64" s="130"/>
      <c r="F64" s="838"/>
      <c r="G64" s="272">
        <f>ROUNDDOWN(J63,0)</f>
        <v>98</v>
      </c>
      <c r="H64" s="936"/>
      <c r="I64" s="938"/>
      <c r="J64" s="111">
        <f t="shared" ref="J64:S64" si="22">ROUNDDOWN(J63*0.3025,2)</f>
        <v>29.94</v>
      </c>
      <c r="K64" s="111">
        <f t="shared" si="22"/>
        <v>3.07</v>
      </c>
      <c r="L64" s="111">
        <f t="shared" si="22"/>
        <v>6.67</v>
      </c>
      <c r="M64" s="111">
        <f t="shared" si="22"/>
        <v>9.74</v>
      </c>
      <c r="N64" s="111">
        <f t="shared" si="22"/>
        <v>39.68</v>
      </c>
      <c r="O64" s="111">
        <f t="shared" si="22"/>
        <v>0.27</v>
      </c>
      <c r="P64" s="111">
        <f t="shared" si="22"/>
        <v>2.5</v>
      </c>
      <c r="Q64" s="111">
        <f t="shared" si="22"/>
        <v>32.619999999999997</v>
      </c>
      <c r="R64" s="111">
        <f t="shared" si="22"/>
        <v>35.4</v>
      </c>
      <c r="S64" s="111">
        <f t="shared" si="22"/>
        <v>75.09</v>
      </c>
      <c r="T64" s="899"/>
    </row>
    <row r="65" spans="2:38" ht="12" customHeight="1">
      <c r="B65" s="130"/>
      <c r="C65" s="1117"/>
      <c r="D65" s="1118"/>
      <c r="E65" s="130"/>
      <c r="F65" s="77"/>
      <c r="G65" s="88">
        <f>ROUNDDOWN(N66,0)</f>
        <v>42</v>
      </c>
      <c r="H65" s="1085">
        <v>94</v>
      </c>
      <c r="I65" s="1084">
        <f>H65/$H$71</f>
        <v>5.9834500318268619E-2</v>
      </c>
      <c r="J65" s="90">
        <v>104.99</v>
      </c>
      <c r="K65" s="90">
        <v>10.45</v>
      </c>
      <c r="L65" s="90">
        <v>23.41</v>
      </c>
      <c r="M65" s="90">
        <f>K65+L65</f>
        <v>33.86</v>
      </c>
      <c r="N65" s="90">
        <f>J65+M65</f>
        <v>138.85</v>
      </c>
      <c r="O65" s="90">
        <f>$O$71/$J$71*J65</f>
        <v>0.96330813537988813</v>
      </c>
      <c r="P65" s="90">
        <f>$P$71/$J$71*J65</f>
        <v>8.7853701946645799</v>
      </c>
      <c r="Q65" s="90">
        <f>$Q$71/$J$71*J65</f>
        <v>114.40979529954441</v>
      </c>
      <c r="R65" s="90">
        <f>O65+P65+Q65</f>
        <v>124.15847362958888</v>
      </c>
      <c r="S65" s="90">
        <f>N65+R65</f>
        <v>263.00847362958888</v>
      </c>
      <c r="T65" s="899"/>
    </row>
    <row r="66" spans="2:38" ht="12" customHeight="1">
      <c r="B66" s="130"/>
      <c r="C66" s="1076"/>
      <c r="D66" s="1118"/>
      <c r="E66" s="130"/>
      <c r="F66" s="77"/>
      <c r="G66" s="87">
        <f>ROUNDDOWN(J65,0)</f>
        <v>104</v>
      </c>
      <c r="H66" s="936"/>
      <c r="I66" s="938"/>
      <c r="J66" s="111">
        <f t="shared" ref="J66:S66" si="23">ROUNDDOWN(J65*0.3025,2)</f>
        <v>31.75</v>
      </c>
      <c r="K66" s="111">
        <f t="shared" si="23"/>
        <v>3.16</v>
      </c>
      <c r="L66" s="111">
        <f t="shared" si="23"/>
        <v>7.08</v>
      </c>
      <c r="M66" s="111">
        <f t="shared" si="23"/>
        <v>10.24</v>
      </c>
      <c r="N66" s="111">
        <f t="shared" si="23"/>
        <v>42</v>
      </c>
      <c r="O66" s="111">
        <f t="shared" si="23"/>
        <v>0.28999999999999998</v>
      </c>
      <c r="P66" s="111">
        <f t="shared" si="23"/>
        <v>2.65</v>
      </c>
      <c r="Q66" s="111">
        <f t="shared" si="23"/>
        <v>34.6</v>
      </c>
      <c r="R66" s="111">
        <f t="shared" si="23"/>
        <v>37.549999999999997</v>
      </c>
      <c r="S66" s="111">
        <f t="shared" si="23"/>
        <v>79.56</v>
      </c>
      <c r="T66" s="899"/>
    </row>
    <row r="67" spans="2:38" ht="12" customHeight="1">
      <c r="B67" s="130"/>
      <c r="C67" s="1076"/>
      <c r="D67" s="130"/>
      <c r="E67" s="130"/>
      <c r="F67" s="838" t="s">
        <v>144</v>
      </c>
      <c r="G67" s="88">
        <f>ROUNDDOWN(N68,0)</f>
        <v>49</v>
      </c>
      <c r="H67" s="939">
        <v>9</v>
      </c>
      <c r="I67" s="940">
        <f>H67/$H$71</f>
        <v>5.7288351368555059E-3</v>
      </c>
      <c r="J67" s="90">
        <v>124.95</v>
      </c>
      <c r="K67" s="90">
        <v>11.85</v>
      </c>
      <c r="L67" s="90">
        <v>27.85</v>
      </c>
      <c r="M67" s="90">
        <f>K67+L67</f>
        <v>39.700000000000003</v>
      </c>
      <c r="N67" s="90">
        <f>J67+M67</f>
        <v>164.65</v>
      </c>
      <c r="O67" s="90">
        <f>$O$71/$J$71*J67</f>
        <v>1.1464458664226786</v>
      </c>
      <c r="P67" s="90">
        <f>$P$71/$J$71*J67</f>
        <v>10.455586301774829</v>
      </c>
      <c r="Q67" s="90">
        <f>$Q$71/$J$71*J67</f>
        <v>136.16062408494213</v>
      </c>
      <c r="R67" s="90">
        <f>O67+P67+Q67</f>
        <v>147.76265625313962</v>
      </c>
      <c r="S67" s="90">
        <f>N67+R67</f>
        <v>312.41265625313963</v>
      </c>
      <c r="T67" s="899"/>
    </row>
    <row r="68" spans="2:38" ht="12" customHeight="1">
      <c r="B68" s="130"/>
      <c r="C68" s="1076"/>
      <c r="D68" s="130"/>
      <c r="E68" s="130"/>
      <c r="F68" s="838"/>
      <c r="G68" s="273">
        <f>ROUNDDOWN(J67,0)</f>
        <v>124</v>
      </c>
      <c r="H68" s="936"/>
      <c r="I68" s="938"/>
      <c r="J68" s="111">
        <f t="shared" ref="J68:S68" si="24">ROUNDDOWN(J67*0.3025,2)</f>
        <v>37.79</v>
      </c>
      <c r="K68" s="111">
        <f t="shared" si="24"/>
        <v>3.58</v>
      </c>
      <c r="L68" s="111">
        <f t="shared" si="24"/>
        <v>8.42</v>
      </c>
      <c r="M68" s="111">
        <f t="shared" si="24"/>
        <v>12</v>
      </c>
      <c r="N68" s="111">
        <f t="shared" si="24"/>
        <v>49.8</v>
      </c>
      <c r="O68" s="111">
        <f t="shared" si="24"/>
        <v>0.34</v>
      </c>
      <c r="P68" s="111">
        <f t="shared" si="24"/>
        <v>3.16</v>
      </c>
      <c r="Q68" s="111">
        <f t="shared" si="24"/>
        <v>41.18</v>
      </c>
      <c r="R68" s="111">
        <f t="shared" si="24"/>
        <v>44.69</v>
      </c>
      <c r="S68" s="111">
        <f t="shared" si="24"/>
        <v>94.5</v>
      </c>
      <c r="T68" s="899"/>
    </row>
    <row r="69" spans="2:38" ht="12" customHeight="1">
      <c r="B69" s="130"/>
      <c r="C69" s="130"/>
      <c r="D69" s="130"/>
      <c r="E69" s="130"/>
      <c r="F69" s="77"/>
      <c r="G69" s="1006" t="s">
        <v>118</v>
      </c>
      <c r="H69" s="1087">
        <f>SUM(H53:H68)</f>
        <v>1310</v>
      </c>
      <c r="I69" s="1091">
        <f>SUM(I53:I68)</f>
        <v>0.83386378103119041</v>
      </c>
      <c r="J69" s="244">
        <f>SUMPRODUCT(H53:H68,J53:J68)</f>
        <v>95635.500000000015</v>
      </c>
      <c r="K69" s="244">
        <f>SUMPRODUCT(H53:H68,K53:K68)</f>
        <v>10324.699999999999</v>
      </c>
      <c r="L69" s="244">
        <f>SUMPRODUCT(H53:H68,L53:L68)</f>
        <v>21327.65</v>
      </c>
      <c r="M69" s="244">
        <f>K69+L69</f>
        <v>31652.35</v>
      </c>
      <c r="N69" s="244">
        <f>J69+M69</f>
        <v>127287.85</v>
      </c>
      <c r="O69" s="244">
        <f>SUMPRODUCT(H53:H68,O53:O68)</f>
        <v>877.47838061837604</v>
      </c>
      <c r="P69" s="244">
        <f>SUMPRODUCT(H53:H68,P53:P68)</f>
        <v>8002.6028312395892</v>
      </c>
      <c r="Q69" s="244">
        <f>SUMPRODUCT(H53:H68,Q53:Q68)</f>
        <v>104216.00131793105</v>
      </c>
      <c r="R69" s="244">
        <f>O69+P69+Q69</f>
        <v>113096.08252978901</v>
      </c>
      <c r="S69" s="244">
        <f>N69+R69</f>
        <v>240383.93252978902</v>
      </c>
      <c r="T69" s="899"/>
    </row>
    <row r="70" spans="2:38" ht="12" customHeight="1">
      <c r="F70" s="77"/>
      <c r="G70" s="1086"/>
      <c r="H70" s="1003"/>
      <c r="I70" s="1005"/>
      <c r="J70" s="143">
        <f t="shared" ref="J70:S70" si="25">ROUNDDOWN(J69*0.3025,2)</f>
        <v>28929.73</v>
      </c>
      <c r="K70" s="143">
        <f t="shared" si="25"/>
        <v>3123.22</v>
      </c>
      <c r="L70" s="143">
        <f t="shared" si="25"/>
        <v>6451.61</v>
      </c>
      <c r="M70" s="143">
        <f t="shared" si="25"/>
        <v>9574.83</v>
      </c>
      <c r="N70" s="143">
        <f t="shared" si="25"/>
        <v>38504.57</v>
      </c>
      <c r="O70" s="143">
        <f t="shared" si="25"/>
        <v>265.43</v>
      </c>
      <c r="P70" s="143">
        <f t="shared" si="25"/>
        <v>2420.7800000000002</v>
      </c>
      <c r="Q70" s="143">
        <f t="shared" si="25"/>
        <v>31525.34</v>
      </c>
      <c r="R70" s="143">
        <f t="shared" si="25"/>
        <v>34211.56</v>
      </c>
      <c r="S70" s="143">
        <f t="shared" si="25"/>
        <v>72716.13</v>
      </c>
      <c r="T70" s="1004"/>
    </row>
    <row r="71" spans="2:38" ht="12" customHeight="1">
      <c r="F71" s="77"/>
      <c r="G71" s="1028" t="s">
        <v>117</v>
      </c>
      <c r="H71" s="1030">
        <f>H45+H51+H69</f>
        <v>1571</v>
      </c>
      <c r="I71" s="1036">
        <f>I45+I51+I69</f>
        <v>1</v>
      </c>
      <c r="J71" s="246">
        <f>J45+J51+J69</f>
        <v>108989.01000000001</v>
      </c>
      <c r="K71" s="246">
        <f>K45+K51+K69</f>
        <v>12085.949999999999</v>
      </c>
      <c r="L71" s="246">
        <f>L45+L51+L69</f>
        <v>24305.890000000003</v>
      </c>
      <c r="M71" s="246">
        <f>K71+L71</f>
        <v>36391.840000000004</v>
      </c>
      <c r="N71" s="246">
        <f>J71+M71</f>
        <v>145380.85</v>
      </c>
      <c r="O71" s="246">
        <v>1000</v>
      </c>
      <c r="P71" s="246">
        <f>R6+R7+R8+R9+R10+R11+R12+R13+R14</f>
        <v>9120</v>
      </c>
      <c r="Q71" s="246">
        <f>(R19*42)</f>
        <v>118767.6</v>
      </c>
      <c r="R71" s="246">
        <f>O71+P71+Q71</f>
        <v>128887.6</v>
      </c>
      <c r="S71" s="246">
        <f>N71+R71</f>
        <v>274268.45</v>
      </c>
      <c r="T71" s="247"/>
    </row>
    <row r="72" spans="2:38" ht="12" customHeight="1">
      <c r="F72" s="77"/>
      <c r="G72" s="1029"/>
      <c r="H72" s="1031"/>
      <c r="I72" s="1037"/>
      <c r="J72" s="248">
        <f t="shared" ref="J72:S72" si="26">ROUNDDOWN(J71*0.3025,2)</f>
        <v>32969.17</v>
      </c>
      <c r="K72" s="248">
        <f t="shared" si="26"/>
        <v>3655.99</v>
      </c>
      <c r="L72" s="248">
        <f t="shared" si="26"/>
        <v>7352.53</v>
      </c>
      <c r="M72" s="248">
        <f t="shared" si="26"/>
        <v>11008.53</v>
      </c>
      <c r="N72" s="248">
        <f t="shared" si="26"/>
        <v>43977.7</v>
      </c>
      <c r="O72" s="248">
        <f t="shared" si="26"/>
        <v>302.5</v>
      </c>
      <c r="P72" s="248">
        <f t="shared" si="26"/>
        <v>2758.8</v>
      </c>
      <c r="Q72" s="248">
        <f t="shared" si="26"/>
        <v>35927.19</v>
      </c>
      <c r="R72" s="248">
        <f t="shared" si="26"/>
        <v>38988.49</v>
      </c>
      <c r="S72" s="248">
        <f t="shared" si="26"/>
        <v>82966.2</v>
      </c>
      <c r="T72" s="249"/>
    </row>
    <row r="73" spans="2:38" ht="6" customHeight="1">
      <c r="F73" s="77"/>
      <c r="G73" s="1046"/>
      <c r="H73" s="1047"/>
      <c r="I73" s="1047"/>
      <c r="J73" s="1047"/>
      <c r="K73" s="1047"/>
      <c r="L73" s="1047"/>
      <c r="M73" s="1047"/>
      <c r="N73" s="1047"/>
      <c r="O73" s="1047"/>
      <c r="P73" s="1047"/>
      <c r="Q73" s="1047"/>
      <c r="R73" s="1047"/>
      <c r="S73" s="1047"/>
      <c r="T73" s="1048"/>
    </row>
    <row r="74" spans="2:38" ht="18" customHeight="1">
      <c r="F74" s="77"/>
      <c r="G74" s="951" t="s">
        <v>87</v>
      </c>
      <c r="H74" s="951"/>
      <c r="I74" s="951"/>
      <c r="J74" s="951"/>
      <c r="K74" s="951"/>
      <c r="L74" s="951"/>
      <c r="M74" s="951"/>
      <c r="N74" s="951"/>
      <c r="O74" s="951"/>
      <c r="P74" s="951"/>
      <c r="Q74" s="951"/>
      <c r="R74" s="951"/>
      <c r="S74" s="951"/>
      <c r="T74" s="952"/>
    </row>
    <row r="75" spans="2:38" s="6" customFormat="1" ht="14.1" customHeight="1">
      <c r="F75" s="79"/>
      <c r="G75" s="984" t="s">
        <v>16</v>
      </c>
      <c r="H75" s="985"/>
      <c r="I75" s="986" t="s">
        <v>7</v>
      </c>
      <c r="J75" s="987"/>
      <c r="K75" s="986" t="s">
        <v>83</v>
      </c>
      <c r="L75" s="987"/>
      <c r="M75" s="986" t="s">
        <v>22</v>
      </c>
      <c r="N75" s="987"/>
      <c r="O75" s="85" t="s">
        <v>49</v>
      </c>
      <c r="P75" s="85" t="s">
        <v>32</v>
      </c>
      <c r="Q75" s="1044" t="s">
        <v>73</v>
      </c>
      <c r="R75" s="1045"/>
      <c r="S75" s="1051" t="s">
        <v>74</v>
      </c>
      <c r="T75" s="1052"/>
    </row>
    <row r="76" spans="2:38" s="6" customFormat="1" ht="14.1" hidden="1" customHeight="1">
      <c r="F76" s="79"/>
      <c r="G76" s="1032" t="s">
        <v>50</v>
      </c>
      <c r="H76" s="1033"/>
      <c r="I76" s="1049">
        <f>M76*0.7</f>
        <v>0</v>
      </c>
      <c r="J76" s="1050"/>
      <c r="K76" s="1049">
        <f>M76*0.3</f>
        <v>0</v>
      </c>
      <c r="L76" s="1050"/>
      <c r="M76" s="1049">
        <v>0</v>
      </c>
      <c r="N76" s="1050"/>
      <c r="O76" s="58">
        <f>M76*0.15</f>
        <v>0</v>
      </c>
      <c r="P76" s="59" t="e">
        <f>#REF!*42</f>
        <v>#REF!</v>
      </c>
      <c r="Q76" s="988" t="e">
        <f>SUM(M76:P76)</f>
        <v>#REF!</v>
      </c>
      <c r="R76" s="989"/>
      <c r="S76" s="990"/>
      <c r="T76" s="991"/>
    </row>
    <row r="77" spans="2:38" s="6" customFormat="1" ht="14.1" hidden="1" customHeight="1">
      <c r="F77" s="79"/>
      <c r="G77" s="1034"/>
      <c r="H77" s="1035"/>
      <c r="I77" s="992">
        <f t="shared" ref="I77:I79" si="27">I76*0.3025</f>
        <v>0</v>
      </c>
      <c r="J77" s="993"/>
      <c r="K77" s="992">
        <f>K76*0.3025</f>
        <v>0</v>
      </c>
      <c r="L77" s="993"/>
      <c r="M77" s="1038">
        <f>M76*0.3025</f>
        <v>0</v>
      </c>
      <c r="N77" s="1039"/>
      <c r="O77" s="9">
        <f t="shared" ref="O77:O83" si="28">O76*0.3025</f>
        <v>0</v>
      </c>
      <c r="P77" s="60" t="e">
        <f>P76*0.3025</f>
        <v>#REF!</v>
      </c>
      <c r="Q77" s="1040" t="e">
        <f>Q76*0.3025</f>
        <v>#REF!</v>
      </c>
      <c r="R77" s="1041"/>
      <c r="S77" s="1042"/>
      <c r="T77" s="1043"/>
    </row>
    <row r="78" spans="2:38" s="6" customFormat="1" ht="14.1" customHeight="1">
      <c r="F78" s="79"/>
      <c r="G78" s="996" t="s">
        <v>38</v>
      </c>
      <c r="H78" s="1001" t="s">
        <v>84</v>
      </c>
      <c r="I78" s="1057">
        <f>M78*0.7</f>
        <v>1540</v>
      </c>
      <c r="J78" s="1000"/>
      <c r="K78" s="999">
        <f>M78*0.3</f>
        <v>660</v>
      </c>
      <c r="L78" s="1000"/>
      <c r="M78" s="1015">
        <v>2200</v>
      </c>
      <c r="N78" s="1016"/>
      <c r="O78" s="91">
        <v>0</v>
      </c>
      <c r="P78" s="91">
        <v>0</v>
      </c>
      <c r="Q78" s="1017">
        <f>SUM(M78:P78)</f>
        <v>2200</v>
      </c>
      <c r="R78" s="1018"/>
      <c r="S78" s="1019"/>
      <c r="T78" s="1020"/>
      <c r="U78" s="7"/>
      <c r="V78" s="7"/>
      <c r="W78" s="7"/>
      <c r="X78" s="8"/>
    </row>
    <row r="79" spans="2:38" s="6" customFormat="1" ht="14.1" customHeight="1">
      <c r="F79" s="79"/>
      <c r="G79" s="997"/>
      <c r="H79" s="1002"/>
      <c r="I79" s="1021">
        <f t="shared" si="27"/>
        <v>465.84999999999997</v>
      </c>
      <c r="J79" s="1022"/>
      <c r="K79" s="1023">
        <f>K78*0.3025</f>
        <v>199.65</v>
      </c>
      <c r="L79" s="1022"/>
      <c r="M79" s="1024">
        <f>M78*0.3025</f>
        <v>665.5</v>
      </c>
      <c r="N79" s="1025"/>
      <c r="O79" s="92">
        <f>O78*0.3025</f>
        <v>0</v>
      </c>
      <c r="P79" s="92">
        <f>P78*0.3025</f>
        <v>0</v>
      </c>
      <c r="Q79" s="1024">
        <f>Q78*0.3025</f>
        <v>665.5</v>
      </c>
      <c r="R79" s="1025"/>
      <c r="S79" s="1026"/>
      <c r="T79" s="1027"/>
      <c r="U79" s="7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spans="2:38" s="6" customFormat="1" ht="14.1" customHeight="1">
      <c r="F80" s="79"/>
      <c r="G80" s="997"/>
      <c r="H80" s="1077" t="s">
        <v>46</v>
      </c>
      <c r="I80" s="1057">
        <f>M80*0.7</f>
        <v>1680</v>
      </c>
      <c r="J80" s="1000"/>
      <c r="K80" s="999">
        <f>M80*0.3</f>
        <v>720</v>
      </c>
      <c r="L80" s="1000"/>
      <c r="M80" s="1058">
        <v>2400</v>
      </c>
      <c r="N80" s="1059"/>
      <c r="O80" s="93">
        <v>350</v>
      </c>
      <c r="P80" s="97">
        <f>R25*42</f>
        <v>1890</v>
      </c>
      <c r="Q80" s="1058">
        <f>SUM(M80:P80)</f>
        <v>4640</v>
      </c>
      <c r="R80" s="1059"/>
      <c r="S80" s="1060"/>
      <c r="T80" s="1061"/>
      <c r="U80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 spans="6:43" ht="14.1" customHeight="1">
      <c r="F81" s="77"/>
      <c r="G81" s="998"/>
      <c r="H81" s="1078"/>
      <c r="I81" s="1062">
        <f t="shared" ref="I81" si="29">I80*0.3025</f>
        <v>508.2</v>
      </c>
      <c r="J81" s="1063"/>
      <c r="K81" s="1064">
        <f>K80*0.3025</f>
        <v>217.79999999999998</v>
      </c>
      <c r="L81" s="1063"/>
      <c r="M81" s="1065">
        <f>M80*0.3025</f>
        <v>726</v>
      </c>
      <c r="N81" s="1066"/>
      <c r="O81" s="94">
        <f>O80*0.3025</f>
        <v>105.875</v>
      </c>
      <c r="P81" s="98">
        <f>P80*0.3025</f>
        <v>571.72500000000002</v>
      </c>
      <c r="Q81" s="1065">
        <f>Q80*0.3025</f>
        <v>1403.6</v>
      </c>
      <c r="R81" s="1066"/>
      <c r="S81" s="1067"/>
      <c r="T81" s="1068"/>
      <c r="U81"/>
      <c r="AQ81" s="6"/>
    </row>
    <row r="82" spans="6:43" ht="14.1" customHeight="1">
      <c r="F82" s="77"/>
      <c r="G82" s="1008" t="s">
        <v>1</v>
      </c>
      <c r="H82" s="1009"/>
      <c r="I82" s="1012">
        <f>M82*0.7</f>
        <v>3220</v>
      </c>
      <c r="J82" s="1013"/>
      <c r="K82" s="1014">
        <f>M82*0.3</f>
        <v>1380</v>
      </c>
      <c r="L82" s="1013"/>
      <c r="M82" s="1014">
        <f>M78+M80</f>
        <v>4600</v>
      </c>
      <c r="N82" s="1013"/>
      <c r="O82" s="95">
        <f>O80</f>
        <v>350</v>
      </c>
      <c r="P82" s="95">
        <f>P80</f>
        <v>1890</v>
      </c>
      <c r="Q82" s="982">
        <f>SUM(M82:P82)</f>
        <v>6840</v>
      </c>
      <c r="R82" s="983"/>
      <c r="S82" s="1072"/>
      <c r="T82" s="1073"/>
      <c r="U82" s="6"/>
      <c r="AQ82" s="6"/>
    </row>
    <row r="83" spans="6:43" ht="14.1" customHeight="1">
      <c r="F83" s="77"/>
      <c r="G83" s="1010"/>
      <c r="H83" s="1011"/>
      <c r="I83" s="1071">
        <f t="shared" ref="I83" si="30">I82*0.3025</f>
        <v>974.05</v>
      </c>
      <c r="J83" s="1070"/>
      <c r="K83" s="1069">
        <f>K82*0.3025</f>
        <v>417.45</v>
      </c>
      <c r="L83" s="1070"/>
      <c r="M83" s="1053">
        <f>M82*0.3025</f>
        <v>1391.5</v>
      </c>
      <c r="N83" s="1054"/>
      <c r="O83" s="96">
        <f t="shared" si="28"/>
        <v>105.875</v>
      </c>
      <c r="P83" s="99">
        <f>P82*0.3025</f>
        <v>571.72500000000002</v>
      </c>
      <c r="Q83" s="1053">
        <f>Q82*0.3025</f>
        <v>2069.1</v>
      </c>
      <c r="R83" s="1054"/>
      <c r="S83" s="1055"/>
      <c r="T83" s="1056"/>
      <c r="U83" s="7"/>
      <c r="AQ83" s="6"/>
    </row>
    <row r="84" spans="6:43" ht="14.1" customHeight="1">
      <c r="Q84" s="5"/>
      <c r="R84" s="5"/>
      <c r="S84" s="5"/>
      <c r="T84" s="6"/>
      <c r="U84" s="6"/>
      <c r="AQ84" s="6"/>
    </row>
    <row r="85" spans="6:43" ht="14.1" customHeight="1">
      <c r="T85" s="6"/>
      <c r="U85" s="6"/>
      <c r="AQ85" s="6"/>
    </row>
    <row r="86" spans="6:43" ht="14.1" customHeight="1">
      <c r="T86" s="6"/>
      <c r="U86" s="6"/>
      <c r="AQ86" s="6"/>
    </row>
    <row r="87" spans="6:43" ht="14.1" customHeight="1">
      <c r="T87" s="6"/>
      <c r="U87" s="6"/>
      <c r="AQ87" s="6"/>
    </row>
    <row r="88" spans="6:43" ht="14.1" customHeight="1">
      <c r="H88" s="11">
        <f>H41+H57</f>
        <v>632</v>
      </c>
      <c r="I88" s="145">
        <f>I41+I57</f>
        <v>0.40229153405474222</v>
      </c>
      <c r="M88" s="144">
        <f t="shared" ref="M88:S88" si="31">M51+M69</f>
        <v>32513.289999999997</v>
      </c>
      <c r="N88" s="144">
        <f t="shared" si="31"/>
        <v>130758.25</v>
      </c>
      <c r="O88" s="144">
        <f t="shared" si="31"/>
        <v>901.42079462874278</v>
      </c>
      <c r="P88" s="144">
        <f t="shared" si="31"/>
        <v>8220.9576470141346</v>
      </c>
      <c r="Q88" s="144">
        <f t="shared" si="31"/>
        <v>107059.58436814867</v>
      </c>
      <c r="R88" s="144">
        <f t="shared" si="31"/>
        <v>116181.96280979156</v>
      </c>
      <c r="S88" s="144">
        <f t="shared" si="31"/>
        <v>246940.21280979156</v>
      </c>
      <c r="T88" s="6"/>
      <c r="U88" s="6"/>
      <c r="AQ88" s="6"/>
    </row>
    <row r="89" spans="6:43" ht="14.1" customHeight="1">
      <c r="H89" s="11">
        <f>H57+H59+H63</f>
        <v>1080</v>
      </c>
      <c r="AQ89" s="6"/>
    </row>
    <row r="90" spans="6:43" ht="14.1" customHeight="1">
      <c r="AQ90" s="6"/>
    </row>
    <row r="91" spans="6:43" ht="14.1" customHeight="1">
      <c r="AQ91" s="6"/>
    </row>
    <row r="92" spans="6:43" ht="14.1" customHeight="1">
      <c r="AQ92" s="6"/>
    </row>
    <row r="93" spans="6:43" ht="14.1" customHeight="1">
      <c r="AQ93" s="6"/>
    </row>
    <row r="94" spans="6:43" ht="14.1" customHeight="1" thickBot="1">
      <c r="G94" s="1" t="s">
        <v>9</v>
      </c>
      <c r="K94" s="3"/>
      <c r="M94" s="1007" t="s">
        <v>89</v>
      </c>
      <c r="N94" s="1007"/>
      <c r="O94" s="1007"/>
      <c r="P94" s="112"/>
      <c r="Q94" s="113"/>
      <c r="R94" s="112"/>
      <c r="S94" s="6"/>
      <c r="AQ94" s="6"/>
    </row>
    <row r="95" spans="6:43" ht="14.1" customHeight="1">
      <c r="G95" s="34"/>
      <c r="H95" s="35" t="s">
        <v>53</v>
      </c>
      <c r="I95" s="36" t="s">
        <v>54</v>
      </c>
      <c r="J95" s="36" t="s">
        <v>55</v>
      </c>
      <c r="K95" s="37" t="s">
        <v>29</v>
      </c>
      <c r="M95" s="114"/>
      <c r="N95" s="115">
        <v>0</v>
      </c>
      <c r="O95" s="116">
        <v>300</v>
      </c>
      <c r="P95" s="117">
        <v>500</v>
      </c>
      <c r="Q95" s="118">
        <v>1000</v>
      </c>
      <c r="R95" s="117">
        <v>2000</v>
      </c>
      <c r="S95" s="6"/>
      <c r="AQ95" s="6"/>
    </row>
    <row r="96" spans="6:43" ht="14.1" customHeight="1">
      <c r="G96" s="38"/>
      <c r="H96" s="39"/>
      <c r="I96" s="40"/>
      <c r="J96" s="40"/>
      <c r="K96" s="41"/>
      <c r="M96" s="119"/>
      <c r="N96" s="120" t="s">
        <v>90</v>
      </c>
      <c r="O96" s="120" t="s">
        <v>91</v>
      </c>
      <c r="P96" s="120" t="s">
        <v>92</v>
      </c>
      <c r="Q96" s="120" t="s">
        <v>93</v>
      </c>
      <c r="R96" s="120" t="s">
        <v>94</v>
      </c>
      <c r="S96" s="6"/>
      <c r="AQ96" s="6"/>
    </row>
    <row r="97" spans="7:43" ht="14.1" customHeight="1">
      <c r="G97" s="980" t="s">
        <v>56</v>
      </c>
      <c r="H97" s="106">
        <v>0</v>
      </c>
      <c r="I97" s="106">
        <f>N71</f>
        <v>145380.85</v>
      </c>
      <c r="J97" s="106">
        <f>H97+I97</f>
        <v>145380.85</v>
      </c>
      <c r="K97" s="42"/>
      <c r="M97" s="119" t="s">
        <v>4</v>
      </c>
      <c r="N97" s="121">
        <v>6</v>
      </c>
      <c r="O97" s="121">
        <v>8</v>
      </c>
      <c r="P97" s="121">
        <v>12</v>
      </c>
      <c r="Q97" s="122">
        <v>15</v>
      </c>
      <c r="R97" s="121">
        <v>20</v>
      </c>
      <c r="S97" s="6"/>
      <c r="AQ97" s="6"/>
    </row>
    <row r="98" spans="7:43" ht="14.1" customHeight="1">
      <c r="G98" s="981"/>
      <c r="H98" s="107">
        <f>ROUNDDOWN(H97*0.3025,2)</f>
        <v>0</v>
      </c>
      <c r="I98" s="107">
        <f>ROUNDDOWN(I97*0.3025,2)</f>
        <v>43977.7</v>
      </c>
      <c r="J98" s="108">
        <f>ROUNDDOWN(J97*0.3025,2)</f>
        <v>43977.7</v>
      </c>
      <c r="K98" s="43"/>
      <c r="M98" s="114"/>
      <c r="N98" s="112"/>
      <c r="O98" s="112"/>
      <c r="P98" s="112"/>
      <c r="Q98" s="113"/>
      <c r="R98" s="112"/>
      <c r="S98" s="6"/>
      <c r="AQ98" s="6"/>
    </row>
    <row r="99" spans="7:43" ht="14.1" customHeight="1">
      <c r="G99" s="994" t="s">
        <v>57</v>
      </c>
      <c r="H99" s="106">
        <f>O71</f>
        <v>1000</v>
      </c>
      <c r="I99" s="106">
        <v>0</v>
      </c>
      <c r="J99" s="106">
        <f>H99+I99</f>
        <v>1000</v>
      </c>
      <c r="K99" s="42"/>
      <c r="M99" s="114"/>
      <c r="N99" s="112"/>
      <c r="O99" s="112"/>
      <c r="P99" s="112"/>
      <c r="Q99" s="113"/>
      <c r="R99" s="112"/>
      <c r="S99" s="6"/>
      <c r="AQ99" s="6"/>
    </row>
    <row r="100" spans="7:43" ht="14.1" customHeight="1">
      <c r="G100" s="995"/>
      <c r="H100" s="107">
        <f>ROUNDDOWN(H99*0.3025,2)</f>
        <v>302.5</v>
      </c>
      <c r="I100" s="107">
        <f>ROUNDDOWN(I99*0.3025,2)</f>
        <v>0</v>
      </c>
      <c r="J100" s="108">
        <f>ROUNDDOWN(J99*0.3025,2)</f>
        <v>302.5</v>
      </c>
      <c r="K100" s="43"/>
      <c r="M100" s="1007" t="s">
        <v>95</v>
      </c>
      <c r="N100" s="1007"/>
      <c r="O100" s="1007"/>
      <c r="P100" s="112"/>
      <c r="Q100" s="113"/>
      <c r="R100" s="112"/>
      <c r="S100" s="6"/>
      <c r="AQ100" s="6"/>
    </row>
    <row r="101" spans="7:43" ht="20.25" customHeight="1">
      <c r="G101" s="994" t="s">
        <v>58</v>
      </c>
      <c r="H101" s="106">
        <f>R6+R10+R12+R8+R9+R11</f>
        <v>8100</v>
      </c>
      <c r="I101" s="106">
        <f>R7</f>
        <v>100</v>
      </c>
      <c r="J101" s="106">
        <f>H101+I101</f>
        <v>8200</v>
      </c>
      <c r="K101" s="42"/>
      <c r="M101" s="123"/>
      <c r="N101" s="123">
        <v>0</v>
      </c>
      <c r="O101" s="142">
        <v>150</v>
      </c>
      <c r="P101" s="142">
        <v>300</v>
      </c>
      <c r="Q101" s="142">
        <v>500</v>
      </c>
      <c r="R101" s="142">
        <v>1000</v>
      </c>
      <c r="S101" s="142">
        <v>1500</v>
      </c>
      <c r="AQ101" s="6"/>
    </row>
    <row r="102" spans="7:43" ht="20.25" customHeight="1">
      <c r="G102" s="981"/>
      <c r="H102" s="107">
        <f>ROUNDDOWN(H101*0.3025,2)</f>
        <v>2450.25</v>
      </c>
      <c r="I102" s="107">
        <f>ROUNDDOWN(I101*0.3025,2)</f>
        <v>30.25</v>
      </c>
      <c r="J102" s="108">
        <f>ROUNDDOWN(J101*0.3025,2)</f>
        <v>2480.5</v>
      </c>
      <c r="K102" s="43"/>
      <c r="M102" s="125"/>
      <c r="N102" s="125" t="s">
        <v>96</v>
      </c>
      <c r="O102" s="125" t="s">
        <v>97</v>
      </c>
      <c r="P102" s="125" t="s">
        <v>91</v>
      </c>
      <c r="Q102" s="125" t="s">
        <v>92</v>
      </c>
      <c r="R102" s="125" t="s">
        <v>98</v>
      </c>
      <c r="S102" s="125" t="s">
        <v>99</v>
      </c>
    </row>
    <row r="103" spans="7:43" ht="14.1" customHeight="1">
      <c r="G103" s="980" t="s">
        <v>138</v>
      </c>
      <c r="H103" s="106">
        <f>Q71</f>
        <v>118767.6</v>
      </c>
      <c r="I103" s="106">
        <v>0</v>
      </c>
      <c r="J103" s="106">
        <f>H103+I103</f>
        <v>118767.6</v>
      </c>
      <c r="K103" s="49">
        <v>0.7</v>
      </c>
      <c r="M103" s="126" t="s">
        <v>100</v>
      </c>
      <c r="N103" s="124">
        <v>0</v>
      </c>
      <c r="O103" s="127">
        <f>50+(H71*0.1)</f>
        <v>207.10000000000002</v>
      </c>
      <c r="P103" s="127">
        <v>155</v>
      </c>
      <c r="Q103" s="127">
        <v>225</v>
      </c>
      <c r="R103" s="127">
        <v>375</v>
      </c>
      <c r="S103" s="128">
        <v>500</v>
      </c>
    </row>
    <row r="104" spans="7:43" ht="14.1" customHeight="1">
      <c r="G104" s="981"/>
      <c r="H104" s="108">
        <f>ROUNDDOWN(H103*0.3025,2)</f>
        <v>35927.19</v>
      </c>
      <c r="I104" s="107">
        <f>ROUNDDOWN(I103*0.3025,2)</f>
        <v>0</v>
      </c>
      <c r="J104" s="108">
        <f>ROUNDDOWN(J103*0.3025,2)</f>
        <v>35927.19</v>
      </c>
      <c r="K104" s="48">
        <f>(H103+H99+H101+H105)/(J17*K103)</f>
        <v>3.4532016379485362</v>
      </c>
      <c r="M104" s="126" t="s">
        <v>24</v>
      </c>
      <c r="N104" s="124">
        <v>0</v>
      </c>
      <c r="O104" s="123">
        <v>0</v>
      </c>
      <c r="P104" s="127">
        <v>198</v>
      </c>
      <c r="Q104" s="127">
        <v>330</v>
      </c>
      <c r="R104" s="127">
        <v>580</v>
      </c>
      <c r="S104" s="127">
        <v>725</v>
      </c>
    </row>
    <row r="105" spans="7:43" ht="14.1" customHeight="1">
      <c r="G105" s="980" t="s">
        <v>59</v>
      </c>
      <c r="H105" s="106">
        <f>Q80</f>
        <v>4640</v>
      </c>
      <c r="I105" s="106">
        <f>Q78</f>
        <v>2200</v>
      </c>
      <c r="J105" s="106">
        <f>H105+I105</f>
        <v>6840</v>
      </c>
      <c r="K105" s="42"/>
      <c r="M105" s="126" t="s">
        <v>35</v>
      </c>
      <c r="N105" s="124">
        <v>0</v>
      </c>
      <c r="O105" s="123">
        <v>0</v>
      </c>
      <c r="P105" s="129">
        <v>108</v>
      </c>
      <c r="Q105" s="129">
        <v>158</v>
      </c>
      <c r="R105" s="129">
        <v>203</v>
      </c>
      <c r="S105" s="129">
        <v>298</v>
      </c>
    </row>
    <row r="106" spans="7:43" ht="14.1" customHeight="1">
      <c r="G106" s="981"/>
      <c r="H106" s="107">
        <f>ROUNDDOWN(H105*0.3025,2)</f>
        <v>1403.6</v>
      </c>
      <c r="I106" s="107">
        <f>ROUNDDOWN(I105*0.3025,2)</f>
        <v>665.5</v>
      </c>
      <c r="J106" s="108">
        <f>ROUNDDOWN(J105*0.3025,2)</f>
        <v>2069.1</v>
      </c>
      <c r="K106" s="43"/>
      <c r="S106" s="6"/>
    </row>
    <row r="107" spans="7:43" ht="14.1" customHeight="1">
      <c r="G107" s="81" t="s">
        <v>55</v>
      </c>
      <c r="H107" s="106">
        <f>H97+H99+H101+H103+H105</f>
        <v>132507.6</v>
      </c>
      <c r="I107" s="106">
        <f>I97+I99+I101+I103+I105</f>
        <v>147680.85</v>
      </c>
      <c r="J107" s="106">
        <f>H107+I107</f>
        <v>280188.45</v>
      </c>
      <c r="K107" s="42"/>
      <c r="M107" s="1007" t="s">
        <v>101</v>
      </c>
      <c r="N107" s="1007"/>
      <c r="O107" s="1007"/>
      <c r="S107" s="6"/>
    </row>
    <row r="108" spans="7:43" ht="14.1" customHeight="1" thickBot="1">
      <c r="G108" s="44"/>
      <c r="H108" s="109">
        <f>ROUNDDOWN(H107*0.3025,2)</f>
        <v>40083.54</v>
      </c>
      <c r="I108" s="109">
        <f>ROUNDDOWN(I107*0.3025,2)</f>
        <v>44673.45</v>
      </c>
      <c r="J108" s="110">
        <f>ROUNDDOWN(J107*0.3025,2)</f>
        <v>84757</v>
      </c>
      <c r="K108" s="45"/>
      <c r="N108" s="130">
        <v>0</v>
      </c>
      <c r="O108" s="130">
        <v>500</v>
      </c>
      <c r="P108" s="130">
        <v>1000</v>
      </c>
      <c r="Q108" s="130">
        <v>1500</v>
      </c>
      <c r="R108" s="6"/>
      <c r="S108" s="6"/>
    </row>
    <row r="109" spans="7:43" ht="14.1" customHeight="1">
      <c r="M109" s="131"/>
      <c r="N109" s="132" t="s">
        <v>102</v>
      </c>
      <c r="O109" s="132" t="s">
        <v>103</v>
      </c>
      <c r="P109" s="132" t="s">
        <v>104</v>
      </c>
      <c r="Q109" s="125" t="s">
        <v>99</v>
      </c>
      <c r="R109" s="6"/>
      <c r="S109" s="6"/>
    </row>
    <row r="110" spans="7:43" ht="14.1" customHeight="1">
      <c r="M110" s="133" t="s">
        <v>105</v>
      </c>
      <c r="N110" s="134">
        <v>90</v>
      </c>
      <c r="O110" s="134">
        <v>90</v>
      </c>
      <c r="P110" s="134">
        <v>108</v>
      </c>
      <c r="Q110" s="135">
        <v>138</v>
      </c>
      <c r="R110" s="6"/>
      <c r="S110" s="6"/>
    </row>
    <row r="111" spans="7:43" ht="14.1" customHeight="1">
      <c r="M111" s="133" t="s">
        <v>106</v>
      </c>
      <c r="N111" s="134">
        <v>188</v>
      </c>
      <c r="O111" s="134">
        <v>188</v>
      </c>
      <c r="P111" s="134">
        <v>324</v>
      </c>
      <c r="Q111" s="135">
        <v>454</v>
      </c>
    </row>
    <row r="112" spans="7:43" ht="14.1" customHeight="1">
      <c r="M112" s="136" t="s">
        <v>107</v>
      </c>
      <c r="N112" s="135">
        <v>146</v>
      </c>
      <c r="O112" s="134">
        <v>158</v>
      </c>
      <c r="P112" s="135">
        <v>184</v>
      </c>
      <c r="Q112" s="135">
        <v>210</v>
      </c>
    </row>
    <row r="113" spans="13:17" ht="14.1" customHeight="1">
      <c r="M113" s="133" t="s">
        <v>108</v>
      </c>
      <c r="N113" s="135">
        <v>60</v>
      </c>
      <c r="O113" s="134">
        <v>80</v>
      </c>
      <c r="P113" s="135">
        <v>100</v>
      </c>
      <c r="Q113" s="135">
        <v>150</v>
      </c>
    </row>
    <row r="114" spans="13:17" ht="14.1" customHeight="1">
      <c r="M114" s="137" t="s">
        <v>1</v>
      </c>
      <c r="N114" s="135">
        <f>SUM(N110:N113)</f>
        <v>484</v>
      </c>
      <c r="O114" s="135">
        <f t="shared" ref="O114:Q114" si="32">SUM(O110:O113)</f>
        <v>516</v>
      </c>
      <c r="P114" s="135">
        <f t="shared" si="32"/>
        <v>716</v>
      </c>
      <c r="Q114" s="135">
        <f t="shared" si="32"/>
        <v>952</v>
      </c>
    </row>
    <row r="115" spans="13:17" ht="14.1" customHeight="1">
      <c r="M115" s="1007" t="s">
        <v>109</v>
      </c>
      <c r="N115" s="1007"/>
      <c r="O115" s="1007"/>
    </row>
    <row r="116" spans="13:17" ht="14.1" customHeight="1">
      <c r="N116" s="130">
        <v>0</v>
      </c>
      <c r="O116" s="130">
        <v>500</v>
      </c>
      <c r="P116" s="130">
        <v>1000</v>
      </c>
      <c r="Q116" s="130">
        <v>1500</v>
      </c>
    </row>
    <row r="117" spans="13:17" ht="14.1" customHeight="1">
      <c r="M117" s="131"/>
      <c r="N117" s="132" t="s">
        <v>110</v>
      </c>
      <c r="O117" s="132" t="s">
        <v>111</v>
      </c>
      <c r="P117" s="132" t="s">
        <v>112</v>
      </c>
      <c r="Q117" s="125" t="s">
        <v>113</v>
      </c>
    </row>
    <row r="118" spans="13:17" ht="14.1" customHeight="1">
      <c r="M118" s="133" t="s">
        <v>114</v>
      </c>
      <c r="N118" s="138">
        <v>36</v>
      </c>
      <c r="O118" s="138">
        <v>48</v>
      </c>
      <c r="P118" s="138">
        <v>56</v>
      </c>
      <c r="Q118" s="139">
        <v>63</v>
      </c>
    </row>
    <row r="119" spans="13:17" ht="14.1" customHeight="1">
      <c r="M119" s="133" t="s">
        <v>115</v>
      </c>
      <c r="N119" s="138">
        <v>12</v>
      </c>
      <c r="O119" s="138">
        <v>18</v>
      </c>
      <c r="P119" s="138">
        <v>22</v>
      </c>
      <c r="Q119" s="139">
        <v>34</v>
      </c>
    </row>
    <row r="120" spans="13:17" ht="14.1" customHeight="1">
      <c r="M120" s="137" t="s">
        <v>116</v>
      </c>
      <c r="N120" s="140">
        <f>SUM(N118:N119)</f>
        <v>48</v>
      </c>
      <c r="O120" s="141">
        <f>SUM(O118:O119)</f>
        <v>66</v>
      </c>
      <c r="P120" s="140">
        <f>SUM(P118:P119)</f>
        <v>78</v>
      </c>
      <c r="Q120" s="140">
        <f>SUM(Q118:Q119)</f>
        <v>97</v>
      </c>
    </row>
  </sheetData>
  <mergeCells count="240">
    <mergeCell ref="G2:L2"/>
    <mergeCell ref="N2:T2"/>
    <mergeCell ref="H3:L3"/>
    <mergeCell ref="S3:T3"/>
    <mergeCell ref="H4:L4"/>
    <mergeCell ref="O4:Q4"/>
    <mergeCell ref="S16:T16"/>
    <mergeCell ref="H17:I17"/>
    <mergeCell ref="O17:P17"/>
    <mergeCell ref="S17:T17"/>
    <mergeCell ref="H5:L5"/>
    <mergeCell ref="O5:Q5"/>
    <mergeCell ref="O6:P6"/>
    <mergeCell ref="S6:T6"/>
    <mergeCell ref="H7:L7"/>
    <mergeCell ref="S7:T7"/>
    <mergeCell ref="G18:G27"/>
    <mergeCell ref="H18:I18"/>
    <mergeCell ref="J18:K18"/>
    <mergeCell ref="O18:P18"/>
    <mergeCell ref="H19:H21"/>
    <mergeCell ref="L19:L21"/>
    <mergeCell ref="N19:N26"/>
    <mergeCell ref="O19:O21"/>
    <mergeCell ref="G8:G17"/>
    <mergeCell ref="H8:I8"/>
    <mergeCell ref="O8:O16"/>
    <mergeCell ref="P8:P10"/>
    <mergeCell ref="H9:H16"/>
    <mergeCell ref="H28:I28"/>
    <mergeCell ref="N28:N29"/>
    <mergeCell ref="S28:T28"/>
    <mergeCell ref="H29:J29"/>
    <mergeCell ref="O29:Q29"/>
    <mergeCell ref="S29:T29"/>
    <mergeCell ref="Y24:Z24"/>
    <mergeCell ref="AA24:AD24"/>
    <mergeCell ref="H25:H27"/>
    <mergeCell ref="L25:L27"/>
    <mergeCell ref="S25:T25"/>
    <mergeCell ref="O26:P26"/>
    <mergeCell ref="S26:T26"/>
    <mergeCell ref="N27:T27"/>
    <mergeCell ref="R19:R24"/>
    <mergeCell ref="S19:T24"/>
    <mergeCell ref="X20:AE21"/>
    <mergeCell ref="H22:H24"/>
    <mergeCell ref="L22:L24"/>
    <mergeCell ref="O22:O24"/>
    <mergeCell ref="Y22:Z22"/>
    <mergeCell ref="AA22:AD22"/>
    <mergeCell ref="Y23:Z23"/>
    <mergeCell ref="AA23:AD23"/>
    <mergeCell ref="AC32:AC34"/>
    <mergeCell ref="AD32:AD34"/>
    <mergeCell ref="H33:K33"/>
    <mergeCell ref="S33:S34"/>
    <mergeCell ref="H34:J34"/>
    <mergeCell ref="G36:T36"/>
    <mergeCell ref="X29:X34"/>
    <mergeCell ref="AC29:AD29"/>
    <mergeCell ref="H30:K30"/>
    <mergeCell ref="N30:T30"/>
    <mergeCell ref="AC30:AD31"/>
    <mergeCell ref="H31:J31"/>
    <mergeCell ref="N31:N34"/>
    <mergeCell ref="S31:S32"/>
    <mergeCell ref="T31:T34"/>
    <mergeCell ref="H32:K32"/>
    <mergeCell ref="O37:Q37"/>
    <mergeCell ref="R37:R38"/>
    <mergeCell ref="S37:S38"/>
    <mergeCell ref="T37:T38"/>
    <mergeCell ref="H39:H40"/>
    <mergeCell ref="I39:I40"/>
    <mergeCell ref="T39:T44"/>
    <mergeCell ref="G37:G38"/>
    <mergeCell ref="H37:H38"/>
    <mergeCell ref="I37:I38"/>
    <mergeCell ref="J37:J38"/>
    <mergeCell ref="K37:M37"/>
    <mergeCell ref="N37:N38"/>
    <mergeCell ref="V39:V40"/>
    <mergeCell ref="H41:H42"/>
    <mergeCell ref="I41:I42"/>
    <mergeCell ref="H43:H44"/>
    <mergeCell ref="I43:I44"/>
    <mergeCell ref="G45:G46"/>
    <mergeCell ref="H45:H46"/>
    <mergeCell ref="I45:I46"/>
    <mergeCell ref="T45:T46"/>
    <mergeCell ref="H47:H48"/>
    <mergeCell ref="I47:I48"/>
    <mergeCell ref="T47:T50"/>
    <mergeCell ref="H49:H50"/>
    <mergeCell ref="I49:I50"/>
    <mergeCell ref="G51:G52"/>
    <mergeCell ref="H51:H52"/>
    <mergeCell ref="I51:I52"/>
    <mergeCell ref="T51:T52"/>
    <mergeCell ref="F53:F54"/>
    <mergeCell ref="H53:H54"/>
    <mergeCell ref="I53:I54"/>
    <mergeCell ref="T53:T70"/>
    <mergeCell ref="F55:F56"/>
    <mergeCell ref="H55:H56"/>
    <mergeCell ref="I55:I56"/>
    <mergeCell ref="F57:F58"/>
    <mergeCell ref="H57:H58"/>
    <mergeCell ref="I57:I58"/>
    <mergeCell ref="F67:F68"/>
    <mergeCell ref="H67:H68"/>
    <mergeCell ref="I67:I68"/>
    <mergeCell ref="G69:G70"/>
    <mergeCell ref="H69:H70"/>
    <mergeCell ref="I69:I70"/>
    <mergeCell ref="H59:H60"/>
    <mergeCell ref="I59:I60"/>
    <mergeCell ref="F63:F64"/>
    <mergeCell ref="H63:H64"/>
    <mergeCell ref="I63:I64"/>
    <mergeCell ref="H65:H66"/>
    <mergeCell ref="I65:I66"/>
    <mergeCell ref="K77:L77"/>
    <mergeCell ref="M77:N77"/>
    <mergeCell ref="H71:H72"/>
    <mergeCell ref="I71:I72"/>
    <mergeCell ref="G73:T73"/>
    <mergeCell ref="G74:T74"/>
    <mergeCell ref="G75:H75"/>
    <mergeCell ref="I75:J75"/>
    <mergeCell ref="K75:L75"/>
    <mergeCell ref="M75:N75"/>
    <mergeCell ref="Q75:R75"/>
    <mergeCell ref="S75:T75"/>
    <mergeCell ref="Q79:R79"/>
    <mergeCell ref="S79:T79"/>
    <mergeCell ref="H80:H81"/>
    <mergeCell ref="I80:J80"/>
    <mergeCell ref="K80:L80"/>
    <mergeCell ref="M80:N80"/>
    <mergeCell ref="Q80:R80"/>
    <mergeCell ref="S80:T80"/>
    <mergeCell ref="Q77:R77"/>
    <mergeCell ref="S77:T77"/>
    <mergeCell ref="H78:H79"/>
    <mergeCell ref="I78:J78"/>
    <mergeCell ref="K78:L78"/>
    <mergeCell ref="M78:N78"/>
    <mergeCell ref="Q78:R78"/>
    <mergeCell ref="S78:T78"/>
    <mergeCell ref="I79:J79"/>
    <mergeCell ref="G76:H77"/>
    <mergeCell ref="I76:J76"/>
    <mergeCell ref="K76:L76"/>
    <mergeCell ref="M76:N76"/>
    <mergeCell ref="Q76:R76"/>
    <mergeCell ref="S76:T76"/>
    <mergeCell ref="I77:J77"/>
    <mergeCell ref="S82:T82"/>
    <mergeCell ref="I83:J83"/>
    <mergeCell ref="K83:L83"/>
    <mergeCell ref="M83:N83"/>
    <mergeCell ref="Q83:R83"/>
    <mergeCell ref="S83:T83"/>
    <mergeCell ref="I81:J81"/>
    <mergeCell ref="K81:L81"/>
    <mergeCell ref="M81:N81"/>
    <mergeCell ref="Q81:R81"/>
    <mergeCell ref="S81:T81"/>
    <mergeCell ref="I82:J82"/>
    <mergeCell ref="K82:L82"/>
    <mergeCell ref="M82:N82"/>
    <mergeCell ref="Q82:R82"/>
    <mergeCell ref="B57:B58"/>
    <mergeCell ref="B59:B60"/>
    <mergeCell ref="B63:B64"/>
    <mergeCell ref="G105:G106"/>
    <mergeCell ref="M107:O107"/>
    <mergeCell ref="M115:O115"/>
    <mergeCell ref="B37:B38"/>
    <mergeCell ref="B39:B40"/>
    <mergeCell ref="B41:B42"/>
    <mergeCell ref="B43:B44"/>
    <mergeCell ref="B45:B46"/>
    <mergeCell ref="B47:B48"/>
    <mergeCell ref="B49:B50"/>
    <mergeCell ref="M94:O94"/>
    <mergeCell ref="G97:G98"/>
    <mergeCell ref="G99:G100"/>
    <mergeCell ref="M100:O100"/>
    <mergeCell ref="G101:G102"/>
    <mergeCell ref="G103:G104"/>
    <mergeCell ref="G82:H83"/>
    <mergeCell ref="K79:L79"/>
    <mergeCell ref="M79:N79"/>
    <mergeCell ref="G78:G81"/>
    <mergeCell ref="G71:G72"/>
    <mergeCell ref="C39:C40"/>
    <mergeCell ref="C41:C42"/>
    <mergeCell ref="C43:C44"/>
    <mergeCell ref="C45:C46"/>
    <mergeCell ref="C47:C48"/>
    <mergeCell ref="C49:C50"/>
    <mergeCell ref="B51:B52"/>
    <mergeCell ref="B53:B54"/>
    <mergeCell ref="B55:B56"/>
    <mergeCell ref="E39:E40"/>
    <mergeCell ref="E41:E42"/>
    <mergeCell ref="E43:E44"/>
    <mergeCell ref="E45:E46"/>
    <mergeCell ref="E47:E48"/>
    <mergeCell ref="E49:E50"/>
    <mergeCell ref="E51:E52"/>
    <mergeCell ref="D39:D40"/>
    <mergeCell ref="D41:D42"/>
    <mergeCell ref="C63:C64"/>
    <mergeCell ref="C65:C66"/>
    <mergeCell ref="C67:C68"/>
    <mergeCell ref="D65:D66"/>
    <mergeCell ref="H61:H62"/>
    <mergeCell ref="I61:I62"/>
    <mergeCell ref="E53:E54"/>
    <mergeCell ref="C37:C38"/>
    <mergeCell ref="D37:D38"/>
    <mergeCell ref="E37:E38"/>
    <mergeCell ref="C57:C58"/>
    <mergeCell ref="C59:C60"/>
    <mergeCell ref="D57:D58"/>
    <mergeCell ref="D59:D60"/>
    <mergeCell ref="E57:E58"/>
    <mergeCell ref="E59:E60"/>
    <mergeCell ref="D43:D44"/>
    <mergeCell ref="D45:D46"/>
    <mergeCell ref="D47:D48"/>
    <mergeCell ref="D49:D50"/>
    <mergeCell ref="D51:D52"/>
    <mergeCell ref="C53:C54"/>
    <mergeCell ref="D53:D54"/>
    <mergeCell ref="C51:C52"/>
  </mergeCells>
  <phoneticPr fontId="2" type="noConversion"/>
  <printOptions horizontalCentered="1"/>
  <pageMargins left="0.7" right="0.7" top="0.75" bottom="0.75" header="0.3" footer="0.3"/>
  <pageSetup paperSize="8" scale="63" orientation="landscape" r:id="rId1"/>
  <headerFooter alignWithMargins="0"/>
  <rowBreaks count="1" manualBreakCount="1">
    <brk id="79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-0.249977111117893"/>
    <pageSetUpPr autoPageBreaks="0" fitToPage="1"/>
  </sheetPr>
  <dimension ref="B1:AQ127"/>
  <sheetViews>
    <sheetView topLeftCell="D1" zoomScale="85" zoomScaleNormal="85" zoomScaleSheetLayoutView="100" workbookViewId="0">
      <selection activeCell="H60" sqref="H60:H61"/>
    </sheetView>
  </sheetViews>
  <sheetFormatPr defaultColWidth="8.77734375" defaultRowHeight="14.1" customHeight="1"/>
  <cols>
    <col min="1" max="2" width="8.77734375" style="2"/>
    <col min="3" max="3" width="10.21875" style="2" bestFit="1" customWidth="1"/>
    <col min="4" max="4" width="7.6640625" style="2" customWidth="1"/>
    <col min="5" max="5" width="9.77734375" style="2" bestFit="1" customWidth="1"/>
    <col min="6" max="6" width="8.77734375" style="2"/>
    <col min="7" max="7" width="13.21875" style="2" customWidth="1"/>
    <col min="8" max="9" width="9.21875" style="2" customWidth="1"/>
    <col min="10" max="13" width="11.6640625" style="2" customWidth="1"/>
    <col min="14" max="14" width="12.21875" style="2" bestFit="1" customWidth="1"/>
    <col min="15" max="15" width="14.44140625" style="2" customWidth="1"/>
    <col min="16" max="16" width="14.88671875" style="2" customWidth="1"/>
    <col min="17" max="17" width="13.5546875" style="2" customWidth="1"/>
    <col min="18" max="18" width="12.33203125" style="2" customWidth="1"/>
    <col min="19" max="19" width="11.109375" style="2" customWidth="1"/>
    <col min="20" max="20" width="14" style="2" customWidth="1"/>
    <col min="21" max="21" width="4.5546875" style="2" customWidth="1"/>
    <col min="22" max="22" width="10.77734375" style="2" customWidth="1"/>
    <col min="23" max="23" width="15.21875" style="2" bestFit="1" customWidth="1"/>
    <col min="24" max="24" width="10.33203125" style="2" bestFit="1" customWidth="1"/>
    <col min="25" max="25" width="10.6640625" style="2" bestFit="1" customWidth="1"/>
    <col min="26" max="26" width="18.33203125" style="2" customWidth="1"/>
    <col min="27" max="27" width="8.77734375" style="2" customWidth="1"/>
    <col min="28" max="28" width="11.77734375" style="2" customWidth="1"/>
    <col min="29" max="29" width="8.6640625" style="2" customWidth="1"/>
    <col min="30" max="30" width="9.6640625" style="2" customWidth="1"/>
    <col min="31" max="31" width="15.77734375" style="2" customWidth="1"/>
    <col min="32" max="32" width="13.5546875" style="2" bestFit="1" customWidth="1"/>
    <col min="33" max="33" width="14.44140625" style="2" bestFit="1" customWidth="1"/>
    <col min="34" max="34" width="15.44140625" style="2" bestFit="1" customWidth="1"/>
    <col min="35" max="35" width="10.5546875" style="2" bestFit="1" customWidth="1"/>
    <col min="36" max="16384" width="8.77734375" style="2"/>
  </cols>
  <sheetData>
    <row r="1" spans="3:31" ht="14.1" customHeight="1"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</row>
    <row r="2" spans="3:31" ht="18" customHeight="1" thickBot="1">
      <c r="F2" s="77"/>
      <c r="G2" s="839" t="s">
        <v>243</v>
      </c>
      <c r="H2" s="839"/>
      <c r="I2" s="839"/>
      <c r="J2" s="839"/>
      <c r="K2" s="839"/>
      <c r="L2" s="840"/>
      <c r="M2" s="70"/>
      <c r="N2" s="1133" t="s">
        <v>33</v>
      </c>
      <c r="O2" s="839"/>
      <c r="P2" s="839"/>
      <c r="Q2" s="839"/>
      <c r="R2" s="839"/>
      <c r="S2" s="839"/>
      <c r="T2" s="840"/>
    </row>
    <row r="3" spans="3:31" ht="17.100000000000001" customHeight="1">
      <c r="E3" s="310">
        <v>0.7</v>
      </c>
      <c r="F3" s="77"/>
      <c r="G3" s="72" t="s">
        <v>52</v>
      </c>
      <c r="H3" s="844" t="s">
        <v>229</v>
      </c>
      <c r="I3" s="845"/>
      <c r="J3" s="845"/>
      <c r="K3" s="845"/>
      <c r="L3" s="846"/>
      <c r="M3" s="51"/>
      <c r="N3" s="53" t="s">
        <v>65</v>
      </c>
      <c r="O3" s="29"/>
      <c r="P3" s="84" t="s">
        <v>61</v>
      </c>
      <c r="Q3" s="30"/>
      <c r="R3" s="31" t="s">
        <v>10</v>
      </c>
      <c r="S3" s="847" t="s">
        <v>51</v>
      </c>
      <c r="T3" s="848"/>
    </row>
    <row r="4" spans="3:31" ht="17.100000000000001" customHeight="1" thickBot="1">
      <c r="E4" s="311">
        <f>J23/(J14*E3)</f>
        <v>2.7720435872574272</v>
      </c>
      <c r="F4" s="77"/>
      <c r="G4" s="73" t="s">
        <v>11</v>
      </c>
      <c r="H4" s="849" t="s">
        <v>230</v>
      </c>
      <c r="I4" s="850"/>
      <c r="J4" s="850"/>
      <c r="K4" s="850"/>
      <c r="L4" s="851"/>
      <c r="M4" s="51"/>
      <c r="N4" s="279" t="s">
        <v>4</v>
      </c>
      <c r="O4" s="852" t="str">
        <f>INDEX($N$103:$R$103,MATCH($H$78,$N$102:$R$102,1))</f>
        <v>2000세대 이상</v>
      </c>
      <c r="P4" s="852"/>
      <c r="Q4" s="853"/>
      <c r="R4" s="32">
        <f>INDEX($N$104:$R$104,MATCH($H$78,$N$102:$R$102,1))</f>
        <v>20</v>
      </c>
      <c r="S4" s="21"/>
      <c r="T4" s="67"/>
    </row>
    <row r="5" spans="3:31" ht="17.100000000000001" customHeight="1">
      <c r="F5" s="77"/>
      <c r="G5" s="73" t="s">
        <v>27</v>
      </c>
      <c r="H5" s="849" t="s">
        <v>231</v>
      </c>
      <c r="I5" s="850"/>
      <c r="J5" s="850"/>
      <c r="K5" s="850"/>
      <c r="L5" s="851"/>
      <c r="M5" s="51"/>
      <c r="N5" s="280" t="s">
        <v>5</v>
      </c>
      <c r="O5" s="857" t="s">
        <v>25</v>
      </c>
      <c r="P5" s="857"/>
      <c r="Q5" s="861"/>
      <c r="R5" s="33" t="s">
        <v>12</v>
      </c>
      <c r="S5" s="22"/>
      <c r="T5" s="68"/>
    </row>
    <row r="6" spans="3:31" ht="17.100000000000001" customHeight="1">
      <c r="F6" s="77"/>
      <c r="G6" s="73" t="s">
        <v>39</v>
      </c>
      <c r="H6" s="50" t="s">
        <v>235</v>
      </c>
      <c r="I6" s="185">
        <f>ROUNDUP(E4,0)</f>
        <v>3</v>
      </c>
      <c r="J6" s="186"/>
      <c r="K6" s="186"/>
      <c r="L6" s="186"/>
      <c r="M6" s="51"/>
      <c r="N6" s="280" t="s">
        <v>6</v>
      </c>
      <c r="O6" s="862">
        <f>H78</f>
        <v>4706</v>
      </c>
      <c r="P6" s="862"/>
      <c r="Q6" s="23">
        <f>IF(H78&gt;=50, ROUNDUP((10+(H78-50)*0.05),2), "해당없음")</f>
        <v>242.8</v>
      </c>
      <c r="R6" s="277">
        <v>280</v>
      </c>
      <c r="S6" s="1143" t="s">
        <v>13</v>
      </c>
      <c r="T6" s="858"/>
    </row>
    <row r="7" spans="3:31" ht="17.100000000000001" customHeight="1">
      <c r="F7" s="77"/>
      <c r="G7" s="74" t="s">
        <v>40</v>
      </c>
      <c r="H7" s="863" t="s">
        <v>78</v>
      </c>
      <c r="I7" s="864"/>
      <c r="J7" s="864"/>
      <c r="K7" s="864"/>
      <c r="L7" s="865"/>
      <c r="M7" s="51"/>
      <c r="N7" s="281" t="s">
        <v>66</v>
      </c>
      <c r="O7" s="24"/>
      <c r="P7" s="63"/>
      <c r="Q7" s="25"/>
      <c r="R7" s="363">
        <v>300</v>
      </c>
      <c r="S7" s="1143"/>
      <c r="T7" s="858"/>
    </row>
    <row r="8" spans="3:31" ht="17.100000000000001" customHeight="1">
      <c r="F8" s="77"/>
      <c r="G8" s="1134" t="s">
        <v>41</v>
      </c>
      <c r="H8" s="884" t="s">
        <v>3</v>
      </c>
      <c r="I8" s="885"/>
      <c r="J8" s="325">
        <v>182618.4</v>
      </c>
      <c r="K8" s="331">
        <f t="shared" ref="K8" si="0">ROUNDDOWN(J8*0.3025,2)</f>
        <v>55242.06</v>
      </c>
      <c r="L8" s="105">
        <f>J8/$J$8</f>
        <v>1</v>
      </c>
      <c r="M8" s="51"/>
      <c r="N8" s="279" t="s">
        <v>67</v>
      </c>
      <c r="O8" s="1092" t="s">
        <v>75</v>
      </c>
      <c r="P8" s="868" t="s">
        <v>146</v>
      </c>
      <c r="Q8" s="26">
        <v>500</v>
      </c>
      <c r="R8" s="361">
        <v>1100</v>
      </c>
      <c r="S8" s="27"/>
      <c r="T8" s="69"/>
      <c r="Y8" s="173"/>
    </row>
    <row r="9" spans="3:31" ht="17.100000000000001" customHeight="1">
      <c r="F9" s="77"/>
      <c r="G9" s="1135"/>
      <c r="H9" s="1137" t="s">
        <v>14</v>
      </c>
      <c r="I9" s="65" t="s">
        <v>232</v>
      </c>
      <c r="J9" s="326">
        <v>6830.9</v>
      </c>
      <c r="K9" s="332">
        <f>ROUNDDOWN(J9*0.3025,2)</f>
        <v>2066.34</v>
      </c>
      <c r="L9" s="15">
        <f>J9/$J$8</f>
        <v>3.7405321698142133E-2</v>
      </c>
      <c r="M9" s="189"/>
      <c r="N9" s="280" t="s">
        <v>24</v>
      </c>
      <c r="O9" s="1093"/>
      <c r="P9" s="869"/>
      <c r="Q9" s="26">
        <v>725</v>
      </c>
      <c r="R9" s="362">
        <v>1400</v>
      </c>
      <c r="S9" s="82"/>
      <c r="T9" s="68"/>
    </row>
    <row r="10" spans="3:31" ht="17.100000000000001" customHeight="1">
      <c r="C10" s="130" t="s">
        <v>158</v>
      </c>
      <c r="D10" s="289">
        <v>3</v>
      </c>
      <c r="E10" s="312">
        <f>$H$78*D10</f>
        <v>14118</v>
      </c>
      <c r="F10" s="77"/>
      <c r="G10" s="1135"/>
      <c r="H10" s="1138"/>
      <c r="I10" s="65" t="s">
        <v>233</v>
      </c>
      <c r="J10" s="326">
        <v>1000</v>
      </c>
      <c r="K10" s="332">
        <f>ROUNDDOWN(J10*0.3025,2)</f>
        <v>302.5</v>
      </c>
      <c r="L10" s="15">
        <f>J10/$J$8</f>
        <v>5.4758994712471474E-3</v>
      </c>
      <c r="M10" s="51"/>
      <c r="N10" s="280" t="s">
        <v>35</v>
      </c>
      <c r="O10" s="1093"/>
      <c r="P10" s="870"/>
      <c r="Q10" s="26">
        <v>298</v>
      </c>
      <c r="R10" s="277">
        <v>650</v>
      </c>
      <c r="S10" s="28"/>
      <c r="T10" s="68"/>
      <c r="W10" s="130"/>
      <c r="X10" s="149"/>
    </row>
    <row r="11" spans="3:31" ht="17.100000000000001" customHeight="1">
      <c r="F11" s="77"/>
      <c r="G11" s="1135"/>
      <c r="H11" s="1138"/>
      <c r="I11" s="65" t="s">
        <v>234</v>
      </c>
      <c r="J11" s="326">
        <f>H78*3</f>
        <v>14118</v>
      </c>
      <c r="K11" s="332">
        <f>ROUNDDOWN(J11*0.3025,2)</f>
        <v>4270.6899999999996</v>
      </c>
      <c r="L11" s="15">
        <f>J11/$J$8</f>
        <v>7.7308748735067226E-2</v>
      </c>
      <c r="M11" s="51"/>
      <c r="N11" s="55" t="s">
        <v>88</v>
      </c>
      <c r="O11" s="1093"/>
      <c r="P11" s="147" t="str">
        <f>IF(H78&gt;=500,"500세대이상 의무설치", "해당없음")</f>
        <v>500세대이상 의무설치</v>
      </c>
      <c r="Q11" s="26" t="str">
        <f>IF(H78&gt;=500,"66㎡ 이상", "해당없음")</f>
        <v>66㎡ 이상</v>
      </c>
      <c r="R11" s="250">
        <v>600</v>
      </c>
      <c r="S11" s="28"/>
      <c r="T11" s="68"/>
    </row>
    <row r="12" spans="3:31" ht="17.100000000000001" customHeight="1">
      <c r="F12" s="77"/>
      <c r="G12" s="1135"/>
      <c r="H12" s="1138"/>
      <c r="I12" s="65"/>
      <c r="J12" s="326"/>
      <c r="K12" s="332"/>
      <c r="L12" s="15"/>
      <c r="M12" s="51"/>
      <c r="N12" s="55" t="s">
        <v>34</v>
      </c>
      <c r="O12" s="1093"/>
      <c r="P12" s="61"/>
      <c r="Q12" s="47"/>
      <c r="R12" s="277">
        <v>5500</v>
      </c>
      <c r="S12" s="1140"/>
      <c r="T12" s="1141"/>
    </row>
    <row r="13" spans="3:31" ht="16.5" customHeight="1">
      <c r="F13" s="77"/>
      <c r="G13" s="1135"/>
      <c r="H13" s="1139"/>
      <c r="I13" s="65" t="s">
        <v>47</v>
      </c>
      <c r="J13" s="327">
        <f>SUM(J9:J12)</f>
        <v>21948.9</v>
      </c>
      <c r="K13" s="333">
        <f>ROUNDDOWN(J13*0.3025,2)</f>
        <v>6639.54</v>
      </c>
      <c r="L13" s="102">
        <f>J13/$J$8</f>
        <v>0.12018996990445652</v>
      </c>
      <c r="M13" s="51"/>
      <c r="N13" s="55" t="s">
        <v>76</v>
      </c>
      <c r="O13" s="1093"/>
      <c r="P13" s="202" t="str">
        <f>IF(H78&gt;=500,"500세대이상 의무설치", "해당없음")</f>
        <v>500세대이상 의무설치</v>
      </c>
      <c r="Q13" s="47"/>
      <c r="R13" s="277">
        <v>3800</v>
      </c>
      <c r="S13" s="22"/>
      <c r="T13" s="68"/>
      <c r="W13" s="130"/>
      <c r="X13" s="177"/>
    </row>
    <row r="14" spans="3:31" ht="17.100000000000001" customHeight="1">
      <c r="F14" s="77"/>
      <c r="G14" s="1136"/>
      <c r="H14" s="1115" t="s">
        <v>42</v>
      </c>
      <c r="I14" s="1116"/>
      <c r="J14" s="328">
        <f>J8-J13</f>
        <v>160669.5</v>
      </c>
      <c r="K14" s="334">
        <f>ROUNDDOWN(J14*0.3025,2)</f>
        <v>48602.52</v>
      </c>
      <c r="L14" s="18">
        <f>J14/$J$8</f>
        <v>0.87981003009554348</v>
      </c>
      <c r="M14" s="51"/>
      <c r="N14" s="55" t="s">
        <v>77</v>
      </c>
      <c r="O14" s="1094"/>
      <c r="P14" s="202" t="str">
        <f>IF(H78&lt;100,"해당없음",IF(H78&lt;300,"지역여건에 맞게 설치",IF(H78&lt;1000,"200㎡+세대당 1㎡",IF(H78&gt;1000,"500㎡+세대당 0.7㎡"))))</f>
        <v>500㎡+세대당 0.7㎡</v>
      </c>
      <c r="Q14" s="26">
        <f>500+(H78*0.7)</f>
        <v>3794.2</v>
      </c>
      <c r="R14" s="283">
        <v>3700</v>
      </c>
      <c r="S14" s="1095"/>
      <c r="T14" s="1142"/>
      <c r="W14" s="177"/>
    </row>
    <row r="15" spans="3:31" ht="17.100000000000001" customHeight="1">
      <c r="C15" s="2">
        <v>120698</v>
      </c>
      <c r="F15" s="77"/>
      <c r="G15" s="881" t="s">
        <v>43</v>
      </c>
      <c r="H15" s="1145" t="s">
        <v>70</v>
      </c>
      <c r="I15" s="1082"/>
      <c r="J15" s="1146" t="s">
        <v>71</v>
      </c>
      <c r="K15" s="1147"/>
      <c r="L15" s="335" t="s">
        <v>72</v>
      </c>
      <c r="M15" s="51"/>
      <c r="N15" s="282" t="s">
        <v>26</v>
      </c>
      <c r="O15" s="892" t="s">
        <v>238</v>
      </c>
      <c r="P15" s="893"/>
      <c r="Q15" s="198">
        <f>500+($H$78*2)*1.25</f>
        <v>12265</v>
      </c>
      <c r="R15" s="254">
        <f>R8+R9+R10+R11+R12+R13+R14</f>
        <v>16750</v>
      </c>
      <c r="S15" s="894" t="s">
        <v>80</v>
      </c>
      <c r="T15" s="895"/>
      <c r="W15" s="177"/>
      <c r="X15" s="889"/>
      <c r="Y15" s="889"/>
      <c r="Z15" s="889"/>
      <c r="AA15" s="889"/>
      <c r="AB15" s="889"/>
      <c r="AC15" s="889"/>
      <c r="AD15" s="889"/>
      <c r="AE15" s="889"/>
    </row>
    <row r="16" spans="3:31" ht="17.100000000000001" customHeight="1">
      <c r="C16" s="2">
        <v>93504.3</v>
      </c>
      <c r="D16" s="145">
        <f>C16/C15</f>
        <v>0.77469634956668709</v>
      </c>
      <c r="F16" s="77"/>
      <c r="G16" s="882"/>
      <c r="H16" s="1112" t="s">
        <v>44</v>
      </c>
      <c r="I16" s="66" t="s">
        <v>45</v>
      </c>
      <c r="J16" s="329">
        <f>N78+R8+R9+R7</f>
        <v>480773.66000000003</v>
      </c>
      <c r="K16" s="332">
        <f t="shared" ref="K16:K24" si="1">ROUNDDOWN(J16*0.3025,2)</f>
        <v>145434.03</v>
      </c>
      <c r="L16" s="1148">
        <f>J16/$J$22</f>
        <v>0.99751023738517164</v>
      </c>
      <c r="M16" s="51"/>
      <c r="N16" s="279" t="s">
        <v>36</v>
      </c>
      <c r="O16" s="1151" t="s">
        <v>85</v>
      </c>
      <c r="P16" s="1152"/>
      <c r="Q16" s="199">
        <f>J14*0.15</f>
        <v>24100.424999999999</v>
      </c>
      <c r="R16" s="200">
        <f>ROUNDUP(Q16,-2)+100</f>
        <v>24300</v>
      </c>
      <c r="S16" s="1153"/>
      <c r="T16" s="1154"/>
      <c r="V16" s="337" t="s">
        <v>188</v>
      </c>
      <c r="X16" s="889"/>
      <c r="Y16" s="889"/>
      <c r="Z16" s="889"/>
      <c r="AA16" s="889"/>
      <c r="AB16" s="889"/>
      <c r="AC16" s="889"/>
      <c r="AD16" s="889"/>
      <c r="AE16" s="889"/>
    </row>
    <row r="17" spans="6:30" ht="17.100000000000001" customHeight="1">
      <c r="F17" s="77"/>
      <c r="G17" s="882"/>
      <c r="H17" s="1113"/>
      <c r="I17" s="66" t="s">
        <v>46</v>
      </c>
      <c r="J17" s="329">
        <f>O78+Q78+R6+R10+R12+R11</f>
        <v>304558</v>
      </c>
      <c r="K17" s="332">
        <f t="shared" si="1"/>
        <v>92128.79</v>
      </c>
      <c r="L17" s="1149"/>
      <c r="M17" s="51"/>
      <c r="N17" s="279" t="s">
        <v>233</v>
      </c>
      <c r="O17" s="1151"/>
      <c r="P17" s="1152"/>
      <c r="Q17" s="199"/>
      <c r="R17" s="200">
        <v>1000</v>
      </c>
      <c r="S17" s="1153"/>
      <c r="T17" s="1154"/>
      <c r="V17" s="338">
        <v>42</v>
      </c>
      <c r="X17" s="174"/>
      <c r="Y17" s="890"/>
      <c r="Z17" s="891"/>
      <c r="AA17" s="907"/>
      <c r="AB17" s="891"/>
      <c r="AC17" s="891"/>
      <c r="AD17" s="891"/>
    </row>
    <row r="18" spans="6:30" ht="17.100000000000001" customHeight="1">
      <c r="F18" s="77"/>
      <c r="G18" s="882"/>
      <c r="H18" s="1114"/>
      <c r="I18" s="66" t="s">
        <v>47</v>
      </c>
      <c r="J18" s="329">
        <f>SUM(J16:J17)</f>
        <v>785331.66</v>
      </c>
      <c r="K18" s="332">
        <f t="shared" si="1"/>
        <v>237562.82</v>
      </c>
      <c r="L18" s="1150"/>
      <c r="M18" s="51"/>
      <c r="N18" s="1155" t="s">
        <v>37</v>
      </c>
      <c r="O18" s="874" t="s">
        <v>81</v>
      </c>
      <c r="P18" s="197" t="s">
        <v>122</v>
      </c>
      <c r="Q18" s="284">
        <f>ROUNDUP((SUMPRODUCT(H36:H51,J36:J51)+SUMPRODUCT(H56:H63,J56:J63))/75,0)</f>
        <v>4207</v>
      </c>
      <c r="R18" s="1158">
        <f>H78*S18</f>
        <v>7059</v>
      </c>
      <c r="S18" s="968">
        <v>1.5</v>
      </c>
      <c r="T18" s="969"/>
      <c r="X18" s="175"/>
      <c r="Y18" s="908"/>
      <c r="Z18" s="909"/>
      <c r="AA18" s="910"/>
      <c r="AB18" s="911"/>
      <c r="AC18" s="911"/>
      <c r="AD18" s="911"/>
    </row>
    <row r="19" spans="6:30" ht="17.100000000000001" customHeight="1">
      <c r="F19" s="77"/>
      <c r="G19" s="882"/>
      <c r="H19" s="1161" t="s">
        <v>38</v>
      </c>
      <c r="I19" s="65" t="s">
        <v>45</v>
      </c>
      <c r="J19" s="329">
        <f>Q85</f>
        <v>1200</v>
      </c>
      <c r="K19" s="332">
        <f t="shared" si="1"/>
        <v>363</v>
      </c>
      <c r="L19" s="1148">
        <f>J19/$J$22</f>
        <v>2.4897626148283705E-3</v>
      </c>
      <c r="M19" s="51"/>
      <c r="N19" s="1156"/>
      <c r="O19" s="875"/>
      <c r="P19" s="150" t="s">
        <v>123</v>
      </c>
      <c r="Q19" s="286">
        <f>ROUNDUP((SUMPRODUCT(H64:H75,J64:J75))/65,0)</f>
        <v>522</v>
      </c>
      <c r="R19" s="1159"/>
      <c r="S19" s="970"/>
      <c r="T19" s="971"/>
      <c r="X19" s="176"/>
      <c r="Y19" s="908"/>
      <c r="Z19" s="909"/>
      <c r="AA19" s="910"/>
      <c r="AB19" s="911"/>
      <c r="AC19" s="911"/>
      <c r="AD19" s="911"/>
    </row>
    <row r="20" spans="6:30" ht="17.100000000000001" customHeight="1">
      <c r="F20" s="77"/>
      <c r="G20" s="882"/>
      <c r="H20" s="1162"/>
      <c r="I20" s="65" t="s">
        <v>46</v>
      </c>
      <c r="J20" s="329">
        <f>Q87</f>
        <v>7210</v>
      </c>
      <c r="K20" s="332">
        <f t="shared" si="1"/>
        <v>2181.02</v>
      </c>
      <c r="L20" s="1149"/>
      <c r="M20" s="51"/>
      <c r="N20" s="1156"/>
      <c r="O20" s="876"/>
      <c r="P20" s="151" t="s">
        <v>82</v>
      </c>
      <c r="Q20" s="285">
        <f>SUM(Q18:Q19)</f>
        <v>4729</v>
      </c>
      <c r="R20" s="1159"/>
      <c r="S20" s="970"/>
      <c r="T20" s="971"/>
    </row>
    <row r="21" spans="6:30" ht="17.100000000000001" customHeight="1">
      <c r="F21" s="77"/>
      <c r="G21" s="882"/>
      <c r="H21" s="1163"/>
      <c r="I21" s="65" t="s">
        <v>47</v>
      </c>
      <c r="J21" s="329">
        <f>J19+J20</f>
        <v>8410</v>
      </c>
      <c r="K21" s="332">
        <f t="shared" si="1"/>
        <v>2544.02</v>
      </c>
      <c r="L21" s="1150"/>
      <c r="M21" s="51"/>
      <c r="N21" s="1156"/>
      <c r="O21" s="874" t="s">
        <v>86</v>
      </c>
      <c r="P21" s="159" t="s">
        <v>240</v>
      </c>
      <c r="Q21" s="284">
        <f>(SUM(H36:H47)+SUM(H56:H59))*0.8</f>
        <v>1553.6000000000001</v>
      </c>
      <c r="R21" s="1159"/>
      <c r="S21" s="970"/>
      <c r="T21" s="971"/>
      <c r="U21"/>
      <c r="V21"/>
    </row>
    <row r="22" spans="6:30" ht="17.100000000000001" customHeight="1">
      <c r="F22" s="77"/>
      <c r="G22" s="882"/>
      <c r="H22" s="1161" t="s">
        <v>1</v>
      </c>
      <c r="I22" s="65" t="s">
        <v>45</v>
      </c>
      <c r="J22" s="326">
        <f>J16+J19</f>
        <v>481973.66000000003</v>
      </c>
      <c r="K22" s="332">
        <f t="shared" si="1"/>
        <v>145797.03</v>
      </c>
      <c r="L22" s="1148">
        <f>J22/$J$22</f>
        <v>1</v>
      </c>
      <c r="M22" s="276"/>
      <c r="N22" s="1156"/>
      <c r="O22" s="875"/>
      <c r="P22" s="160" t="s">
        <v>241</v>
      </c>
      <c r="Q22" s="286">
        <f>(SUM(H48:H51)+SUM(H60:H75))*1</f>
        <v>2764</v>
      </c>
      <c r="R22" s="1159"/>
      <c r="S22" s="970"/>
      <c r="T22" s="971"/>
      <c r="U22"/>
      <c r="V22"/>
    </row>
    <row r="23" spans="6:30" ht="17.100000000000001" customHeight="1">
      <c r="F23" s="77"/>
      <c r="G23" s="882"/>
      <c r="H23" s="1162"/>
      <c r="I23" s="65" t="s">
        <v>46</v>
      </c>
      <c r="J23" s="326">
        <f>J17+J20</f>
        <v>311768</v>
      </c>
      <c r="K23" s="332">
        <f t="shared" si="1"/>
        <v>94309.82</v>
      </c>
      <c r="L23" s="1149"/>
      <c r="M23" s="51"/>
      <c r="N23" s="1156"/>
      <c r="O23" s="876"/>
      <c r="P23" s="152" t="s">
        <v>82</v>
      </c>
      <c r="Q23" s="285">
        <f>SUM(Q21:Q22)</f>
        <v>4317.6000000000004</v>
      </c>
      <c r="R23" s="1160"/>
      <c r="S23" s="972"/>
      <c r="T23" s="973"/>
      <c r="U23"/>
      <c r="V23"/>
    </row>
    <row r="24" spans="6:30" ht="17.100000000000001" customHeight="1">
      <c r="F24" s="77"/>
      <c r="G24" s="1144"/>
      <c r="H24" s="1164"/>
      <c r="I24" s="263" t="s">
        <v>1</v>
      </c>
      <c r="J24" s="330">
        <f>J18+J21</f>
        <v>793741.66</v>
      </c>
      <c r="K24" s="334">
        <f t="shared" si="1"/>
        <v>240106.85</v>
      </c>
      <c r="L24" s="1165"/>
      <c r="M24" s="51"/>
      <c r="N24" s="1156"/>
      <c r="O24" s="153" t="s">
        <v>38</v>
      </c>
      <c r="P24" s="154">
        <v>134</v>
      </c>
      <c r="Q24" s="287">
        <f>(M89+O89)/P24</f>
        <v>45.522388059701491</v>
      </c>
      <c r="R24" s="290">
        <f>ROUNDUP(Q24*S24,0)</f>
        <v>55</v>
      </c>
      <c r="S24" s="1166">
        <v>1.2</v>
      </c>
      <c r="T24" s="1167"/>
      <c r="U24"/>
      <c r="V24"/>
      <c r="X24" s="918"/>
      <c r="Y24" s="161"/>
      <c r="Z24" s="162"/>
      <c r="AA24" s="162"/>
      <c r="AB24" s="163"/>
      <c r="AC24" s="921"/>
      <c r="AD24" s="922"/>
    </row>
    <row r="25" spans="6:30" ht="17.100000000000001" customHeight="1">
      <c r="F25" s="77"/>
      <c r="G25" s="309"/>
      <c r="H25" s="1168"/>
      <c r="I25" s="1169"/>
      <c r="J25" s="303"/>
      <c r="K25" s="304"/>
      <c r="M25" s="51"/>
      <c r="N25" s="1157"/>
      <c r="O25" s="912" t="s">
        <v>69</v>
      </c>
      <c r="P25" s="913"/>
      <c r="Q25" s="288">
        <f>Q20+Q24</f>
        <v>4774.5223880597014</v>
      </c>
      <c r="R25" s="291">
        <f>SUM(R18+R24)</f>
        <v>7114</v>
      </c>
      <c r="S25" s="306"/>
      <c r="T25" s="307"/>
      <c r="U25"/>
      <c r="V25" s="313"/>
      <c r="X25" s="919"/>
      <c r="Y25" s="165"/>
      <c r="Z25" s="157"/>
      <c r="AA25" s="171"/>
      <c r="AB25" s="157"/>
      <c r="AC25" s="923"/>
      <c r="AD25" s="924"/>
    </row>
    <row r="26" spans="6:30" ht="17.100000000000001" customHeight="1">
      <c r="F26" s="77"/>
      <c r="G26" s="72" t="s">
        <v>48</v>
      </c>
      <c r="H26" s="1105">
        <f>J14*0.2842</f>
        <v>45662.2719</v>
      </c>
      <c r="I26" s="1106"/>
      <c r="J26" s="1107"/>
      <c r="K26" s="12">
        <f>ROUNDDOWN(H26*0.3025,2)</f>
        <v>13812.83</v>
      </c>
      <c r="L26" s="1170">
        <v>50</v>
      </c>
      <c r="M26" s="51"/>
      <c r="N26" s="1172"/>
      <c r="O26" s="1173"/>
      <c r="P26" s="1173"/>
      <c r="Q26" s="1173"/>
      <c r="R26" s="1173"/>
      <c r="S26" s="1173"/>
      <c r="T26" s="1173"/>
      <c r="U26"/>
      <c r="V26" s="313"/>
      <c r="X26" s="919"/>
      <c r="Y26" s="165"/>
      <c r="Z26" s="157"/>
      <c r="AA26" s="314"/>
      <c r="AB26" s="157"/>
      <c r="AC26" s="925"/>
      <c r="AD26" s="926"/>
    </row>
    <row r="27" spans="6:30" ht="17.100000000000001" customHeight="1">
      <c r="F27" s="77"/>
      <c r="G27" s="74" t="s">
        <v>0</v>
      </c>
      <c r="H27" s="1108">
        <f>H26/J14</f>
        <v>0.28420000000000001</v>
      </c>
      <c r="I27" s="1109"/>
      <c r="J27" s="1109"/>
      <c r="K27" s="1110"/>
      <c r="L27" s="1171"/>
      <c r="M27" s="51"/>
      <c r="N27" s="879" t="s">
        <v>236</v>
      </c>
      <c r="O27" s="339">
        <f>H29</f>
        <v>2.9997831573509597</v>
      </c>
      <c r="P27" s="340">
        <v>2.5</v>
      </c>
      <c r="Q27" s="341">
        <v>2</v>
      </c>
      <c r="R27" s="342">
        <f>(O27-P27)/Q27</f>
        <v>0.24989157867547984</v>
      </c>
      <c r="S27" s="1175">
        <f>R28</f>
        <v>40149.955000000009</v>
      </c>
      <c r="T27" s="1177">
        <f>P29+P30+P31</f>
        <v>472</v>
      </c>
      <c r="U27"/>
      <c r="V27" s="313"/>
      <c r="X27" s="919"/>
      <c r="Y27" s="165"/>
      <c r="Z27" s="157"/>
      <c r="AA27" s="314"/>
      <c r="AB27" s="157"/>
      <c r="AC27" s="925"/>
      <c r="AD27" s="926"/>
    </row>
    <row r="28" spans="6:30" ht="17.100000000000001" customHeight="1">
      <c r="F28" s="77"/>
      <c r="G28" s="75" t="s">
        <v>64</v>
      </c>
      <c r="H28" s="1105">
        <f>J22</f>
        <v>481973.66000000003</v>
      </c>
      <c r="I28" s="1106"/>
      <c r="J28" s="1107"/>
      <c r="K28" s="12">
        <f>ROUNDDOWN(H28*0.3025,2)</f>
        <v>145797.03</v>
      </c>
      <c r="L28" s="1180" t="s">
        <v>201</v>
      </c>
      <c r="M28" s="51"/>
      <c r="N28" s="1174"/>
      <c r="O28" s="343"/>
      <c r="P28" s="344">
        <f>J14</f>
        <v>160669.5</v>
      </c>
      <c r="Q28" s="345">
        <f>R27</f>
        <v>0.24989157867547984</v>
      </c>
      <c r="R28" s="346">
        <f>P28*Q28</f>
        <v>40149.955000000009</v>
      </c>
      <c r="S28" s="1176"/>
      <c r="T28" s="1178"/>
      <c r="U28" s="274"/>
      <c r="V28" s="275"/>
      <c r="X28" s="919"/>
      <c r="Y28" s="167"/>
      <c r="Z28" s="168"/>
      <c r="AA28" s="172"/>
      <c r="AB28" s="168"/>
      <c r="AC28" s="925"/>
      <c r="AD28" s="926"/>
    </row>
    <row r="29" spans="6:30" ht="17.100000000000001" customHeight="1">
      <c r="F29" s="77"/>
      <c r="G29" s="74" t="s">
        <v>62</v>
      </c>
      <c r="H29" s="854">
        <f>H28/J14</f>
        <v>2.9997831573509597</v>
      </c>
      <c r="I29" s="855"/>
      <c r="J29" s="855"/>
      <c r="K29" s="856"/>
      <c r="L29" s="1181"/>
      <c r="M29" s="51"/>
      <c r="N29" s="1174"/>
      <c r="O29" s="347">
        <f>G45</f>
        <v>49</v>
      </c>
      <c r="P29" s="348">
        <f>H42</f>
        <v>192</v>
      </c>
      <c r="Q29" s="349">
        <f>N42</f>
        <v>71.050000000000011</v>
      </c>
      <c r="R29" s="350">
        <f>P29*Q29</f>
        <v>13641.600000000002</v>
      </c>
      <c r="S29" s="1182">
        <f>R29+R30+R31</f>
        <v>40216.200000000004</v>
      </c>
      <c r="T29" s="1178"/>
      <c r="U29" s="274"/>
      <c r="V29" s="378">
        <f>S29-S27</f>
        <v>66.244999999995343</v>
      </c>
      <c r="W29" s="169"/>
      <c r="X29" s="919"/>
      <c r="Y29" s="165"/>
      <c r="Z29" s="157"/>
      <c r="AA29" s="170"/>
      <c r="AB29" s="157"/>
      <c r="AC29" s="927"/>
      <c r="AD29" s="929"/>
    </row>
    <row r="30" spans="6:30" ht="17.100000000000001" customHeight="1">
      <c r="F30" s="77"/>
      <c r="G30" s="72" t="s">
        <v>63</v>
      </c>
      <c r="H30" s="1088">
        <f>H78</f>
        <v>4706</v>
      </c>
      <c r="I30" s="1089"/>
      <c r="J30" s="1089"/>
      <c r="K30" s="1090"/>
      <c r="L30" s="20"/>
      <c r="M30" s="51"/>
      <c r="N30" s="1174"/>
      <c r="O30" s="351">
        <f>G47</f>
        <v>59</v>
      </c>
      <c r="P30" s="352">
        <f>H46</f>
        <v>190</v>
      </c>
      <c r="Q30" s="353">
        <f>N46</f>
        <v>85.350000000000009</v>
      </c>
      <c r="R30" s="354">
        <f>P30*Q30</f>
        <v>16216.500000000002</v>
      </c>
      <c r="S30" s="1183"/>
      <c r="T30" s="1178"/>
      <c r="U30"/>
      <c r="V30" s="1185"/>
      <c r="W30" s="169"/>
      <c r="X30" s="919"/>
      <c r="Y30" s="230"/>
      <c r="Z30" s="231"/>
      <c r="AA30" s="232"/>
      <c r="AB30" s="231"/>
      <c r="AC30" s="927"/>
      <c r="AD30" s="929"/>
    </row>
    <row r="31" spans="6:30" ht="17.100000000000001" customHeight="1">
      <c r="F31" s="77"/>
      <c r="G31" s="74" t="s">
        <v>37</v>
      </c>
      <c r="H31" s="949">
        <f>R25</f>
        <v>7114</v>
      </c>
      <c r="I31" s="950"/>
      <c r="J31" s="950"/>
      <c r="K31" s="164"/>
      <c r="L31" s="62">
        <f>$R$18/$H$78</f>
        <v>1.5</v>
      </c>
      <c r="M31" s="51"/>
      <c r="N31" s="1174"/>
      <c r="O31" s="355">
        <f>G51</f>
        <v>84</v>
      </c>
      <c r="P31" s="356">
        <f>H50</f>
        <v>90</v>
      </c>
      <c r="Q31" s="357">
        <f>N50</f>
        <v>115.09</v>
      </c>
      <c r="R31" s="346">
        <f>P31*Q31</f>
        <v>10358.1</v>
      </c>
      <c r="S31" s="1184"/>
      <c r="T31" s="1179"/>
      <c r="U31"/>
      <c r="V31" s="1186"/>
      <c r="X31" s="920"/>
      <c r="Y31" s="166"/>
      <c r="Z31" s="158"/>
      <c r="AA31" s="166"/>
      <c r="AB31" s="158"/>
      <c r="AC31" s="928"/>
      <c r="AD31" s="930"/>
    </row>
    <row r="32" spans="6:30" ht="6.75" customHeight="1">
      <c r="F32" s="77"/>
      <c r="G32" s="76"/>
      <c r="H32" s="57"/>
      <c r="I32" s="57"/>
      <c r="J32" s="57"/>
      <c r="K32" s="57"/>
      <c r="L32" s="57"/>
      <c r="M32" s="52"/>
      <c r="N32" s="57"/>
      <c r="O32" s="57"/>
      <c r="P32" s="57"/>
      <c r="Q32" s="57"/>
      <c r="R32" s="57"/>
      <c r="S32" s="57"/>
      <c r="T32" s="57"/>
      <c r="U32"/>
      <c r="V32" s="10"/>
    </row>
    <row r="33" spans="2:23" ht="17.25">
      <c r="F33" s="77"/>
      <c r="G33" s="951" t="s">
        <v>31</v>
      </c>
      <c r="H33" s="951"/>
      <c r="I33" s="951"/>
      <c r="J33" s="951"/>
      <c r="K33" s="951"/>
      <c r="L33" s="951"/>
      <c r="M33" s="951"/>
      <c r="N33" s="951"/>
      <c r="O33" s="951"/>
      <c r="P33" s="951"/>
      <c r="Q33" s="951"/>
      <c r="R33" s="951"/>
      <c r="S33" s="951"/>
      <c r="T33" s="952"/>
      <c r="W33" s="4"/>
    </row>
    <row r="34" spans="2:23" s="4" customFormat="1" ht="15.75" customHeight="1">
      <c r="B34" s="1122"/>
      <c r="C34" s="1122"/>
      <c r="D34" s="1122"/>
      <c r="E34" s="1122"/>
      <c r="F34" s="78"/>
      <c r="G34" s="957" t="s">
        <v>16</v>
      </c>
      <c r="H34" s="877" t="s">
        <v>2</v>
      </c>
      <c r="I34" s="877" t="s">
        <v>17</v>
      </c>
      <c r="J34" s="877" t="s">
        <v>18</v>
      </c>
      <c r="K34" s="877" t="s">
        <v>19</v>
      </c>
      <c r="L34" s="877"/>
      <c r="M34" s="877"/>
      <c r="N34" s="877" t="s">
        <v>8</v>
      </c>
      <c r="O34" s="877" t="s">
        <v>30</v>
      </c>
      <c r="P34" s="877"/>
      <c r="Q34" s="877"/>
      <c r="R34" s="877" t="s">
        <v>23</v>
      </c>
      <c r="S34" s="877" t="s">
        <v>20</v>
      </c>
      <c r="T34" s="956" t="s">
        <v>68</v>
      </c>
    </row>
    <row r="35" spans="2:23" s="4" customFormat="1" ht="15.75" customHeight="1">
      <c r="B35" s="1122"/>
      <c r="C35" s="1122"/>
      <c r="D35" s="1122"/>
      <c r="E35" s="1122"/>
      <c r="F35" s="78"/>
      <c r="G35" s="958"/>
      <c r="H35" s="878"/>
      <c r="I35" s="878"/>
      <c r="J35" s="878"/>
      <c r="K35" s="80" t="s">
        <v>21</v>
      </c>
      <c r="L35" s="80" t="s">
        <v>142</v>
      </c>
      <c r="M35" s="80" t="s">
        <v>22</v>
      </c>
      <c r="N35" s="878"/>
      <c r="O35" s="80" t="s">
        <v>28</v>
      </c>
      <c r="P35" s="80" t="s">
        <v>15</v>
      </c>
      <c r="Q35" s="80" t="s">
        <v>32</v>
      </c>
      <c r="R35" s="878"/>
      <c r="S35" s="878"/>
      <c r="T35" s="878"/>
      <c r="W35" s="2"/>
    </row>
    <row r="36" spans="2:23" ht="11.25" hidden="1" customHeight="1">
      <c r="B36" s="1127"/>
      <c r="C36" s="1121"/>
      <c r="D36" s="1121"/>
      <c r="E36" s="1121">
        <f>ROUNDUP(H78*0.05,0)</f>
        <v>236</v>
      </c>
      <c r="F36" s="1187" t="e">
        <f>H36/#REF!</f>
        <v>#REF!</v>
      </c>
      <c r="G36" s="297">
        <f>ROUNDDOWN(N37,0)</f>
        <v>17</v>
      </c>
      <c r="H36" s="1194"/>
      <c r="I36" s="1195">
        <f>H36/$H$78</f>
        <v>0</v>
      </c>
      <c r="J36" s="299">
        <f>J54</f>
        <v>39.96</v>
      </c>
      <c r="K36" s="299">
        <f>K54</f>
        <v>3.65</v>
      </c>
      <c r="L36" s="299">
        <f>L54</f>
        <v>14.8</v>
      </c>
      <c r="M36" s="299">
        <f>K36+L36</f>
        <v>18.45</v>
      </c>
      <c r="N36" s="299">
        <f>J36+M36</f>
        <v>58.41</v>
      </c>
      <c r="O36" s="299">
        <f>$O$78/$J$78*J36</f>
        <v>0.12009730749954128</v>
      </c>
      <c r="P36" s="299">
        <f>$P$78/$J$78*J36</f>
        <v>1.124339554971896</v>
      </c>
      <c r="Q36" s="299">
        <f>$Q$78/$J$78*J36</f>
        <v>33.910675745570479</v>
      </c>
      <c r="R36" s="299">
        <f>O36+P36+Q36</f>
        <v>35.155112608041918</v>
      </c>
      <c r="S36" s="299">
        <f>N36+R36</f>
        <v>93.565112608041915</v>
      </c>
      <c r="T36" s="1196" t="s">
        <v>216</v>
      </c>
      <c r="V36" s="905"/>
    </row>
    <row r="37" spans="2:23" ht="11.25" hidden="1" customHeight="1">
      <c r="B37" s="1076"/>
      <c r="C37" s="1121"/>
      <c r="D37" s="1121"/>
      <c r="E37" s="1121"/>
      <c r="F37" s="1187"/>
      <c r="G37" s="296">
        <v>39</v>
      </c>
      <c r="H37" s="1189"/>
      <c r="I37" s="1191"/>
      <c r="J37" s="298">
        <f t="shared" ref="J37:S37" si="2">ROUNDDOWN(J36*0.3025,2)</f>
        <v>12.08</v>
      </c>
      <c r="K37" s="298">
        <f t="shared" si="2"/>
        <v>1.1000000000000001</v>
      </c>
      <c r="L37" s="298">
        <f t="shared" si="2"/>
        <v>4.47</v>
      </c>
      <c r="M37" s="298">
        <f t="shared" si="2"/>
        <v>5.58</v>
      </c>
      <c r="N37" s="298">
        <f t="shared" si="2"/>
        <v>17.66</v>
      </c>
      <c r="O37" s="298">
        <f t="shared" si="2"/>
        <v>0.03</v>
      </c>
      <c r="P37" s="298">
        <f t="shared" si="2"/>
        <v>0.34</v>
      </c>
      <c r="Q37" s="298">
        <f t="shared" si="2"/>
        <v>10.25</v>
      </c>
      <c r="R37" s="298">
        <f t="shared" si="2"/>
        <v>10.63</v>
      </c>
      <c r="S37" s="298">
        <f t="shared" si="2"/>
        <v>28.3</v>
      </c>
      <c r="T37" s="1197"/>
      <c r="V37" s="906"/>
    </row>
    <row r="38" spans="2:23" ht="12" hidden="1" customHeight="1">
      <c r="B38" s="1127"/>
      <c r="C38" s="1121"/>
      <c r="D38" s="1121"/>
      <c r="E38" s="1121"/>
      <c r="F38" s="1187" t="e">
        <f>H38/#REF!</f>
        <v>#REF!</v>
      </c>
      <c r="G38" s="300">
        <f>ROUNDDOWN(N39,0)</f>
        <v>21</v>
      </c>
      <c r="H38" s="1188"/>
      <c r="I38" s="1190">
        <f>H38/$H$78</f>
        <v>0</v>
      </c>
      <c r="J38" s="302">
        <f>J56</f>
        <v>49.95</v>
      </c>
      <c r="K38" s="302">
        <f>K56</f>
        <v>4.5</v>
      </c>
      <c r="L38" s="302">
        <f>L56</f>
        <v>16.600000000000001</v>
      </c>
      <c r="M38" s="302">
        <f>K38+L38</f>
        <v>21.1</v>
      </c>
      <c r="N38" s="302">
        <f>M38+J38</f>
        <v>71.050000000000011</v>
      </c>
      <c r="O38" s="302">
        <f>$O$78/$J$78*J38</f>
        <v>0.1501216343744266</v>
      </c>
      <c r="P38" s="302">
        <f>$P$78/$J$78*J38</f>
        <v>1.4054244437148702</v>
      </c>
      <c r="Q38" s="302">
        <f>$Q$78/$J$78*J38</f>
        <v>42.388344681963098</v>
      </c>
      <c r="R38" s="315">
        <f>O38+P38+Q38</f>
        <v>43.943890760052398</v>
      </c>
      <c r="S38" s="302">
        <f>N38+R38</f>
        <v>114.99389076005241</v>
      </c>
      <c r="T38" s="1197"/>
      <c r="V38" s="130"/>
    </row>
    <row r="39" spans="2:23" ht="12" hidden="1" customHeight="1">
      <c r="B39" s="1076"/>
      <c r="C39" s="1121"/>
      <c r="D39" s="1121"/>
      <c r="E39" s="1121"/>
      <c r="F39" s="1187"/>
      <c r="G39" s="296">
        <f>ROUNDDOWN(J38,0)</f>
        <v>49</v>
      </c>
      <c r="H39" s="1189"/>
      <c r="I39" s="1191"/>
      <c r="J39" s="298">
        <f t="shared" ref="J39:S39" si="3">ROUNDDOWN(J38*0.3025,2)</f>
        <v>15.1</v>
      </c>
      <c r="K39" s="298">
        <f t="shared" si="3"/>
        <v>1.36</v>
      </c>
      <c r="L39" s="298">
        <f t="shared" si="3"/>
        <v>5.0199999999999996</v>
      </c>
      <c r="M39" s="298">
        <f t="shared" si="3"/>
        <v>6.38</v>
      </c>
      <c r="N39" s="298">
        <f t="shared" si="3"/>
        <v>21.49</v>
      </c>
      <c r="O39" s="298">
        <f t="shared" si="3"/>
        <v>0.04</v>
      </c>
      <c r="P39" s="298">
        <f t="shared" si="3"/>
        <v>0.42</v>
      </c>
      <c r="Q39" s="301">
        <f t="shared" si="3"/>
        <v>12.82</v>
      </c>
      <c r="R39" s="301">
        <f t="shared" si="3"/>
        <v>13.29</v>
      </c>
      <c r="S39" s="301">
        <f t="shared" si="3"/>
        <v>34.78</v>
      </c>
      <c r="T39" s="1197"/>
      <c r="V39" s="148"/>
    </row>
    <row r="40" spans="2:23" ht="12" hidden="1" customHeight="1">
      <c r="B40" s="130"/>
      <c r="C40" s="308"/>
      <c r="D40" s="308"/>
      <c r="E40" s="308"/>
      <c r="F40" s="1187" t="e">
        <f>H40/#REF!</f>
        <v>#REF!</v>
      </c>
      <c r="G40" s="300">
        <f>ROUNDDOWN(N41,0)</f>
        <v>25</v>
      </c>
      <c r="H40" s="1188"/>
      <c r="I40" s="1190">
        <f>H40/$H$78</f>
        <v>0</v>
      </c>
      <c r="J40" s="302">
        <f>J58</f>
        <v>59.95</v>
      </c>
      <c r="K40" s="302">
        <f>K58</f>
        <v>5.8</v>
      </c>
      <c r="L40" s="302">
        <f>L58</f>
        <v>19.600000000000001</v>
      </c>
      <c r="M40" s="302">
        <f>K40+L40</f>
        <v>25.400000000000002</v>
      </c>
      <c r="N40" s="302">
        <f>M40+J40</f>
        <v>85.350000000000009</v>
      </c>
      <c r="O40" s="302">
        <f>$O$78/$J$78*J40</f>
        <v>0.18017601563056806</v>
      </c>
      <c r="P40" s="302">
        <f>$P$78/$J$78*J40</f>
        <v>1.686790698712842</v>
      </c>
      <c r="Q40" s="302">
        <f>$Q$78/$J$78*J40</f>
        <v>50.874499773447205</v>
      </c>
      <c r="R40" s="315">
        <f>O40+P40+Q40</f>
        <v>52.741466487790618</v>
      </c>
      <c r="S40" s="302">
        <f>N40+R40</f>
        <v>138.09146648779063</v>
      </c>
      <c r="T40" s="1197"/>
      <c r="V40" s="193"/>
    </row>
    <row r="41" spans="2:23" ht="12" hidden="1" customHeight="1">
      <c r="B41" s="130"/>
      <c r="C41" s="308"/>
      <c r="D41" s="308"/>
      <c r="E41" s="308"/>
      <c r="F41" s="1187"/>
      <c r="G41" s="296">
        <f>ROUNDDOWN(J40,0)</f>
        <v>59</v>
      </c>
      <c r="H41" s="1189"/>
      <c r="I41" s="1191"/>
      <c r="J41" s="298">
        <f t="shared" ref="J41:S41" si="4">ROUNDDOWN(J40*0.3025,2)</f>
        <v>18.13</v>
      </c>
      <c r="K41" s="298">
        <f t="shared" si="4"/>
        <v>1.75</v>
      </c>
      <c r="L41" s="298">
        <f t="shared" si="4"/>
        <v>5.92</v>
      </c>
      <c r="M41" s="298">
        <f t="shared" si="4"/>
        <v>7.68</v>
      </c>
      <c r="N41" s="298">
        <f t="shared" si="4"/>
        <v>25.81</v>
      </c>
      <c r="O41" s="298">
        <f t="shared" si="4"/>
        <v>0.05</v>
      </c>
      <c r="P41" s="298">
        <f t="shared" si="4"/>
        <v>0.51</v>
      </c>
      <c r="Q41" s="301">
        <f t="shared" si="4"/>
        <v>15.38</v>
      </c>
      <c r="R41" s="301">
        <f t="shared" si="4"/>
        <v>15.95</v>
      </c>
      <c r="S41" s="301">
        <f t="shared" si="4"/>
        <v>41.77</v>
      </c>
      <c r="T41" s="1197"/>
      <c r="V41" s="193"/>
    </row>
    <row r="42" spans="2:23" ht="12" customHeight="1">
      <c r="B42" s="130"/>
      <c r="C42" s="308"/>
      <c r="D42" s="308"/>
      <c r="E42" s="1128">
        <f>H42/$H$52</f>
        <v>0.40677966101694918</v>
      </c>
      <c r="F42" s="336"/>
      <c r="G42" s="316">
        <f>ROUNDDOWN(N43,0)</f>
        <v>21</v>
      </c>
      <c r="H42" s="1192">
        <v>192</v>
      </c>
      <c r="I42" s="369">
        <f>H42/$H$78</f>
        <v>4.0798980025499365E-2</v>
      </c>
      <c r="J42" s="364">
        <f>J56</f>
        <v>49.95</v>
      </c>
      <c r="K42" s="364">
        <f>K56</f>
        <v>4.5</v>
      </c>
      <c r="L42" s="364">
        <f>L56</f>
        <v>16.600000000000001</v>
      </c>
      <c r="M42" s="364">
        <f>K42+L42</f>
        <v>21.1</v>
      </c>
      <c r="N42" s="364">
        <f>M42+J42</f>
        <v>71.050000000000011</v>
      </c>
      <c r="O42" s="364">
        <f>$O$78/$J$78*J42</f>
        <v>0.1501216343744266</v>
      </c>
      <c r="P42" s="364">
        <f>$P$78/$J$78*J42</f>
        <v>1.4054244437148702</v>
      </c>
      <c r="Q42" s="364">
        <f>$Q$78/$J$78*J42</f>
        <v>42.388344681963098</v>
      </c>
      <c r="R42" s="364">
        <f>O42+P42+Q42</f>
        <v>43.943890760052398</v>
      </c>
      <c r="S42" s="364">
        <f>N42+R42</f>
        <v>114.99389076005241</v>
      </c>
      <c r="T42" s="1198" t="s">
        <v>159</v>
      </c>
      <c r="V42" s="193"/>
    </row>
    <row r="43" spans="2:23" ht="12" customHeight="1">
      <c r="B43" s="130"/>
      <c r="C43" s="308"/>
      <c r="D43" s="308"/>
      <c r="E43" s="1129"/>
      <c r="F43" s="336"/>
      <c r="G43" s="318">
        <f>ROUNDDOWN(J42,0)</f>
        <v>49</v>
      </c>
      <c r="H43" s="1193"/>
      <c r="I43" s="373">
        <f>I42+I56</f>
        <v>0.15129621759456013</v>
      </c>
      <c r="J43" s="319">
        <f t="shared" ref="J43:S43" si="5">ROUNDDOWN(J42*0.3025,2)</f>
        <v>15.1</v>
      </c>
      <c r="K43" s="319">
        <f t="shared" si="5"/>
        <v>1.36</v>
      </c>
      <c r="L43" s="319">
        <f t="shared" si="5"/>
        <v>5.0199999999999996</v>
      </c>
      <c r="M43" s="319">
        <f t="shared" si="5"/>
        <v>6.38</v>
      </c>
      <c r="N43" s="319">
        <f t="shared" si="5"/>
        <v>21.49</v>
      </c>
      <c r="O43" s="319">
        <f t="shared" si="5"/>
        <v>0.04</v>
      </c>
      <c r="P43" s="319">
        <f t="shared" si="5"/>
        <v>0.42</v>
      </c>
      <c r="Q43" s="320">
        <f t="shared" si="5"/>
        <v>12.82</v>
      </c>
      <c r="R43" s="320">
        <f t="shared" si="5"/>
        <v>13.29</v>
      </c>
      <c r="S43" s="320">
        <f t="shared" si="5"/>
        <v>34.78</v>
      </c>
      <c r="T43" s="1198"/>
      <c r="V43" s="193"/>
    </row>
    <row r="44" spans="2:23" ht="12" hidden="1" customHeight="1">
      <c r="B44" s="130"/>
      <c r="C44" s="308"/>
      <c r="D44" s="308"/>
      <c r="E44" s="1130">
        <f>C44/$H$78</f>
        <v>0</v>
      </c>
      <c r="F44" s="336"/>
      <c r="G44" s="316">
        <f>ROUNDDOWN(N43,0)</f>
        <v>21</v>
      </c>
      <c r="H44" s="1192"/>
      <c r="I44" s="1130">
        <f>H44/$H$78</f>
        <v>0</v>
      </c>
      <c r="T44" s="1198"/>
      <c r="V44" s="193"/>
    </row>
    <row r="45" spans="2:23" ht="12" hidden="1" customHeight="1">
      <c r="B45" s="130"/>
      <c r="C45" s="308"/>
      <c r="D45" s="308"/>
      <c r="E45" s="1129"/>
      <c r="F45" s="336"/>
      <c r="G45" s="318">
        <f>ROUNDDOWN(J42,0)</f>
        <v>49</v>
      </c>
      <c r="H45" s="1193"/>
      <c r="I45" s="1129"/>
      <c r="T45" s="1198"/>
      <c r="V45" s="193"/>
    </row>
    <row r="46" spans="2:23" ht="12" customHeight="1">
      <c r="B46" s="1127"/>
      <c r="C46" s="1121"/>
      <c r="D46" s="1121"/>
      <c r="E46" s="1128">
        <f>H46/$H$52</f>
        <v>0.40254237288135591</v>
      </c>
      <c r="F46" s="130"/>
      <c r="G46" s="316">
        <f>ROUNDDOWN(N47,0)</f>
        <v>25</v>
      </c>
      <c r="H46" s="1200">
        <v>190</v>
      </c>
      <c r="I46" s="369">
        <f>H46/$H$78</f>
        <v>4.0373990650233747E-2</v>
      </c>
      <c r="J46" s="364">
        <f>J58</f>
        <v>59.95</v>
      </c>
      <c r="K46" s="364">
        <f>K58</f>
        <v>5.8</v>
      </c>
      <c r="L46" s="364">
        <f>L58</f>
        <v>19.600000000000001</v>
      </c>
      <c r="M46" s="364">
        <f>K46+L46</f>
        <v>25.400000000000002</v>
      </c>
      <c r="N46" s="364">
        <f>M46+J46</f>
        <v>85.350000000000009</v>
      </c>
      <c r="O46" s="364">
        <f>$O$78/$J$78*J46</f>
        <v>0.18017601563056806</v>
      </c>
      <c r="P46" s="364">
        <f>$P$78/$J$78*J46</f>
        <v>1.686790698712842</v>
      </c>
      <c r="Q46" s="364">
        <f>$Q$78/$J$78*J46</f>
        <v>50.874499773447205</v>
      </c>
      <c r="R46" s="364">
        <f>O46+P46+Q46</f>
        <v>52.741466487790618</v>
      </c>
      <c r="S46" s="364">
        <f>N46+R46</f>
        <v>138.09146648779063</v>
      </c>
      <c r="T46" s="1198"/>
      <c r="V46" s="193"/>
    </row>
    <row r="47" spans="2:23" ht="12" customHeight="1">
      <c r="B47" s="1076"/>
      <c r="C47" s="1121"/>
      <c r="D47" s="1121"/>
      <c r="E47" s="1129"/>
      <c r="F47" s="130"/>
      <c r="G47" s="318">
        <f>ROUNDDOWN(J46,0)</f>
        <v>59</v>
      </c>
      <c r="H47" s="1193"/>
      <c r="I47" s="373">
        <f>I46+I58</f>
        <v>0.26136846578835526</v>
      </c>
      <c r="J47" s="319">
        <f t="shared" ref="J47:S47" si="6">ROUNDDOWN(J46*0.3025,2)</f>
        <v>18.13</v>
      </c>
      <c r="K47" s="319">
        <f t="shared" si="6"/>
        <v>1.75</v>
      </c>
      <c r="L47" s="319">
        <f t="shared" si="6"/>
        <v>5.92</v>
      </c>
      <c r="M47" s="319">
        <f t="shared" si="6"/>
        <v>7.68</v>
      </c>
      <c r="N47" s="319">
        <f t="shared" si="6"/>
        <v>25.81</v>
      </c>
      <c r="O47" s="319">
        <f t="shared" si="6"/>
        <v>0.05</v>
      </c>
      <c r="P47" s="319">
        <f t="shared" si="6"/>
        <v>0.51</v>
      </c>
      <c r="Q47" s="320">
        <f t="shared" si="6"/>
        <v>15.38</v>
      </c>
      <c r="R47" s="320">
        <f t="shared" si="6"/>
        <v>15.95</v>
      </c>
      <c r="S47" s="320">
        <f t="shared" si="6"/>
        <v>41.77</v>
      </c>
      <c r="T47" s="1198"/>
      <c r="V47" s="193"/>
    </row>
    <row r="48" spans="2:23" ht="12" hidden="1" customHeight="1">
      <c r="B48" s="130"/>
      <c r="C48" s="308"/>
      <c r="D48" s="308"/>
      <c r="E48" s="1128">
        <f>C48/$H$78</f>
        <v>0</v>
      </c>
      <c r="F48" s="130"/>
      <c r="G48" s="316">
        <f>ROUNDDOWN(N49,0)</f>
        <v>30</v>
      </c>
      <c r="H48" s="1200"/>
      <c r="I48" s="1128">
        <f>H48/$H$78</f>
        <v>0</v>
      </c>
      <c r="J48" s="317">
        <f>J60</f>
        <v>74</v>
      </c>
      <c r="K48" s="317">
        <f>K60</f>
        <v>7.12</v>
      </c>
      <c r="L48" s="317">
        <f>L60</f>
        <v>18.37</v>
      </c>
      <c r="M48" s="317">
        <f>K48+L48</f>
        <v>25.490000000000002</v>
      </c>
      <c r="N48" s="317">
        <f>M48+J48</f>
        <v>99.490000000000009</v>
      </c>
      <c r="O48" s="317">
        <f>$O$78/$J$78*J48</f>
        <v>0.22240242129544682</v>
      </c>
      <c r="P48" s="317">
        <f>$P$78/$J$78*J48</f>
        <v>2.0821102869849928</v>
      </c>
      <c r="Q48" s="317">
        <f>$Q$78/$J$78*J48</f>
        <v>62.797547676982362</v>
      </c>
      <c r="R48" s="317">
        <f>O48+P48+Q48</f>
        <v>65.102060385262803</v>
      </c>
      <c r="S48" s="317">
        <f>N48+R48</f>
        <v>164.59206038526281</v>
      </c>
      <c r="T48" s="1198"/>
      <c r="V48" s="193"/>
    </row>
    <row r="49" spans="2:22" ht="12" hidden="1" customHeight="1">
      <c r="B49" s="130"/>
      <c r="C49" s="308"/>
      <c r="D49" s="308"/>
      <c r="E49" s="1129"/>
      <c r="F49" s="130"/>
      <c r="G49" s="318">
        <f>ROUNDDOWN(J48,0)</f>
        <v>74</v>
      </c>
      <c r="H49" s="1193"/>
      <c r="I49" s="1129"/>
      <c r="J49" s="319">
        <f t="shared" ref="J49:S49" si="7">ROUNDDOWN(J48*0.3025,2)</f>
        <v>22.38</v>
      </c>
      <c r="K49" s="319">
        <f t="shared" si="7"/>
        <v>2.15</v>
      </c>
      <c r="L49" s="319">
        <f t="shared" si="7"/>
        <v>5.55</v>
      </c>
      <c r="M49" s="319">
        <f t="shared" si="7"/>
        <v>7.71</v>
      </c>
      <c r="N49" s="319">
        <f t="shared" si="7"/>
        <v>30.09</v>
      </c>
      <c r="O49" s="319">
        <f t="shared" si="7"/>
        <v>0.06</v>
      </c>
      <c r="P49" s="319">
        <f t="shared" si="7"/>
        <v>0.62</v>
      </c>
      <c r="Q49" s="320">
        <f t="shared" si="7"/>
        <v>18.989999999999998</v>
      </c>
      <c r="R49" s="320">
        <f t="shared" si="7"/>
        <v>19.690000000000001</v>
      </c>
      <c r="S49" s="320">
        <f t="shared" si="7"/>
        <v>49.78</v>
      </c>
      <c r="T49" s="1198"/>
      <c r="V49" s="193"/>
    </row>
    <row r="50" spans="2:22" ht="12" customHeight="1">
      <c r="B50" s="1127"/>
      <c r="C50" s="1121"/>
      <c r="D50" s="1121"/>
      <c r="E50" s="1128">
        <f>H50/$H$52</f>
        <v>0.19067796610169491</v>
      </c>
      <c r="F50" s="130"/>
      <c r="G50" s="316">
        <f>ROUNDDOWN(N51,0)</f>
        <v>34</v>
      </c>
      <c r="H50" s="1200">
        <v>90</v>
      </c>
      <c r="I50" s="369">
        <f>H50/$H$78</f>
        <v>1.9124521886952826E-2</v>
      </c>
      <c r="J50" s="364">
        <f>J62</f>
        <v>84.95</v>
      </c>
      <c r="K50" s="364">
        <f>K62</f>
        <v>7.74</v>
      </c>
      <c r="L50" s="364">
        <f>L62</f>
        <v>22.4</v>
      </c>
      <c r="M50" s="364">
        <f>K50+L50</f>
        <v>30.14</v>
      </c>
      <c r="N50" s="364">
        <f>M50+J50</f>
        <v>115.09</v>
      </c>
      <c r="O50" s="364">
        <f>$O$78/$J$78*J50</f>
        <v>0.25531196877092172</v>
      </c>
      <c r="P50" s="364">
        <f>$P$78/$J$78*J50</f>
        <v>2.3902063362077719</v>
      </c>
      <c r="Q50" s="364">
        <f>$Q$78/$J$78*J50</f>
        <v>72.089887502157467</v>
      </c>
      <c r="R50" s="364">
        <f>O50+P50+Q50</f>
        <v>74.735405807136161</v>
      </c>
      <c r="S50" s="364">
        <f>N50+R50</f>
        <v>189.82540580713618</v>
      </c>
      <c r="T50" s="1198"/>
      <c r="V50" s="193"/>
    </row>
    <row r="51" spans="2:22" ht="12" customHeight="1">
      <c r="B51" s="1076"/>
      <c r="C51" s="1121"/>
      <c r="D51" s="1121"/>
      <c r="E51" s="1129"/>
      <c r="G51" s="318">
        <f>ROUNDDOWN(J50,0)</f>
        <v>84</v>
      </c>
      <c r="H51" s="1193"/>
      <c r="I51" s="373">
        <f>I50+I62</f>
        <v>0.43433914152146197</v>
      </c>
      <c r="J51" s="319">
        <f t="shared" ref="J51:S51" si="8">ROUNDDOWN(J50*0.3025,2)</f>
        <v>25.69</v>
      </c>
      <c r="K51" s="319">
        <f t="shared" si="8"/>
        <v>2.34</v>
      </c>
      <c r="L51" s="319">
        <f t="shared" si="8"/>
        <v>6.77</v>
      </c>
      <c r="M51" s="319">
        <f t="shared" si="8"/>
        <v>9.11</v>
      </c>
      <c r="N51" s="319">
        <f t="shared" si="8"/>
        <v>34.81</v>
      </c>
      <c r="O51" s="319">
        <f t="shared" si="8"/>
        <v>7.0000000000000007E-2</v>
      </c>
      <c r="P51" s="319">
        <f t="shared" si="8"/>
        <v>0.72</v>
      </c>
      <c r="Q51" s="320">
        <f t="shared" si="8"/>
        <v>21.8</v>
      </c>
      <c r="R51" s="320">
        <f t="shared" si="8"/>
        <v>22.6</v>
      </c>
      <c r="S51" s="320">
        <f t="shared" si="8"/>
        <v>57.42</v>
      </c>
      <c r="T51" s="1199"/>
      <c r="V51" s="193"/>
    </row>
    <row r="52" spans="2:22" ht="12" customHeight="1">
      <c r="B52" s="1127"/>
      <c r="C52" s="1121"/>
      <c r="D52" s="1121"/>
      <c r="E52" s="1201">
        <f>SUM(E42:E51)</f>
        <v>1</v>
      </c>
      <c r="G52" s="1202" t="s">
        <v>82</v>
      </c>
      <c r="H52" s="1204">
        <f>SUM(H36:H51)</f>
        <v>472</v>
      </c>
      <c r="I52" s="1201">
        <f>I42+I46+I50</f>
        <v>0.10029749256268594</v>
      </c>
      <c r="J52" s="365">
        <f>SUMPRODUCT(H36:H51,J36:J51)</f>
        <v>28626.400000000001</v>
      </c>
      <c r="K52" s="365">
        <f>SUMPRODUCT(H36:H51,K36:K51)</f>
        <v>2662.6</v>
      </c>
      <c r="L52" s="365">
        <f>SUMPRODUCT(H36:H51,L36:L51)</f>
        <v>8927.2000000000007</v>
      </c>
      <c r="M52" s="365">
        <f>K52+L52</f>
        <v>11589.800000000001</v>
      </c>
      <c r="N52" s="365">
        <f>J52+M52</f>
        <v>40216.200000000004</v>
      </c>
      <c r="O52" s="365">
        <f>SUMPRODUCT(H36:H51,O36:O51)</f>
        <v>86.034873959080798</v>
      </c>
      <c r="P52" s="365">
        <f>SUMPRODUCT(H36:H51,P36:P51)</f>
        <v>805.45029620739456</v>
      </c>
      <c r="Q52" s="365">
        <f>SUMPRODUCT(H36:H51,Q36:Q51)</f>
        <v>24292.807011086057</v>
      </c>
      <c r="R52" s="365">
        <f>O52+P52+Q52</f>
        <v>25184.292181252531</v>
      </c>
      <c r="S52" s="365">
        <f>N52+R52</f>
        <v>65400.492181252535</v>
      </c>
      <c r="T52" s="1206"/>
    </row>
    <row r="53" spans="2:22" ht="12" customHeight="1">
      <c r="B53" s="1076"/>
      <c r="C53" s="1121"/>
      <c r="D53" s="1121"/>
      <c r="E53" s="1132"/>
      <c r="G53" s="1203"/>
      <c r="H53" s="1205"/>
      <c r="I53" s="1132"/>
      <c r="J53" s="292">
        <f t="shared" ref="J53:S53" si="9">ROUNDDOWN(J52*0.3025,2)</f>
        <v>8659.48</v>
      </c>
      <c r="K53" s="292">
        <f t="shared" si="9"/>
        <v>805.43</v>
      </c>
      <c r="L53" s="292">
        <f t="shared" si="9"/>
        <v>2700.47</v>
      </c>
      <c r="M53" s="292">
        <f t="shared" si="9"/>
        <v>3505.91</v>
      </c>
      <c r="N53" s="292">
        <f t="shared" si="9"/>
        <v>12165.4</v>
      </c>
      <c r="O53" s="292">
        <f t="shared" si="9"/>
        <v>26.02</v>
      </c>
      <c r="P53" s="292">
        <f t="shared" si="9"/>
        <v>243.64</v>
      </c>
      <c r="Q53" s="292">
        <f t="shared" si="9"/>
        <v>7348.57</v>
      </c>
      <c r="R53" s="292">
        <f t="shared" si="9"/>
        <v>7618.24</v>
      </c>
      <c r="S53" s="292">
        <f t="shared" si="9"/>
        <v>19783.64</v>
      </c>
      <c r="T53" s="1207"/>
    </row>
    <row r="54" spans="2:22" ht="12" hidden="1" customHeight="1">
      <c r="B54" s="86"/>
      <c r="C54" s="1121"/>
      <c r="D54" s="937"/>
      <c r="E54" s="937">
        <f>C54/$H$78</f>
        <v>0</v>
      </c>
      <c r="F54" s="1075"/>
      <c r="G54" s="86">
        <f>ROUNDDOWN(N55,0)</f>
        <v>17</v>
      </c>
      <c r="H54" s="935"/>
      <c r="I54" s="937">
        <f>H54/$H$78</f>
        <v>0</v>
      </c>
      <c r="J54" s="89">
        <v>39.96</v>
      </c>
      <c r="K54" s="89">
        <v>3.65</v>
      </c>
      <c r="L54" s="89">
        <v>14.8</v>
      </c>
      <c r="M54" s="89">
        <f>K54+L54</f>
        <v>18.45</v>
      </c>
      <c r="N54" s="89">
        <f>J54+M54</f>
        <v>58.41</v>
      </c>
      <c r="O54" s="89">
        <f>$O$78/$J$78*J54</f>
        <v>0.12009730749954128</v>
      </c>
      <c r="P54" s="89">
        <f>$P$78/$J$78*J54</f>
        <v>1.124339554971896</v>
      </c>
      <c r="Q54" s="89">
        <f>$Q$78/$J$78*J54</f>
        <v>33.910675745570479</v>
      </c>
      <c r="R54" s="89">
        <f>O54+P54+Q54</f>
        <v>35.155112608041918</v>
      </c>
      <c r="S54" s="89">
        <f>N54+R54</f>
        <v>93.565112608041915</v>
      </c>
      <c r="T54" s="898" t="s">
        <v>137</v>
      </c>
    </row>
    <row r="55" spans="2:22" ht="12" hidden="1" customHeight="1">
      <c r="B55" s="87"/>
      <c r="C55" s="1121"/>
      <c r="D55" s="938"/>
      <c r="E55" s="938"/>
      <c r="F55" s="1076"/>
      <c r="G55" s="87">
        <v>39</v>
      </c>
      <c r="H55" s="936"/>
      <c r="I55" s="938"/>
      <c r="J55" s="111">
        <f t="shared" ref="J55:S55" si="10">ROUNDDOWN(J54*0.3025,2)</f>
        <v>12.08</v>
      </c>
      <c r="K55" s="111">
        <f t="shared" si="10"/>
        <v>1.1000000000000001</v>
      </c>
      <c r="L55" s="111">
        <f t="shared" si="10"/>
        <v>4.47</v>
      </c>
      <c r="M55" s="111">
        <f t="shared" si="10"/>
        <v>5.58</v>
      </c>
      <c r="N55" s="111">
        <f t="shared" si="10"/>
        <v>17.66</v>
      </c>
      <c r="O55" s="111">
        <f t="shared" si="10"/>
        <v>0.03</v>
      </c>
      <c r="P55" s="111">
        <f t="shared" si="10"/>
        <v>0.34</v>
      </c>
      <c r="Q55" s="111">
        <f t="shared" si="10"/>
        <v>10.25</v>
      </c>
      <c r="R55" s="111">
        <f t="shared" si="10"/>
        <v>10.63</v>
      </c>
      <c r="S55" s="111">
        <f t="shared" si="10"/>
        <v>28.3</v>
      </c>
      <c r="T55" s="899"/>
    </row>
    <row r="56" spans="2:22" ht="12" customHeight="1">
      <c r="B56" s="88"/>
      <c r="C56" s="1121"/>
      <c r="D56" s="940"/>
      <c r="E56" s="940">
        <f>H56/$H$76</f>
        <v>0.12281530467642891</v>
      </c>
      <c r="F56" s="1075"/>
      <c r="G56" s="88">
        <f>ROUNDDOWN(N57,0)</f>
        <v>21</v>
      </c>
      <c r="H56" s="1085">
        <v>520</v>
      </c>
      <c r="I56" s="372">
        <f>H56/$H$78</f>
        <v>0.11049723756906077</v>
      </c>
      <c r="J56" s="366">
        <v>49.95</v>
      </c>
      <c r="K56" s="366">
        <v>4.5</v>
      </c>
      <c r="L56" s="366">
        <v>16.600000000000001</v>
      </c>
      <c r="M56" s="366">
        <f>K56+L56</f>
        <v>21.1</v>
      </c>
      <c r="N56" s="366">
        <f>M56+J56</f>
        <v>71.050000000000011</v>
      </c>
      <c r="O56" s="366">
        <f>$O$78/$J$78*J56</f>
        <v>0.1501216343744266</v>
      </c>
      <c r="P56" s="366">
        <f>$P$78/$J$78*J56</f>
        <v>1.4054244437148702</v>
      </c>
      <c r="Q56" s="366">
        <f>$Q$78/$J$78*J56</f>
        <v>42.388344681963098</v>
      </c>
      <c r="R56" s="366">
        <f>O56+P56+Q56</f>
        <v>43.943890760052398</v>
      </c>
      <c r="S56" s="366">
        <f>N56+R56</f>
        <v>114.99389076005241</v>
      </c>
      <c r="T56" s="899"/>
    </row>
    <row r="57" spans="2:22" ht="12" customHeight="1">
      <c r="B57" s="87"/>
      <c r="C57" s="1121"/>
      <c r="D57" s="938"/>
      <c r="E57" s="938"/>
      <c r="F57" s="1076"/>
      <c r="G57" s="87">
        <f>ROUNDDOWN(J56,0)</f>
        <v>49</v>
      </c>
      <c r="H57" s="936"/>
      <c r="I57" s="374">
        <f>I43</f>
        <v>0.15129621759456013</v>
      </c>
      <c r="J57" s="111">
        <f t="shared" ref="J57:S57" si="11">ROUNDDOWN(J56*0.3025,2)</f>
        <v>15.1</v>
      </c>
      <c r="K57" s="111">
        <f t="shared" si="11"/>
        <v>1.36</v>
      </c>
      <c r="L57" s="111">
        <f t="shared" si="11"/>
        <v>5.0199999999999996</v>
      </c>
      <c r="M57" s="111">
        <f t="shared" si="11"/>
        <v>6.38</v>
      </c>
      <c r="N57" s="111">
        <f t="shared" si="11"/>
        <v>21.49</v>
      </c>
      <c r="O57" s="111">
        <f t="shared" si="11"/>
        <v>0.04</v>
      </c>
      <c r="P57" s="111">
        <f t="shared" si="11"/>
        <v>0.42</v>
      </c>
      <c r="Q57" s="278">
        <f t="shared" si="11"/>
        <v>12.82</v>
      </c>
      <c r="R57" s="278">
        <f t="shared" si="11"/>
        <v>13.29</v>
      </c>
      <c r="S57" s="278">
        <f t="shared" si="11"/>
        <v>34.78</v>
      </c>
      <c r="T57" s="899"/>
    </row>
    <row r="58" spans="2:22" ht="12" customHeight="1">
      <c r="B58" s="88"/>
      <c r="C58" s="1121"/>
      <c r="D58" s="940"/>
      <c r="E58" s="940">
        <f>H58/$H$76</f>
        <v>0.24563060935285783</v>
      </c>
      <c r="F58" s="1075"/>
      <c r="G58" s="88">
        <f>ROUNDDOWN(N59,0)</f>
        <v>25</v>
      </c>
      <c r="H58" s="939">
        <v>1040</v>
      </c>
      <c r="I58" s="372">
        <f>H58/$H$78</f>
        <v>0.22099447513812154</v>
      </c>
      <c r="J58" s="366">
        <v>59.95</v>
      </c>
      <c r="K58" s="366">
        <v>5.8</v>
      </c>
      <c r="L58" s="366">
        <v>19.600000000000001</v>
      </c>
      <c r="M58" s="366">
        <f>K58+L58</f>
        <v>25.400000000000002</v>
      </c>
      <c r="N58" s="366">
        <f>M58+J58</f>
        <v>85.350000000000009</v>
      </c>
      <c r="O58" s="366">
        <f>$O$78/$J$78*J58</f>
        <v>0.18017601563056806</v>
      </c>
      <c r="P58" s="366">
        <f>$P$78/$J$78*J58</f>
        <v>1.686790698712842</v>
      </c>
      <c r="Q58" s="366">
        <f>$Q$78/$J$78*J58</f>
        <v>50.874499773447205</v>
      </c>
      <c r="R58" s="366">
        <f>O58+P58+Q58</f>
        <v>52.741466487790618</v>
      </c>
      <c r="S58" s="367">
        <f>N58+R58</f>
        <v>138.09146648779063</v>
      </c>
      <c r="T58" s="899"/>
    </row>
    <row r="59" spans="2:22" ht="12" customHeight="1">
      <c r="B59" s="87"/>
      <c r="C59" s="1121"/>
      <c r="D59" s="938"/>
      <c r="E59" s="938"/>
      <c r="F59" s="1076"/>
      <c r="G59" s="87">
        <f>ROUNDDOWN(J58,0)</f>
        <v>59</v>
      </c>
      <c r="H59" s="936"/>
      <c r="I59" s="374">
        <f>I46+I58</f>
        <v>0.26136846578835526</v>
      </c>
      <c r="J59" s="111">
        <f t="shared" ref="J59:S59" si="12">ROUNDDOWN(J58*0.3025,2)</f>
        <v>18.13</v>
      </c>
      <c r="K59" s="111">
        <f t="shared" si="12"/>
        <v>1.75</v>
      </c>
      <c r="L59" s="111">
        <f t="shared" si="12"/>
        <v>5.92</v>
      </c>
      <c r="M59" s="111">
        <f t="shared" si="12"/>
        <v>7.68</v>
      </c>
      <c r="N59" s="111">
        <f t="shared" si="12"/>
        <v>25.81</v>
      </c>
      <c r="O59" s="111">
        <f t="shared" si="12"/>
        <v>0.05</v>
      </c>
      <c r="P59" s="111">
        <f t="shared" si="12"/>
        <v>0.51</v>
      </c>
      <c r="Q59" s="111">
        <f t="shared" si="12"/>
        <v>15.38</v>
      </c>
      <c r="R59" s="111">
        <f t="shared" si="12"/>
        <v>15.95</v>
      </c>
      <c r="S59" s="111">
        <f t="shared" si="12"/>
        <v>41.77</v>
      </c>
      <c r="T59" s="899"/>
    </row>
    <row r="60" spans="2:22" ht="12" customHeight="1">
      <c r="B60" s="88"/>
      <c r="C60" s="1121"/>
      <c r="D60" s="940"/>
      <c r="E60" s="940">
        <f>H60/$H$76</f>
        <v>0.10392064241851677</v>
      </c>
      <c r="F60" s="1076"/>
      <c r="G60" s="88">
        <f>ROUNDDOWN(N61,0)</f>
        <v>30</v>
      </c>
      <c r="H60" s="939">
        <v>440</v>
      </c>
      <c r="I60" s="1208">
        <f>H60/$H$78</f>
        <v>9.3497662558436043E-2</v>
      </c>
      <c r="J60" s="366">
        <v>74</v>
      </c>
      <c r="K60" s="366">
        <v>7.12</v>
      </c>
      <c r="L60" s="366">
        <v>18.37</v>
      </c>
      <c r="M60" s="366">
        <f>K60+L60</f>
        <v>25.490000000000002</v>
      </c>
      <c r="N60" s="366">
        <f>J60+M60</f>
        <v>99.490000000000009</v>
      </c>
      <c r="O60" s="366">
        <f>$O$78/$J$78*J60</f>
        <v>0.22240242129544682</v>
      </c>
      <c r="P60" s="366">
        <f>$P$78/$J$78*J60</f>
        <v>2.0821102869849928</v>
      </c>
      <c r="Q60" s="366">
        <f>$Q$78/$J$78*J60</f>
        <v>62.797547676982362</v>
      </c>
      <c r="R60" s="366">
        <f>O60+P60+Q60</f>
        <v>65.102060385262803</v>
      </c>
      <c r="S60" s="366">
        <f>N60+R60</f>
        <v>164.59206038526281</v>
      </c>
      <c r="T60" s="899"/>
    </row>
    <row r="61" spans="2:22" ht="12" customHeight="1">
      <c r="B61" s="87"/>
      <c r="C61" s="1121"/>
      <c r="D61" s="938"/>
      <c r="E61" s="938"/>
      <c r="F61" s="1076"/>
      <c r="G61" s="87">
        <f>ROUNDDOWN(J60,0)</f>
        <v>74</v>
      </c>
      <c r="H61" s="936"/>
      <c r="I61" s="1209"/>
      <c r="J61" s="111">
        <f t="shared" ref="J61:S61" si="13">ROUNDDOWN(J60*0.3025,2)</f>
        <v>22.38</v>
      </c>
      <c r="K61" s="111">
        <f t="shared" si="13"/>
        <v>2.15</v>
      </c>
      <c r="L61" s="111">
        <f t="shared" si="13"/>
        <v>5.55</v>
      </c>
      <c r="M61" s="111">
        <f t="shared" si="13"/>
        <v>7.71</v>
      </c>
      <c r="N61" s="111">
        <f t="shared" si="13"/>
        <v>30.09</v>
      </c>
      <c r="O61" s="111">
        <f t="shared" si="13"/>
        <v>0.06</v>
      </c>
      <c r="P61" s="111">
        <f t="shared" si="13"/>
        <v>0.62</v>
      </c>
      <c r="Q61" s="111">
        <f t="shared" si="13"/>
        <v>18.989999999999998</v>
      </c>
      <c r="R61" s="111">
        <f t="shared" si="13"/>
        <v>19.690000000000001</v>
      </c>
      <c r="S61" s="111">
        <f t="shared" si="13"/>
        <v>49.78</v>
      </c>
      <c r="T61" s="899"/>
    </row>
    <row r="62" spans="2:22" ht="12" customHeight="1">
      <c r="B62" s="88"/>
      <c r="C62" s="1121"/>
      <c r="D62" s="940"/>
      <c r="E62" s="940">
        <f>H62/$H$76</f>
        <v>0.46150212564950399</v>
      </c>
      <c r="F62" s="1075"/>
      <c r="G62" s="88">
        <f>ROUNDDOWN(N63,0)</f>
        <v>34</v>
      </c>
      <c r="H62" s="939">
        <v>1954</v>
      </c>
      <c r="I62" s="372">
        <f>H62/$H$78</f>
        <v>0.41521461963450912</v>
      </c>
      <c r="J62" s="366">
        <v>84.95</v>
      </c>
      <c r="K62" s="366">
        <v>7.74</v>
      </c>
      <c r="L62" s="366">
        <v>22.4</v>
      </c>
      <c r="M62" s="366">
        <f>K62+L62</f>
        <v>30.14</v>
      </c>
      <c r="N62" s="366">
        <f>J62+M62</f>
        <v>115.09</v>
      </c>
      <c r="O62" s="366">
        <f>$O$78/$J$78*J62</f>
        <v>0.25531196877092172</v>
      </c>
      <c r="P62" s="366">
        <f>$P$78/$J$78*J62</f>
        <v>2.3902063362077719</v>
      </c>
      <c r="Q62" s="366">
        <f>$Q$78/$J$78*J62</f>
        <v>72.089887502157467</v>
      </c>
      <c r="R62" s="366">
        <f>O62+P62+Q62</f>
        <v>74.735405807136161</v>
      </c>
      <c r="S62" s="366">
        <f>N62+R62</f>
        <v>189.82540580713618</v>
      </c>
      <c r="T62" s="899"/>
    </row>
    <row r="63" spans="2:22" ht="12" customHeight="1">
      <c r="B63" s="87"/>
      <c r="C63" s="1121"/>
      <c r="D63" s="938"/>
      <c r="E63" s="938"/>
      <c r="F63" s="1076"/>
      <c r="G63" s="87">
        <f>ROUNDDOWN(J62,0)</f>
        <v>84</v>
      </c>
      <c r="H63" s="936"/>
      <c r="I63" s="374">
        <f>I50+I62</f>
        <v>0.43433914152146197</v>
      </c>
      <c r="J63" s="111">
        <f t="shared" ref="J63:S63" si="14">ROUNDDOWN(J62*0.3025,2)</f>
        <v>25.69</v>
      </c>
      <c r="K63" s="111">
        <f t="shared" si="14"/>
        <v>2.34</v>
      </c>
      <c r="L63" s="111">
        <f t="shared" si="14"/>
        <v>6.77</v>
      </c>
      <c r="M63" s="111">
        <f t="shared" si="14"/>
        <v>9.11</v>
      </c>
      <c r="N63" s="111">
        <f t="shared" si="14"/>
        <v>34.81</v>
      </c>
      <c r="O63" s="111">
        <f t="shared" si="14"/>
        <v>7.0000000000000007E-2</v>
      </c>
      <c r="P63" s="111">
        <f t="shared" si="14"/>
        <v>0.72</v>
      </c>
      <c r="Q63" s="111">
        <f t="shared" si="14"/>
        <v>21.8</v>
      </c>
      <c r="R63" s="111">
        <f t="shared" si="14"/>
        <v>22.6</v>
      </c>
      <c r="S63" s="111">
        <f t="shared" si="14"/>
        <v>57.42</v>
      </c>
      <c r="T63" s="899"/>
    </row>
    <row r="64" spans="2:22" ht="12" hidden="1" customHeight="1">
      <c r="B64" s="88"/>
      <c r="C64" s="1121"/>
      <c r="D64" s="940"/>
      <c r="E64" s="940">
        <f>C64/$H$78</f>
        <v>0</v>
      </c>
      <c r="F64" s="1076"/>
      <c r="G64" s="88">
        <f>ROUNDDOWN(N65,0)</f>
        <v>40</v>
      </c>
      <c r="H64" s="939"/>
      <c r="I64" s="1210">
        <f>H64/$H$78</f>
        <v>0</v>
      </c>
      <c r="J64" s="90">
        <v>102.98</v>
      </c>
      <c r="K64" s="90">
        <v>8.7200000000000006</v>
      </c>
      <c r="L64" s="90">
        <v>22.8</v>
      </c>
      <c r="M64" s="90">
        <f>K64+L64</f>
        <v>31.520000000000003</v>
      </c>
      <c r="N64" s="90">
        <f>J64+M64</f>
        <v>134.5</v>
      </c>
      <c r="O64" s="90">
        <f>$O$78/$J$78*J64</f>
        <v>0.3095000181757448</v>
      </c>
      <c r="P64" s="90">
        <f>$P$78/$J$78*J64</f>
        <v>2.8975096939691158</v>
      </c>
      <c r="Q64" s="90">
        <f>$Q$78/$J$78*J64</f>
        <v>87.390425132103303</v>
      </c>
      <c r="R64" s="90">
        <f>O64+P64+Q64</f>
        <v>90.59743484424817</v>
      </c>
      <c r="S64" s="90">
        <f>N64+R64</f>
        <v>225.09743484424817</v>
      </c>
      <c r="T64" s="899"/>
    </row>
    <row r="65" spans="2:22" ht="12" hidden="1" customHeight="1">
      <c r="B65" s="272"/>
      <c r="C65" s="1121"/>
      <c r="D65" s="938"/>
      <c r="E65" s="938"/>
      <c r="F65" s="838"/>
      <c r="G65" s="87">
        <f>ROUNDDOWN(J64,0)</f>
        <v>102</v>
      </c>
      <c r="H65" s="936"/>
      <c r="I65" s="1209"/>
      <c r="J65" s="111">
        <f t="shared" ref="J65:S65" si="15">ROUNDDOWN(J64*0.3025,2)</f>
        <v>31.15</v>
      </c>
      <c r="K65" s="111">
        <f t="shared" si="15"/>
        <v>2.63</v>
      </c>
      <c r="L65" s="111">
        <f t="shared" si="15"/>
        <v>6.89</v>
      </c>
      <c r="M65" s="111">
        <f t="shared" si="15"/>
        <v>9.5299999999999994</v>
      </c>
      <c r="N65" s="111">
        <f t="shared" si="15"/>
        <v>40.68</v>
      </c>
      <c r="O65" s="111">
        <f t="shared" si="15"/>
        <v>0.09</v>
      </c>
      <c r="P65" s="111">
        <f t="shared" si="15"/>
        <v>0.87</v>
      </c>
      <c r="Q65" s="111">
        <f t="shared" si="15"/>
        <v>26.43</v>
      </c>
      <c r="R65" s="111">
        <f t="shared" si="15"/>
        <v>27.4</v>
      </c>
      <c r="S65" s="111">
        <f t="shared" si="15"/>
        <v>68.09</v>
      </c>
      <c r="T65" s="899"/>
    </row>
    <row r="66" spans="2:22" ht="12" customHeight="1">
      <c r="B66" s="323"/>
      <c r="C66" s="308"/>
      <c r="D66" s="305"/>
      <c r="E66" s="940">
        <f>H66/$H$76</f>
        <v>6.6131317902692485E-2</v>
      </c>
      <c r="F66" s="203"/>
      <c r="G66" s="88">
        <f>ROUNDDOWN(N67,0)</f>
        <v>46</v>
      </c>
      <c r="H66" s="939">
        <v>280</v>
      </c>
      <c r="I66" s="1210">
        <f>H66/$H$78</f>
        <v>5.9498512537186569E-2</v>
      </c>
      <c r="J66" s="366">
        <v>120.95</v>
      </c>
      <c r="K66" s="366">
        <v>8.5</v>
      </c>
      <c r="L66" s="366">
        <v>25.5</v>
      </c>
      <c r="M66" s="366">
        <f>K66+L66</f>
        <v>34</v>
      </c>
      <c r="N66" s="366">
        <f>J66+M66</f>
        <v>154.94999999999999</v>
      </c>
      <c r="O66" s="366">
        <f>$O$78/$J$78*J66</f>
        <v>0.36350774129303098</v>
      </c>
      <c r="P66" s="366">
        <f>$P$78/$J$78*J66</f>
        <v>3.4031248542004713</v>
      </c>
      <c r="Q66" s="366">
        <f>$Q$78/$J$78*J66</f>
        <v>102.64004583150023</v>
      </c>
      <c r="R66" s="366">
        <f>O66+P66+Q66</f>
        <v>106.40667842699374</v>
      </c>
      <c r="S66" s="366">
        <f>N66+R66</f>
        <v>261.35667842699371</v>
      </c>
      <c r="T66" s="899"/>
    </row>
    <row r="67" spans="2:22" ht="12" customHeight="1">
      <c r="B67" s="323"/>
      <c r="C67" s="308"/>
      <c r="D67" s="305"/>
      <c r="E67" s="938"/>
      <c r="F67" s="203"/>
      <c r="G67" s="87">
        <f>ROUNDDOWN(J66,0)</f>
        <v>120</v>
      </c>
      <c r="H67" s="936"/>
      <c r="I67" s="1209"/>
      <c r="J67" s="111">
        <f t="shared" ref="J67:S67" si="16">ROUNDDOWN(J66*0.3025,2)</f>
        <v>36.58</v>
      </c>
      <c r="K67" s="111">
        <f t="shared" si="16"/>
        <v>2.57</v>
      </c>
      <c r="L67" s="111">
        <f t="shared" si="16"/>
        <v>7.71</v>
      </c>
      <c r="M67" s="111">
        <f t="shared" si="16"/>
        <v>10.28</v>
      </c>
      <c r="N67" s="111">
        <f t="shared" si="16"/>
        <v>46.87</v>
      </c>
      <c r="O67" s="111">
        <f t="shared" si="16"/>
        <v>0.1</v>
      </c>
      <c r="P67" s="111">
        <f t="shared" si="16"/>
        <v>1.02</v>
      </c>
      <c r="Q67" s="111">
        <f t="shared" si="16"/>
        <v>31.04</v>
      </c>
      <c r="R67" s="111">
        <f t="shared" si="16"/>
        <v>32.18</v>
      </c>
      <c r="S67" s="111">
        <f t="shared" si="16"/>
        <v>79.06</v>
      </c>
      <c r="T67" s="899"/>
    </row>
    <row r="68" spans="2:22" ht="12" hidden="1" customHeight="1">
      <c r="B68" s="323"/>
      <c r="C68" s="308"/>
      <c r="D68" s="305"/>
      <c r="E68" s="1084">
        <f>C68/$H$78</f>
        <v>0</v>
      </c>
      <c r="F68" s="203"/>
      <c r="G68" s="88">
        <f>ROUNDDOWN(N69,0)</f>
        <v>47</v>
      </c>
      <c r="H68" s="1085"/>
      <c r="I68" s="1084">
        <f>H68/$H$78</f>
        <v>0</v>
      </c>
      <c r="J68" s="90">
        <v>120.97</v>
      </c>
      <c r="K68" s="90">
        <v>10.72</v>
      </c>
      <c r="L68" s="90">
        <v>24.8</v>
      </c>
      <c r="M68" s="90">
        <f>K68+L68</f>
        <v>35.520000000000003</v>
      </c>
      <c r="N68" s="90">
        <f>J68+M68</f>
        <v>156.49</v>
      </c>
      <c r="O68" s="90">
        <f>$O$78/$J$78*J68</f>
        <v>0.36356785005554326</v>
      </c>
      <c r="P68" s="90">
        <f>$P$78/$J$78*J68</f>
        <v>3.403687586710467</v>
      </c>
      <c r="Q68" s="90">
        <f>$Q$78/$J$78*J68</f>
        <v>102.6570181416832</v>
      </c>
      <c r="R68" s="90">
        <f>O68+P68+Q68</f>
        <v>106.4242735784492</v>
      </c>
      <c r="S68" s="90">
        <f>N68+R68</f>
        <v>262.91427357844918</v>
      </c>
      <c r="T68" s="899"/>
    </row>
    <row r="69" spans="2:22" ht="12" hidden="1" customHeight="1">
      <c r="B69" s="323"/>
      <c r="C69" s="308"/>
      <c r="D69" s="305"/>
      <c r="E69" s="938"/>
      <c r="F69" s="203"/>
      <c r="G69" s="87">
        <f>ROUNDDOWN(J68,0)</f>
        <v>120</v>
      </c>
      <c r="H69" s="936"/>
      <c r="I69" s="938"/>
      <c r="J69" s="111">
        <f t="shared" ref="J69:S69" si="17">ROUNDDOWN(J68*0.3025,2)</f>
        <v>36.590000000000003</v>
      </c>
      <c r="K69" s="111">
        <f t="shared" si="17"/>
        <v>3.24</v>
      </c>
      <c r="L69" s="111">
        <f t="shared" si="17"/>
        <v>7.5</v>
      </c>
      <c r="M69" s="111">
        <f t="shared" si="17"/>
        <v>10.74</v>
      </c>
      <c r="N69" s="111">
        <f t="shared" si="17"/>
        <v>47.33</v>
      </c>
      <c r="O69" s="111">
        <f t="shared" si="17"/>
        <v>0.1</v>
      </c>
      <c r="P69" s="111">
        <f t="shared" si="17"/>
        <v>1.02</v>
      </c>
      <c r="Q69" s="111">
        <f t="shared" si="17"/>
        <v>31.05</v>
      </c>
      <c r="R69" s="111">
        <f t="shared" si="17"/>
        <v>32.19</v>
      </c>
      <c r="S69" s="111">
        <f t="shared" si="17"/>
        <v>79.53</v>
      </c>
      <c r="T69" s="899"/>
    </row>
    <row r="70" spans="2:22" ht="12" hidden="1" customHeight="1">
      <c r="B70" s="88"/>
      <c r="C70" s="1121"/>
      <c r="D70" s="1084"/>
      <c r="E70" s="1084">
        <f>C70/$H$78</f>
        <v>0</v>
      </c>
      <c r="F70" s="1211"/>
      <c r="G70" s="88">
        <f>ROUNDDOWN(N71,0)</f>
        <v>52</v>
      </c>
      <c r="H70" s="1085"/>
      <c r="I70" s="1084">
        <f>H70/$H$78</f>
        <v>0</v>
      </c>
      <c r="J70" s="90">
        <v>137.35</v>
      </c>
      <c r="K70" s="90">
        <v>11.28</v>
      </c>
      <c r="L70" s="90">
        <v>25.54</v>
      </c>
      <c r="M70" s="90">
        <f>K70+L70</f>
        <v>36.82</v>
      </c>
      <c r="N70" s="90">
        <f>J70+M70</f>
        <v>174.17</v>
      </c>
      <c r="O70" s="90">
        <f>$O$78/$J$78*J70</f>
        <v>0.41279692655310296</v>
      </c>
      <c r="P70" s="90">
        <f>$P$78/$J$78*J70</f>
        <v>3.864565512397145</v>
      </c>
      <c r="Q70" s="90">
        <f>$Q$78/$J$78*J70</f>
        <v>116.55734018153416</v>
      </c>
      <c r="R70" s="90">
        <f>O70+P70+Q70</f>
        <v>120.83470262048441</v>
      </c>
      <c r="S70" s="90">
        <f>N70+R70</f>
        <v>295.00470262048441</v>
      </c>
      <c r="T70" s="899"/>
    </row>
    <row r="71" spans="2:22" ht="12" hidden="1" customHeight="1">
      <c r="B71" s="87"/>
      <c r="C71" s="1121"/>
      <c r="D71" s="938"/>
      <c r="E71" s="938"/>
      <c r="F71" s="838"/>
      <c r="G71" s="87">
        <f>ROUNDDOWN(J70,0)</f>
        <v>137</v>
      </c>
      <c r="H71" s="936"/>
      <c r="I71" s="938"/>
      <c r="J71" s="111">
        <f t="shared" ref="J71:S71" si="18">ROUNDDOWN(J70*0.3025,2)</f>
        <v>41.54</v>
      </c>
      <c r="K71" s="111">
        <f t="shared" si="18"/>
        <v>3.41</v>
      </c>
      <c r="L71" s="111">
        <f t="shared" si="18"/>
        <v>7.72</v>
      </c>
      <c r="M71" s="111">
        <f t="shared" si="18"/>
        <v>11.13</v>
      </c>
      <c r="N71" s="111">
        <f t="shared" si="18"/>
        <v>52.68</v>
      </c>
      <c r="O71" s="111">
        <f t="shared" si="18"/>
        <v>0.12</v>
      </c>
      <c r="P71" s="111">
        <f t="shared" si="18"/>
        <v>1.1599999999999999</v>
      </c>
      <c r="Q71" s="111">
        <f t="shared" si="18"/>
        <v>35.25</v>
      </c>
      <c r="R71" s="111">
        <f t="shared" si="18"/>
        <v>36.549999999999997</v>
      </c>
      <c r="S71" s="111">
        <f t="shared" si="18"/>
        <v>89.23</v>
      </c>
      <c r="T71" s="899"/>
    </row>
    <row r="72" spans="2:22" ht="12" hidden="1" customHeight="1">
      <c r="B72" s="324"/>
      <c r="C72" s="308"/>
      <c r="D72" s="305"/>
      <c r="E72" s="940" t="e">
        <f>C72/$H$75</f>
        <v>#DIV/0!</v>
      </c>
      <c r="F72" s="203"/>
      <c r="G72" s="88">
        <f>ROUNDDOWN(N73,0)</f>
        <v>62</v>
      </c>
      <c r="H72" s="939"/>
      <c r="I72" s="940" t="e">
        <f>H72/$H$75</f>
        <v>#DIV/0!</v>
      </c>
      <c r="J72" s="90">
        <v>165.89</v>
      </c>
      <c r="K72" s="90">
        <v>13.45</v>
      </c>
      <c r="L72" s="90">
        <v>26.42</v>
      </c>
      <c r="M72" s="90">
        <f>K72+L72</f>
        <v>39.870000000000005</v>
      </c>
      <c r="N72" s="90">
        <f>J72+M72</f>
        <v>205.76</v>
      </c>
      <c r="O72" s="90">
        <f>$O$75/$J$75*J72</f>
        <v>0.48287642233395078</v>
      </c>
      <c r="P72" s="90">
        <f>$P$75/$J$75*J72</f>
        <v>4.6531727970362526</v>
      </c>
      <c r="Q72" s="90">
        <f>$Q$75/$J$75*J72</f>
        <v>140.78042603863454</v>
      </c>
      <c r="R72" s="90">
        <f>O72+P72+Q72</f>
        <v>145.91647525800474</v>
      </c>
      <c r="S72" s="90">
        <f>N72+R72</f>
        <v>351.67647525800476</v>
      </c>
      <c r="T72" s="899"/>
    </row>
    <row r="73" spans="2:22" ht="12" hidden="1" customHeight="1">
      <c r="B73" s="324"/>
      <c r="C73" s="308"/>
      <c r="D73" s="305"/>
      <c r="E73" s="938"/>
      <c r="F73" s="203"/>
      <c r="G73" s="87">
        <f>ROUNDDOWN(J72,0)</f>
        <v>165</v>
      </c>
      <c r="H73" s="936"/>
      <c r="I73" s="938"/>
      <c r="J73" s="111">
        <f t="shared" ref="J73:S73" si="19">ROUNDDOWN(J72*0.3025,2)</f>
        <v>50.18</v>
      </c>
      <c r="K73" s="111">
        <f t="shared" si="19"/>
        <v>4.0599999999999996</v>
      </c>
      <c r="L73" s="111">
        <f t="shared" si="19"/>
        <v>7.99</v>
      </c>
      <c r="M73" s="111">
        <f t="shared" si="19"/>
        <v>12.06</v>
      </c>
      <c r="N73" s="111">
        <f t="shared" si="19"/>
        <v>62.24</v>
      </c>
      <c r="O73" s="111">
        <f t="shared" si="19"/>
        <v>0.14000000000000001</v>
      </c>
      <c r="P73" s="111">
        <f t="shared" si="19"/>
        <v>1.4</v>
      </c>
      <c r="Q73" s="111">
        <f t="shared" si="19"/>
        <v>42.58</v>
      </c>
      <c r="R73" s="111">
        <f t="shared" si="19"/>
        <v>44.13</v>
      </c>
      <c r="S73" s="111">
        <f t="shared" si="19"/>
        <v>106.38</v>
      </c>
      <c r="T73" s="899"/>
    </row>
    <row r="74" spans="2:22" ht="12" hidden="1" customHeight="1">
      <c r="B74" s="88"/>
      <c r="C74" s="1121"/>
      <c r="D74" s="940"/>
      <c r="E74" s="940">
        <f>C74/$H$78</f>
        <v>0</v>
      </c>
      <c r="F74" s="838"/>
      <c r="G74" s="88">
        <f>ROUNDDOWN(N75,0)</f>
        <v>49</v>
      </c>
      <c r="H74" s="939"/>
      <c r="I74" s="940">
        <f>H74/$H$78</f>
        <v>0</v>
      </c>
      <c r="J74" s="90">
        <v>124.94</v>
      </c>
      <c r="K74" s="90">
        <v>11.85</v>
      </c>
      <c r="L74" s="90">
        <v>27.85</v>
      </c>
      <c r="M74" s="90">
        <f>K74+L74</f>
        <v>39.700000000000003</v>
      </c>
      <c r="N74" s="90">
        <f>J74+M74</f>
        <v>164.64</v>
      </c>
      <c r="O74" s="90">
        <f>$O$78/$J$78*J74</f>
        <v>0.37549943941423142</v>
      </c>
      <c r="P74" s="90">
        <f>$P$78/$J$78*J74</f>
        <v>3.5153899899446621</v>
      </c>
      <c r="Q74" s="90">
        <f>$Q$78/$J$78*J74</f>
        <v>106.02602171300238</v>
      </c>
      <c r="R74" s="90">
        <f>O74+P74+Q74</f>
        <v>109.91691114236127</v>
      </c>
      <c r="S74" s="90">
        <f>N74+R74</f>
        <v>274.55691114236129</v>
      </c>
      <c r="T74" s="899"/>
      <c r="V74" s="173">
        <f>N52+N76</f>
        <v>477973.66000000009</v>
      </c>
    </row>
    <row r="75" spans="2:22" ht="12" hidden="1" customHeight="1">
      <c r="B75" s="87"/>
      <c r="C75" s="1121"/>
      <c r="D75" s="938"/>
      <c r="E75" s="938"/>
      <c r="F75" s="838"/>
      <c r="G75" s="273">
        <f>ROUNDDOWN(J74,0)</f>
        <v>124</v>
      </c>
      <c r="H75" s="936"/>
      <c r="I75" s="938"/>
      <c r="J75" s="111">
        <f t="shared" ref="J75:S75" si="20">ROUNDDOWN(J74*0.3025,2)</f>
        <v>37.79</v>
      </c>
      <c r="K75" s="111">
        <f t="shared" si="20"/>
        <v>3.58</v>
      </c>
      <c r="L75" s="111">
        <f t="shared" si="20"/>
        <v>8.42</v>
      </c>
      <c r="M75" s="111">
        <f t="shared" si="20"/>
        <v>12</v>
      </c>
      <c r="N75" s="111">
        <f t="shared" si="20"/>
        <v>49.8</v>
      </c>
      <c r="O75" s="111">
        <f t="shared" si="20"/>
        <v>0.11</v>
      </c>
      <c r="P75" s="111">
        <f t="shared" si="20"/>
        <v>1.06</v>
      </c>
      <c r="Q75" s="111">
        <f t="shared" si="20"/>
        <v>32.07</v>
      </c>
      <c r="R75" s="111">
        <f t="shared" si="20"/>
        <v>33.24</v>
      </c>
      <c r="S75" s="111">
        <f t="shared" si="20"/>
        <v>83.05</v>
      </c>
      <c r="T75" s="899"/>
      <c r="V75" s="144">
        <f>R52+R76</f>
        <v>307358</v>
      </c>
    </row>
    <row r="76" spans="2:22" ht="12" customHeight="1">
      <c r="B76" s="130"/>
      <c r="C76" s="130"/>
      <c r="D76" s="1131"/>
      <c r="E76" s="1131">
        <f>E56+E58+E60+E62+E66</f>
        <v>0.99999999999999989</v>
      </c>
      <c r="F76" s="77"/>
      <c r="G76" s="1202" t="s">
        <v>82</v>
      </c>
      <c r="H76" s="1219">
        <f>SUM(H54:H75)</f>
        <v>4234</v>
      </c>
      <c r="I76" s="1131">
        <f>I56+I58+I60+I62+I66</f>
        <v>0.89970250743731395</v>
      </c>
      <c r="J76" s="365">
        <f>SUMPRODUCT(H54:H75,J54:J75)</f>
        <v>320740.30000000005</v>
      </c>
      <c r="K76" s="365">
        <f>SUMPRODUCT(H54:H75,K54:K75)</f>
        <v>29008.760000000002</v>
      </c>
      <c r="L76" s="365">
        <f>SUMPRODUCT(H54:H75,L54:L75)</f>
        <v>88008.4</v>
      </c>
      <c r="M76" s="365">
        <f>K76+L76</f>
        <v>117017.16</v>
      </c>
      <c r="N76" s="365">
        <f>J76+M76</f>
        <v>437757.46000000008</v>
      </c>
      <c r="O76" s="365">
        <f>SUMPRODUCT(H54:H75,O54:O75)</f>
        <v>963.9651260409189</v>
      </c>
      <c r="P76" s="365">
        <f>SUMPRODUCT(H54:H75,P54:P75)</f>
        <v>9024.5497037926034</v>
      </c>
      <c r="Q76" s="365">
        <f>SUMPRODUCT(H54:H75,Q54:Q75)</f>
        <v>272185.19298891391</v>
      </c>
      <c r="R76" s="365">
        <f>O76+P76+Q76</f>
        <v>282173.70781874744</v>
      </c>
      <c r="S76" s="365">
        <f>N76+R76</f>
        <v>719931.16781874746</v>
      </c>
      <c r="T76" s="1220"/>
      <c r="V76" s="173">
        <f>S52+S76</f>
        <v>785331.66</v>
      </c>
    </row>
    <row r="77" spans="2:22" ht="12" customHeight="1">
      <c r="D77" s="1132"/>
      <c r="E77" s="1132"/>
      <c r="F77" s="77"/>
      <c r="G77" s="1203"/>
      <c r="H77" s="1205"/>
      <c r="I77" s="1132"/>
      <c r="J77" s="292">
        <f t="shared" ref="J77:S77" si="21">ROUNDDOWN(J76*0.3025,2)</f>
        <v>97023.94</v>
      </c>
      <c r="K77" s="292">
        <f t="shared" si="21"/>
        <v>8775.14</v>
      </c>
      <c r="L77" s="292">
        <f t="shared" si="21"/>
        <v>26622.54</v>
      </c>
      <c r="M77" s="292">
        <f t="shared" si="21"/>
        <v>35397.69</v>
      </c>
      <c r="N77" s="292">
        <f t="shared" si="21"/>
        <v>132421.63</v>
      </c>
      <c r="O77" s="292">
        <f t="shared" si="21"/>
        <v>291.58999999999997</v>
      </c>
      <c r="P77" s="292">
        <f t="shared" si="21"/>
        <v>2729.92</v>
      </c>
      <c r="Q77" s="292">
        <f t="shared" si="21"/>
        <v>82336.02</v>
      </c>
      <c r="R77" s="292">
        <f t="shared" si="21"/>
        <v>85357.54</v>
      </c>
      <c r="S77" s="292">
        <f t="shared" si="21"/>
        <v>217779.17</v>
      </c>
      <c r="T77" s="1207"/>
    </row>
    <row r="78" spans="2:22" ht="17.25" customHeight="1">
      <c r="C78" s="1212"/>
      <c r="D78" s="940"/>
      <c r="F78" s="77"/>
      <c r="G78" s="1213" t="s">
        <v>69</v>
      </c>
      <c r="H78" s="1215">
        <f>H52+H76</f>
        <v>4706</v>
      </c>
      <c r="I78" s="1217">
        <f>I52+I76</f>
        <v>0.99999999999999989</v>
      </c>
      <c r="J78" s="368">
        <f>J52+J76</f>
        <v>349366.70000000007</v>
      </c>
      <c r="K78" s="368">
        <f>K52+K76</f>
        <v>31671.360000000001</v>
      </c>
      <c r="L78" s="368">
        <f>L52+L76</f>
        <v>96935.599999999991</v>
      </c>
      <c r="M78" s="368">
        <f>K78+L78</f>
        <v>128606.95999999999</v>
      </c>
      <c r="N78" s="368">
        <f>J78+M78</f>
        <v>477973.66000000003</v>
      </c>
      <c r="O78" s="368">
        <v>1050</v>
      </c>
      <c r="P78" s="368">
        <f>R6+R7+R8+R9+R10+R11+R12</f>
        <v>9830</v>
      </c>
      <c r="Q78" s="368">
        <f>(R18*V17)</f>
        <v>296478</v>
      </c>
      <c r="R78" s="368">
        <f>O78+P78+Q78</f>
        <v>307358</v>
      </c>
      <c r="S78" s="368">
        <f>N78+R78</f>
        <v>785331.66</v>
      </c>
      <c r="T78" s="358"/>
    </row>
    <row r="79" spans="2:22" ht="17.25" customHeight="1">
      <c r="C79" s="1076"/>
      <c r="D79" s="938"/>
      <c r="F79" s="77"/>
      <c r="G79" s="1214"/>
      <c r="H79" s="1216"/>
      <c r="I79" s="1218"/>
      <c r="J79" s="359">
        <f t="shared" ref="J79:S79" si="22">ROUNDDOWN(J78*0.3025,2)</f>
        <v>105683.42</v>
      </c>
      <c r="K79" s="359">
        <f t="shared" si="22"/>
        <v>9580.58</v>
      </c>
      <c r="L79" s="359">
        <f t="shared" si="22"/>
        <v>29323.01</v>
      </c>
      <c r="M79" s="359">
        <f t="shared" si="22"/>
        <v>38903.599999999999</v>
      </c>
      <c r="N79" s="359">
        <f t="shared" si="22"/>
        <v>144587.03</v>
      </c>
      <c r="O79" s="359">
        <f t="shared" si="22"/>
        <v>317.62</v>
      </c>
      <c r="P79" s="359">
        <f t="shared" si="22"/>
        <v>2973.57</v>
      </c>
      <c r="Q79" s="359">
        <f t="shared" si="22"/>
        <v>89684.59</v>
      </c>
      <c r="R79" s="359">
        <f t="shared" si="22"/>
        <v>92975.79</v>
      </c>
      <c r="S79" s="359">
        <f t="shared" si="22"/>
        <v>237562.82</v>
      </c>
      <c r="T79" s="360"/>
    </row>
    <row r="80" spans="2:22" ht="6" customHeight="1">
      <c r="F80" s="77"/>
      <c r="G80" s="1046"/>
      <c r="H80" s="1047"/>
      <c r="I80" s="1047"/>
      <c r="J80" s="1047"/>
      <c r="K80" s="1047"/>
      <c r="L80" s="1047"/>
      <c r="M80" s="1047"/>
      <c r="N80" s="1047"/>
      <c r="O80" s="1047"/>
      <c r="P80" s="1047"/>
      <c r="Q80" s="1047"/>
      <c r="R80" s="1047"/>
      <c r="S80" s="1047"/>
      <c r="T80" s="1048"/>
    </row>
    <row r="81" spans="4:43" ht="18" customHeight="1">
      <c r="D81" s="321"/>
      <c r="F81" s="77"/>
      <c r="G81" s="951" t="s">
        <v>87</v>
      </c>
      <c r="H81" s="951"/>
      <c r="I81" s="951"/>
      <c r="J81" s="951"/>
      <c r="K81" s="951"/>
      <c r="L81" s="951"/>
      <c r="M81" s="951"/>
      <c r="N81" s="951"/>
      <c r="O81" s="951"/>
      <c r="P81" s="951"/>
      <c r="Q81" s="951"/>
      <c r="R81" s="951"/>
      <c r="S81" s="951"/>
      <c r="T81" s="952"/>
    </row>
    <row r="82" spans="4:43" s="6" customFormat="1" ht="14.1" customHeight="1">
      <c r="E82" s="322"/>
      <c r="F82" s="79"/>
      <c r="G82" s="984" t="s">
        <v>16</v>
      </c>
      <c r="H82" s="985"/>
      <c r="I82" s="986" t="s">
        <v>7</v>
      </c>
      <c r="J82" s="987"/>
      <c r="K82" s="986" t="s">
        <v>83</v>
      </c>
      <c r="L82" s="987"/>
      <c r="M82" s="986" t="s">
        <v>22</v>
      </c>
      <c r="N82" s="987"/>
      <c r="O82" s="85" t="s">
        <v>218</v>
      </c>
      <c r="P82" s="85" t="s">
        <v>32</v>
      </c>
      <c r="Q82" s="1044" t="s">
        <v>73</v>
      </c>
      <c r="R82" s="1045"/>
      <c r="S82" s="1051" t="s">
        <v>74</v>
      </c>
      <c r="T82" s="1052"/>
    </row>
    <row r="83" spans="4:43" s="6" customFormat="1" ht="14.1" hidden="1" customHeight="1">
      <c r="F83" s="79"/>
      <c r="G83" s="1032" t="s">
        <v>50</v>
      </c>
      <c r="H83" s="1033"/>
      <c r="I83" s="1049">
        <f>M83*0.7</f>
        <v>0</v>
      </c>
      <c r="J83" s="1050"/>
      <c r="K83" s="1049">
        <f>M83*0.3</f>
        <v>0</v>
      </c>
      <c r="L83" s="1050"/>
      <c r="M83" s="1049">
        <v>0</v>
      </c>
      <c r="N83" s="1050"/>
      <c r="O83" s="58">
        <f>M83*0.15</f>
        <v>0</v>
      </c>
      <c r="P83" s="59" t="e">
        <f>#REF!*42</f>
        <v>#REF!</v>
      </c>
      <c r="Q83" s="988" t="e">
        <f>SUM(M83:P83)</f>
        <v>#REF!</v>
      </c>
      <c r="R83" s="989"/>
      <c r="S83" s="990"/>
      <c r="T83" s="991"/>
    </row>
    <row r="84" spans="4:43" s="6" customFormat="1" ht="14.1" hidden="1" customHeight="1">
      <c r="F84" s="79"/>
      <c r="G84" s="1034"/>
      <c r="H84" s="1035"/>
      <c r="I84" s="992">
        <f t="shared" ref="I84:I86" si="23">I83*0.3025</f>
        <v>0</v>
      </c>
      <c r="J84" s="993"/>
      <c r="K84" s="992">
        <f>K83*0.3025</f>
        <v>0</v>
      </c>
      <c r="L84" s="993"/>
      <c r="M84" s="1038">
        <f>M83*0.3025</f>
        <v>0</v>
      </c>
      <c r="N84" s="1039"/>
      <c r="O84" s="9">
        <f t="shared" ref="O84:O90" si="24">O83*0.3025</f>
        <v>0</v>
      </c>
      <c r="P84" s="60" t="e">
        <f>P83*0.3025</f>
        <v>#REF!</v>
      </c>
      <c r="Q84" s="1040" t="e">
        <f>Q83*0.3025</f>
        <v>#REF!</v>
      </c>
      <c r="R84" s="1041"/>
      <c r="S84" s="1042"/>
      <c r="T84" s="1043"/>
    </row>
    <row r="85" spans="4:43" s="6" customFormat="1" ht="14.1" customHeight="1">
      <c r="F85" s="79"/>
      <c r="G85" s="996" t="s">
        <v>38</v>
      </c>
      <c r="H85" s="1001" t="s">
        <v>45</v>
      </c>
      <c r="I85" s="1057">
        <f>M85*0.7</f>
        <v>840</v>
      </c>
      <c r="J85" s="1000"/>
      <c r="K85" s="999">
        <f>M85*0.3</f>
        <v>360</v>
      </c>
      <c r="L85" s="1000"/>
      <c r="M85" s="1058">
        <v>1200</v>
      </c>
      <c r="N85" s="1059"/>
      <c r="O85" s="91">
        <v>0</v>
      </c>
      <c r="P85" s="91">
        <v>0</v>
      </c>
      <c r="Q85" s="1017">
        <f>SUM(M85:P85)</f>
        <v>1200</v>
      </c>
      <c r="R85" s="1018"/>
      <c r="S85" s="1019"/>
      <c r="T85" s="1020"/>
      <c r="U85" s="7"/>
      <c r="V85" s="7"/>
      <c r="W85" s="7"/>
      <c r="X85" s="8"/>
    </row>
    <row r="86" spans="4:43" s="6" customFormat="1" ht="14.1" customHeight="1">
      <c r="F86" s="79"/>
      <c r="G86" s="997"/>
      <c r="H86" s="1002"/>
      <c r="I86" s="1021">
        <f t="shared" si="23"/>
        <v>254.1</v>
      </c>
      <c r="J86" s="1022"/>
      <c r="K86" s="1023">
        <f>K85*0.3025</f>
        <v>108.89999999999999</v>
      </c>
      <c r="L86" s="1022"/>
      <c r="M86" s="1024">
        <f>M85*0.3025</f>
        <v>363</v>
      </c>
      <c r="N86" s="1025"/>
      <c r="O86" s="92">
        <f>O85*0.3025</f>
        <v>0</v>
      </c>
      <c r="P86" s="92">
        <f>P85*0.3025</f>
        <v>0</v>
      </c>
      <c r="Q86" s="1024">
        <f>Q85*0.3025</f>
        <v>363</v>
      </c>
      <c r="R86" s="1025"/>
      <c r="S86" s="1026"/>
      <c r="T86" s="1027"/>
      <c r="U86" s="7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spans="4:43" s="6" customFormat="1" ht="14.1" customHeight="1">
      <c r="F87" s="79"/>
      <c r="G87" s="997"/>
      <c r="H87" s="1077" t="s">
        <v>46</v>
      </c>
      <c r="I87" s="1057">
        <f>M87*0.7</f>
        <v>2800</v>
      </c>
      <c r="J87" s="1000"/>
      <c r="K87" s="999">
        <f>M87*0.3</f>
        <v>1200</v>
      </c>
      <c r="L87" s="1000"/>
      <c r="M87" s="1058">
        <v>4000</v>
      </c>
      <c r="N87" s="1059"/>
      <c r="O87" s="93">
        <f>O89</f>
        <v>900</v>
      </c>
      <c r="P87" s="97">
        <f>R24*V17</f>
        <v>2310</v>
      </c>
      <c r="Q87" s="1058">
        <f>SUM(M87:P87)</f>
        <v>7210</v>
      </c>
      <c r="R87" s="1059"/>
      <c r="S87" s="1060"/>
      <c r="T87" s="1061"/>
      <c r="U87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spans="4:43" ht="14.1" customHeight="1">
      <c r="F88" s="77"/>
      <c r="G88" s="998"/>
      <c r="H88" s="1078"/>
      <c r="I88" s="1062">
        <f t="shared" ref="I88" si="25">I87*0.3025</f>
        <v>847</v>
      </c>
      <c r="J88" s="1063"/>
      <c r="K88" s="1064">
        <f>K87*0.3025</f>
        <v>363</v>
      </c>
      <c r="L88" s="1063"/>
      <c r="M88" s="1065">
        <f>M87*0.3025</f>
        <v>1210</v>
      </c>
      <c r="N88" s="1066"/>
      <c r="O88" s="94">
        <f>O87*0.3025</f>
        <v>272.25</v>
      </c>
      <c r="P88" s="98">
        <f>P87*0.3025</f>
        <v>698.77499999999998</v>
      </c>
      <c r="Q88" s="1065">
        <f>Q87*0.3025</f>
        <v>2181.0250000000001</v>
      </c>
      <c r="R88" s="1066"/>
      <c r="S88" s="1067"/>
      <c r="T88" s="1068"/>
      <c r="U88"/>
      <c r="AQ88" s="6"/>
    </row>
    <row r="89" spans="4:43" ht="14.1" customHeight="1">
      <c r="F89" s="77"/>
      <c r="G89" s="1225" t="s">
        <v>69</v>
      </c>
      <c r="H89" s="1226"/>
      <c r="I89" s="1229">
        <f>M89*0.7</f>
        <v>3639.9999999999995</v>
      </c>
      <c r="J89" s="1230"/>
      <c r="K89" s="1231">
        <f>M89*0.3</f>
        <v>1560</v>
      </c>
      <c r="L89" s="1230"/>
      <c r="M89" s="1231">
        <f>M85+M87</f>
        <v>5200</v>
      </c>
      <c r="N89" s="1230"/>
      <c r="O89" s="293">
        <v>900</v>
      </c>
      <c r="P89" s="293">
        <f>P87</f>
        <v>2310</v>
      </c>
      <c r="Q89" s="1232">
        <f>SUM(M89:P89)</f>
        <v>8410</v>
      </c>
      <c r="R89" s="1233"/>
      <c r="S89" s="1234"/>
      <c r="T89" s="1235"/>
      <c r="U89" s="6"/>
      <c r="AQ89" s="6"/>
    </row>
    <row r="90" spans="4:43" ht="14.1" customHeight="1">
      <c r="F90" s="77"/>
      <c r="G90" s="1227"/>
      <c r="H90" s="1228"/>
      <c r="I90" s="1236">
        <f t="shared" ref="I90" si="26">I89*0.3025</f>
        <v>1101.0999999999999</v>
      </c>
      <c r="J90" s="1237"/>
      <c r="K90" s="1238">
        <f>K89*0.3025</f>
        <v>471.9</v>
      </c>
      <c r="L90" s="1237"/>
      <c r="M90" s="1221">
        <f>M89*0.3025</f>
        <v>1573</v>
      </c>
      <c r="N90" s="1222"/>
      <c r="O90" s="294">
        <f t="shared" si="24"/>
        <v>272.25</v>
      </c>
      <c r="P90" s="295">
        <f>P89*0.3025</f>
        <v>698.77499999999998</v>
      </c>
      <c r="Q90" s="1221">
        <f>Q89*0.3025</f>
        <v>2544.0250000000001</v>
      </c>
      <c r="R90" s="1222"/>
      <c r="S90" s="1223"/>
      <c r="T90" s="1224"/>
      <c r="U90" s="7"/>
      <c r="AQ90" s="6"/>
    </row>
    <row r="91" spans="4:43" ht="14.1" customHeight="1">
      <c r="Q91" s="5"/>
      <c r="R91" s="5"/>
      <c r="S91" s="5"/>
      <c r="T91" s="6"/>
      <c r="U91" s="6"/>
      <c r="AQ91" s="6"/>
    </row>
    <row r="92" spans="4:43" ht="14.1" customHeight="1">
      <c r="J92" s="2">
        <f>H56*J56+J58*H58+H60*J60+J62*H62+H66*J66</f>
        <v>320740.30000000005</v>
      </c>
      <c r="K92" s="2">
        <f>H56*K56+K58*H58+H60*K60+K62*H62+H66*K66</f>
        <v>29008.760000000002</v>
      </c>
      <c r="T92" s="6"/>
      <c r="U92" s="6"/>
      <c r="AQ92" s="6"/>
    </row>
    <row r="93" spans="4:43" ht="14.1" customHeight="1">
      <c r="T93" s="6"/>
      <c r="U93" s="6"/>
      <c r="AQ93" s="6"/>
    </row>
    <row r="94" spans="4:43" ht="14.1" customHeight="1">
      <c r="T94" s="6"/>
      <c r="U94" s="6"/>
      <c r="AQ94" s="6"/>
    </row>
    <row r="95" spans="4:43" ht="14.1" customHeight="1">
      <c r="H95" s="11">
        <f>H38+H58</f>
        <v>1040</v>
      </c>
      <c r="I95" s="145">
        <f>I38+I58</f>
        <v>0.22099447513812154</v>
      </c>
      <c r="M95" s="144">
        <f t="shared" ref="M95:S95" si="27">M52+M76</f>
        <v>128606.96</v>
      </c>
      <c r="N95" s="144">
        <f t="shared" si="27"/>
        <v>477973.66000000009</v>
      </c>
      <c r="O95" s="144">
        <f t="shared" si="27"/>
        <v>1049.9999999999998</v>
      </c>
      <c r="P95" s="144">
        <f t="shared" si="27"/>
        <v>9829.9999999999982</v>
      </c>
      <c r="Q95" s="144">
        <f t="shared" si="27"/>
        <v>296478</v>
      </c>
      <c r="R95" s="144">
        <f t="shared" si="27"/>
        <v>307358</v>
      </c>
      <c r="S95" s="144">
        <f t="shared" si="27"/>
        <v>785331.66</v>
      </c>
      <c r="T95" s="6"/>
      <c r="U95" s="6"/>
      <c r="AQ95" s="6"/>
    </row>
    <row r="96" spans="4:43" ht="14.1" customHeight="1">
      <c r="H96" s="11">
        <f>H58+H60+H64</f>
        <v>1480</v>
      </c>
      <c r="AQ96" s="6"/>
    </row>
    <row r="97" spans="7:43" ht="14.1" customHeight="1">
      <c r="AQ97" s="6"/>
    </row>
    <row r="98" spans="7:43" ht="14.1" customHeight="1">
      <c r="AQ98" s="6"/>
    </row>
    <row r="99" spans="7:43" ht="14.1" customHeight="1">
      <c r="AQ99" s="6"/>
    </row>
    <row r="100" spans="7:43" ht="14.1" customHeight="1">
      <c r="AQ100" s="6"/>
    </row>
    <row r="101" spans="7:43" ht="14.1" customHeight="1" thickBot="1">
      <c r="G101" s="1"/>
      <c r="K101" s="3"/>
      <c r="M101" s="1007" t="s">
        <v>89</v>
      </c>
      <c r="N101" s="1007"/>
      <c r="O101" s="1007"/>
      <c r="P101" s="112"/>
      <c r="Q101" s="113"/>
      <c r="R101" s="112"/>
      <c r="S101" s="6"/>
      <c r="AQ101" s="6"/>
    </row>
    <row r="102" spans="7:43" ht="14.1" customHeight="1">
      <c r="G102" s="34"/>
      <c r="H102" s="35"/>
      <c r="I102" s="36"/>
      <c r="J102" s="36"/>
      <c r="K102" s="37"/>
      <c r="M102" s="114"/>
      <c r="N102" s="115">
        <v>0</v>
      </c>
      <c r="O102" s="116">
        <v>300</v>
      </c>
      <c r="P102" s="117">
        <v>500</v>
      </c>
      <c r="Q102" s="118">
        <v>1000</v>
      </c>
      <c r="R102" s="117">
        <v>2000</v>
      </c>
      <c r="S102" s="6"/>
      <c r="AQ102" s="6"/>
    </row>
    <row r="103" spans="7:43" ht="14.1" customHeight="1">
      <c r="G103" s="38"/>
      <c r="H103" s="39"/>
      <c r="I103" s="40"/>
      <c r="J103" s="40"/>
      <c r="K103" s="41"/>
      <c r="M103" s="119"/>
      <c r="N103" s="120" t="s">
        <v>90</v>
      </c>
      <c r="O103" s="120" t="s">
        <v>91</v>
      </c>
      <c r="P103" s="120" t="s">
        <v>92</v>
      </c>
      <c r="Q103" s="120" t="s">
        <v>93</v>
      </c>
      <c r="R103" s="120" t="s">
        <v>94</v>
      </c>
      <c r="S103" s="6"/>
      <c r="AQ103" s="6"/>
    </row>
    <row r="104" spans="7:43" ht="14.1" customHeight="1">
      <c r="G104" s="980"/>
      <c r="H104" s="106"/>
      <c r="I104" s="106"/>
      <c r="J104" s="106"/>
      <c r="K104" s="42"/>
      <c r="M104" s="119" t="s">
        <v>4</v>
      </c>
      <c r="N104" s="121">
        <v>6</v>
      </c>
      <c r="O104" s="121">
        <v>8</v>
      </c>
      <c r="P104" s="121">
        <v>12</v>
      </c>
      <c r="Q104" s="122">
        <v>15</v>
      </c>
      <c r="R104" s="121">
        <v>20</v>
      </c>
      <c r="S104" s="6"/>
      <c r="AQ104" s="6"/>
    </row>
    <row r="105" spans="7:43" ht="14.1" customHeight="1">
      <c r="G105" s="981"/>
      <c r="H105" s="107"/>
      <c r="I105" s="107"/>
      <c r="J105" s="108"/>
      <c r="K105" s="43"/>
      <c r="M105" s="114"/>
      <c r="N105" s="112"/>
      <c r="O105" s="112"/>
      <c r="P105" s="112"/>
      <c r="Q105" s="113"/>
      <c r="R105" s="112"/>
      <c r="S105" s="6"/>
      <c r="AQ105" s="6"/>
    </row>
    <row r="106" spans="7:43" ht="14.1" customHeight="1">
      <c r="G106" s="994"/>
      <c r="H106" s="106"/>
      <c r="I106" s="106"/>
      <c r="J106" s="106"/>
      <c r="K106" s="42"/>
      <c r="M106" s="114"/>
      <c r="N106" s="112"/>
      <c r="O106" s="112"/>
      <c r="P106" s="112"/>
      <c r="Q106" s="113"/>
      <c r="R106" s="112"/>
      <c r="S106" s="6"/>
      <c r="AQ106" s="6"/>
    </row>
    <row r="107" spans="7:43" ht="14.1" customHeight="1">
      <c r="G107" s="995"/>
      <c r="H107" s="107"/>
      <c r="I107" s="107"/>
      <c r="J107" s="108"/>
      <c r="K107" s="43"/>
      <c r="M107" s="1007" t="s">
        <v>95</v>
      </c>
      <c r="N107" s="1007"/>
      <c r="O107" s="1007"/>
      <c r="P107" s="112"/>
      <c r="Q107" s="113"/>
      <c r="R107" s="112"/>
      <c r="S107" s="6"/>
      <c r="AQ107" s="6"/>
    </row>
    <row r="108" spans="7:43" ht="20.25" customHeight="1">
      <c r="G108" s="994"/>
      <c r="H108" s="106"/>
      <c r="I108" s="106"/>
      <c r="J108" s="106"/>
      <c r="K108" s="42"/>
      <c r="M108" s="123"/>
      <c r="N108" s="123">
        <v>0</v>
      </c>
      <c r="O108" s="142">
        <v>150</v>
      </c>
      <c r="P108" s="142">
        <v>300</v>
      </c>
      <c r="Q108" s="142">
        <v>500</v>
      </c>
      <c r="R108" s="142">
        <v>1000</v>
      </c>
      <c r="S108" s="142">
        <v>1500</v>
      </c>
      <c r="AQ108" s="6"/>
    </row>
    <row r="109" spans="7:43" ht="20.25" customHeight="1">
      <c r="G109" s="981"/>
      <c r="H109" s="107"/>
      <c r="I109" s="107"/>
      <c r="J109" s="108"/>
      <c r="K109" s="43"/>
      <c r="M109" s="125"/>
      <c r="N109" s="125" t="s">
        <v>96</v>
      </c>
      <c r="O109" s="125" t="s">
        <v>97</v>
      </c>
      <c r="P109" s="125" t="s">
        <v>91</v>
      </c>
      <c r="Q109" s="125" t="s">
        <v>92</v>
      </c>
      <c r="R109" s="125" t="s">
        <v>98</v>
      </c>
      <c r="S109" s="125" t="s">
        <v>99</v>
      </c>
    </row>
    <row r="110" spans="7:43" ht="14.1" customHeight="1">
      <c r="G110" s="980"/>
      <c r="H110" s="106"/>
      <c r="I110" s="106"/>
      <c r="J110" s="106"/>
      <c r="M110" s="126" t="s">
        <v>100</v>
      </c>
      <c r="N110" s="124">
        <v>0</v>
      </c>
      <c r="O110" s="127">
        <f>50+(H78*0.1)</f>
        <v>520.6</v>
      </c>
      <c r="P110" s="127">
        <v>155</v>
      </c>
      <c r="Q110" s="127">
        <v>225</v>
      </c>
      <c r="R110" s="127">
        <v>375</v>
      </c>
      <c r="S110" s="128">
        <v>500</v>
      </c>
    </row>
    <row r="111" spans="7:43" ht="14.1" customHeight="1">
      <c r="G111" s="981"/>
      <c r="H111" s="108"/>
      <c r="I111" s="107"/>
      <c r="J111" s="108"/>
      <c r="M111" s="126" t="s">
        <v>24</v>
      </c>
      <c r="N111" s="124">
        <v>0</v>
      </c>
      <c r="O111" s="123">
        <v>0</v>
      </c>
      <c r="P111" s="127">
        <v>198</v>
      </c>
      <c r="Q111" s="127">
        <v>330</v>
      </c>
      <c r="R111" s="127">
        <v>580</v>
      </c>
      <c r="S111" s="127">
        <v>725</v>
      </c>
    </row>
    <row r="112" spans="7:43" ht="14.1" customHeight="1">
      <c r="G112" s="980"/>
      <c r="H112" s="106"/>
      <c r="I112" s="106"/>
      <c r="J112" s="106"/>
      <c r="K112" s="42"/>
      <c r="M112" s="126" t="s">
        <v>35</v>
      </c>
      <c r="N112" s="124">
        <v>0</v>
      </c>
      <c r="O112" s="123">
        <v>0</v>
      </c>
      <c r="P112" s="129">
        <v>108</v>
      </c>
      <c r="Q112" s="129">
        <v>158</v>
      </c>
      <c r="R112" s="129">
        <v>203</v>
      </c>
      <c r="S112" s="129">
        <v>298</v>
      </c>
    </row>
    <row r="113" spans="7:19" ht="14.1" customHeight="1">
      <c r="G113" s="981"/>
      <c r="H113" s="107"/>
      <c r="I113" s="107"/>
      <c r="J113" s="108"/>
      <c r="K113" s="43"/>
      <c r="S113" s="6"/>
    </row>
    <row r="114" spans="7:19" ht="14.1" customHeight="1">
      <c r="G114" s="81"/>
      <c r="H114" s="106"/>
      <c r="I114" s="106"/>
      <c r="J114" s="106"/>
      <c r="K114" s="42"/>
      <c r="M114" s="1007" t="s">
        <v>101</v>
      </c>
      <c r="N114" s="1007"/>
      <c r="O114" s="1007"/>
      <c r="S114" s="6"/>
    </row>
    <row r="115" spans="7:19" ht="14.1" customHeight="1" thickBot="1">
      <c r="G115" s="44"/>
      <c r="H115" s="109"/>
      <c r="I115" s="109"/>
      <c r="J115" s="110"/>
      <c r="K115" s="45"/>
      <c r="N115" s="130">
        <v>0</v>
      </c>
      <c r="O115" s="130">
        <v>500</v>
      </c>
      <c r="P115" s="130">
        <v>1000</v>
      </c>
      <c r="Q115" s="130">
        <v>1500</v>
      </c>
      <c r="R115" s="6"/>
      <c r="S115" s="6"/>
    </row>
    <row r="116" spans="7:19" ht="14.1" customHeight="1">
      <c r="M116" s="131"/>
      <c r="N116" s="132" t="s">
        <v>102</v>
      </c>
      <c r="O116" s="132" t="s">
        <v>103</v>
      </c>
      <c r="P116" s="132" t="s">
        <v>104</v>
      </c>
      <c r="Q116" s="125" t="s">
        <v>99</v>
      </c>
      <c r="R116" s="6"/>
      <c r="S116" s="6"/>
    </row>
    <row r="117" spans="7:19" ht="14.1" customHeight="1">
      <c r="M117" s="133" t="s">
        <v>105</v>
      </c>
      <c r="N117" s="134">
        <v>90</v>
      </c>
      <c r="O117" s="134">
        <v>90</v>
      </c>
      <c r="P117" s="134">
        <v>108</v>
      </c>
      <c r="Q117" s="135">
        <v>138</v>
      </c>
      <c r="R117" s="6"/>
      <c r="S117" s="6"/>
    </row>
    <row r="118" spans="7:19" ht="14.1" customHeight="1">
      <c r="M118" s="133" t="s">
        <v>106</v>
      </c>
      <c r="N118" s="134">
        <v>188</v>
      </c>
      <c r="O118" s="134">
        <v>188</v>
      </c>
      <c r="P118" s="134">
        <v>324</v>
      </c>
      <c r="Q118" s="135">
        <v>454</v>
      </c>
    </row>
    <row r="119" spans="7:19" ht="14.1" customHeight="1">
      <c r="M119" s="136" t="s">
        <v>107</v>
      </c>
      <c r="N119" s="135">
        <v>146</v>
      </c>
      <c r="O119" s="134">
        <v>158</v>
      </c>
      <c r="P119" s="135">
        <v>184</v>
      </c>
      <c r="Q119" s="135">
        <v>210</v>
      </c>
    </row>
    <row r="120" spans="7:19" ht="14.1" customHeight="1">
      <c r="M120" s="133" t="s">
        <v>108</v>
      </c>
      <c r="N120" s="135">
        <v>60</v>
      </c>
      <c r="O120" s="134">
        <v>80</v>
      </c>
      <c r="P120" s="135">
        <v>100</v>
      </c>
      <c r="Q120" s="135">
        <v>150</v>
      </c>
    </row>
    <row r="121" spans="7:19" ht="14.1" customHeight="1">
      <c r="M121" s="137" t="s">
        <v>1</v>
      </c>
      <c r="N121" s="135">
        <f>SUM(N117:N120)</f>
        <v>484</v>
      </c>
      <c r="O121" s="135">
        <f t="shared" ref="O121:Q121" si="28">SUM(O117:O120)</f>
        <v>516</v>
      </c>
      <c r="P121" s="135">
        <f t="shared" si="28"/>
        <v>716</v>
      </c>
      <c r="Q121" s="135">
        <f t="shared" si="28"/>
        <v>952</v>
      </c>
    </row>
    <row r="122" spans="7:19" ht="14.1" customHeight="1">
      <c r="M122" s="1007" t="s">
        <v>109</v>
      </c>
      <c r="N122" s="1007"/>
      <c r="O122" s="1007"/>
    </row>
    <row r="123" spans="7:19" ht="14.1" customHeight="1">
      <c r="N123" s="130">
        <v>0</v>
      </c>
      <c r="O123" s="130">
        <v>500</v>
      </c>
      <c r="P123" s="130">
        <v>1000</v>
      </c>
      <c r="Q123" s="130">
        <v>1500</v>
      </c>
    </row>
    <row r="124" spans="7:19" ht="14.1" customHeight="1">
      <c r="M124" s="131"/>
      <c r="N124" s="132" t="s">
        <v>102</v>
      </c>
      <c r="O124" s="132" t="s">
        <v>103</v>
      </c>
      <c r="P124" s="132" t="s">
        <v>104</v>
      </c>
      <c r="Q124" s="125" t="s">
        <v>99</v>
      </c>
    </row>
    <row r="125" spans="7:19" ht="14.1" customHeight="1">
      <c r="M125" s="133" t="s">
        <v>114</v>
      </c>
      <c r="N125" s="138">
        <v>36</v>
      </c>
      <c r="O125" s="138">
        <v>48</v>
      </c>
      <c r="P125" s="138">
        <v>56</v>
      </c>
      <c r="Q125" s="139">
        <v>63</v>
      </c>
    </row>
    <row r="126" spans="7:19" ht="14.1" customHeight="1">
      <c r="M126" s="133" t="s">
        <v>115</v>
      </c>
      <c r="N126" s="138">
        <v>12</v>
      </c>
      <c r="O126" s="138">
        <v>18</v>
      </c>
      <c r="P126" s="138">
        <v>22</v>
      </c>
      <c r="Q126" s="139">
        <v>34</v>
      </c>
    </row>
    <row r="127" spans="7:19" ht="14.1" customHeight="1">
      <c r="M127" s="137" t="s">
        <v>1</v>
      </c>
      <c r="N127" s="140">
        <f>SUM(N125:N126)</f>
        <v>48</v>
      </c>
      <c r="O127" s="141">
        <f>SUM(O125:O126)</f>
        <v>66</v>
      </c>
      <c r="P127" s="140">
        <f>SUM(P125:P126)</f>
        <v>78</v>
      </c>
      <c r="Q127" s="140">
        <f>SUM(Q125:Q126)</f>
        <v>97</v>
      </c>
    </row>
  </sheetData>
  <mergeCells count="258">
    <mergeCell ref="G89:H90"/>
    <mergeCell ref="I89:J89"/>
    <mergeCell ref="K89:L89"/>
    <mergeCell ref="M89:N89"/>
    <mergeCell ref="Q89:R89"/>
    <mergeCell ref="S89:T89"/>
    <mergeCell ref="M114:O114"/>
    <mergeCell ref="M122:O122"/>
    <mergeCell ref="G104:G105"/>
    <mergeCell ref="G106:G107"/>
    <mergeCell ref="M107:O107"/>
    <mergeCell ref="G108:G109"/>
    <mergeCell ref="G110:G111"/>
    <mergeCell ref="G112:G113"/>
    <mergeCell ref="I90:J90"/>
    <mergeCell ref="K90:L90"/>
    <mergeCell ref="M90:N90"/>
    <mergeCell ref="I87:J87"/>
    <mergeCell ref="K87:L87"/>
    <mergeCell ref="M87:N87"/>
    <mergeCell ref="Q87:R87"/>
    <mergeCell ref="S87:T87"/>
    <mergeCell ref="I88:J88"/>
    <mergeCell ref="Q90:R90"/>
    <mergeCell ref="S90:T90"/>
    <mergeCell ref="M101:O101"/>
    <mergeCell ref="K88:L88"/>
    <mergeCell ref="M88:N88"/>
    <mergeCell ref="Q88:R88"/>
    <mergeCell ref="S88:T88"/>
    <mergeCell ref="S84:T84"/>
    <mergeCell ref="G85:G88"/>
    <mergeCell ref="H85:H86"/>
    <mergeCell ref="I85:J85"/>
    <mergeCell ref="K85:L85"/>
    <mergeCell ref="M85:N85"/>
    <mergeCell ref="Q85:R85"/>
    <mergeCell ref="S85:T85"/>
    <mergeCell ref="I86:J86"/>
    <mergeCell ref="K86:L86"/>
    <mergeCell ref="G83:H84"/>
    <mergeCell ref="I83:J83"/>
    <mergeCell ref="K83:L83"/>
    <mergeCell ref="M83:N83"/>
    <mergeCell ref="Q83:R83"/>
    <mergeCell ref="S83:T83"/>
    <mergeCell ref="I84:J84"/>
    <mergeCell ref="K84:L84"/>
    <mergeCell ref="M84:N84"/>
    <mergeCell ref="Q84:R84"/>
    <mergeCell ref="M86:N86"/>
    <mergeCell ref="Q86:R86"/>
    <mergeCell ref="S86:T86"/>
    <mergeCell ref="H87:H88"/>
    <mergeCell ref="G80:T80"/>
    <mergeCell ref="G81:T81"/>
    <mergeCell ref="G82:H82"/>
    <mergeCell ref="I82:J82"/>
    <mergeCell ref="K82:L82"/>
    <mergeCell ref="M82:N82"/>
    <mergeCell ref="Q82:R82"/>
    <mergeCell ref="S82:T82"/>
    <mergeCell ref="D76:D77"/>
    <mergeCell ref="G76:G77"/>
    <mergeCell ref="H76:H77"/>
    <mergeCell ref="I76:I77"/>
    <mergeCell ref="T76:T77"/>
    <mergeCell ref="C78:C79"/>
    <mergeCell ref="D78:D79"/>
    <mergeCell ref="G78:G79"/>
    <mergeCell ref="H78:H79"/>
    <mergeCell ref="I78:I79"/>
    <mergeCell ref="I70:I71"/>
    <mergeCell ref="H72:H73"/>
    <mergeCell ref="I72:I73"/>
    <mergeCell ref="C74:C75"/>
    <mergeCell ref="D74:D75"/>
    <mergeCell ref="E74:E75"/>
    <mergeCell ref="F74:F75"/>
    <mergeCell ref="H74:H75"/>
    <mergeCell ref="I74:I75"/>
    <mergeCell ref="I64:I65"/>
    <mergeCell ref="H66:H67"/>
    <mergeCell ref="I66:I67"/>
    <mergeCell ref="H68:H69"/>
    <mergeCell ref="I68:I69"/>
    <mergeCell ref="C70:C71"/>
    <mergeCell ref="D70:D71"/>
    <mergeCell ref="E70:E71"/>
    <mergeCell ref="F70:F71"/>
    <mergeCell ref="H70:H71"/>
    <mergeCell ref="C62:C63"/>
    <mergeCell ref="D62:D63"/>
    <mergeCell ref="F62:F63"/>
    <mergeCell ref="H62:H63"/>
    <mergeCell ref="C64:C65"/>
    <mergeCell ref="D64:D65"/>
    <mergeCell ref="E64:E65"/>
    <mergeCell ref="F64:F65"/>
    <mergeCell ref="H64:H65"/>
    <mergeCell ref="I52:I53"/>
    <mergeCell ref="T52:T53"/>
    <mergeCell ref="C54:C55"/>
    <mergeCell ref="D54:D55"/>
    <mergeCell ref="E54:E55"/>
    <mergeCell ref="F54:F55"/>
    <mergeCell ref="H54:H55"/>
    <mergeCell ref="I54:I55"/>
    <mergeCell ref="T54:T75"/>
    <mergeCell ref="C56:C57"/>
    <mergeCell ref="C60:C61"/>
    <mergeCell ref="D60:D61"/>
    <mergeCell ref="E60:E61"/>
    <mergeCell ref="F60:F61"/>
    <mergeCell ref="H60:H61"/>
    <mergeCell ref="I60:I61"/>
    <mergeCell ref="D56:D57"/>
    <mergeCell ref="F56:F57"/>
    <mergeCell ref="H56:H57"/>
    <mergeCell ref="C58:C59"/>
    <mergeCell ref="D58:D59"/>
    <mergeCell ref="E58:E59"/>
    <mergeCell ref="F58:F59"/>
    <mergeCell ref="H58:H59"/>
    <mergeCell ref="B46:B47"/>
    <mergeCell ref="C46:C47"/>
    <mergeCell ref="D46:D47"/>
    <mergeCell ref="E46:E47"/>
    <mergeCell ref="H46:H47"/>
    <mergeCell ref="H48:H49"/>
    <mergeCell ref="B52:B53"/>
    <mergeCell ref="C52:C53"/>
    <mergeCell ref="D52:D53"/>
    <mergeCell ref="E52:E53"/>
    <mergeCell ref="G52:G53"/>
    <mergeCell ref="H52:H53"/>
    <mergeCell ref="B50:B51"/>
    <mergeCell ref="C50:C51"/>
    <mergeCell ref="D50:D51"/>
    <mergeCell ref="E50:E51"/>
    <mergeCell ref="H50:H51"/>
    <mergeCell ref="F40:F41"/>
    <mergeCell ref="H40:H41"/>
    <mergeCell ref="I40:I41"/>
    <mergeCell ref="H42:H43"/>
    <mergeCell ref="H36:H37"/>
    <mergeCell ref="I36:I37"/>
    <mergeCell ref="T36:T41"/>
    <mergeCell ref="T42:T51"/>
    <mergeCell ref="H44:H45"/>
    <mergeCell ref="I44:I45"/>
    <mergeCell ref="I48:I49"/>
    <mergeCell ref="V36:V37"/>
    <mergeCell ref="B38:B39"/>
    <mergeCell ref="C38:C39"/>
    <mergeCell ref="D38:D39"/>
    <mergeCell ref="E38:E39"/>
    <mergeCell ref="F38:F39"/>
    <mergeCell ref="H38:H39"/>
    <mergeCell ref="N34:N35"/>
    <mergeCell ref="O34:Q34"/>
    <mergeCell ref="R34:R35"/>
    <mergeCell ref="S34:S35"/>
    <mergeCell ref="T34:T35"/>
    <mergeCell ref="B36:B37"/>
    <mergeCell ref="C36:C37"/>
    <mergeCell ref="D36:D37"/>
    <mergeCell ref="E36:E37"/>
    <mergeCell ref="F36:F37"/>
    <mergeCell ref="I38:I39"/>
    <mergeCell ref="H31:J31"/>
    <mergeCell ref="G33:T33"/>
    <mergeCell ref="B34:B35"/>
    <mergeCell ref="C34:C35"/>
    <mergeCell ref="D34:D35"/>
    <mergeCell ref="E34:E35"/>
    <mergeCell ref="G34:G35"/>
    <mergeCell ref="H34:H35"/>
    <mergeCell ref="I34:I35"/>
    <mergeCell ref="J34:J35"/>
    <mergeCell ref="K34:M34"/>
    <mergeCell ref="O21:O23"/>
    <mergeCell ref="H22:H24"/>
    <mergeCell ref="L22:L24"/>
    <mergeCell ref="S24:T24"/>
    <mergeCell ref="X24:X31"/>
    <mergeCell ref="AC24:AD24"/>
    <mergeCell ref="H25:I25"/>
    <mergeCell ref="O25:P25"/>
    <mergeCell ref="AC25:AD28"/>
    <mergeCell ref="H26:J26"/>
    <mergeCell ref="L26:L27"/>
    <mergeCell ref="N26:T26"/>
    <mergeCell ref="H27:K27"/>
    <mergeCell ref="N27:N31"/>
    <mergeCell ref="S27:S28"/>
    <mergeCell ref="T27:T31"/>
    <mergeCell ref="H28:J28"/>
    <mergeCell ref="L28:L29"/>
    <mergeCell ref="H29:K29"/>
    <mergeCell ref="S29:S31"/>
    <mergeCell ref="AC29:AC31"/>
    <mergeCell ref="AD29:AD31"/>
    <mergeCell ref="H30:K30"/>
    <mergeCell ref="V30:V31"/>
    <mergeCell ref="G15:G24"/>
    <mergeCell ref="H15:I15"/>
    <mergeCell ref="J15:K15"/>
    <mergeCell ref="O15:P15"/>
    <mergeCell ref="S15:T15"/>
    <mergeCell ref="X15:AE16"/>
    <mergeCell ref="H16:H18"/>
    <mergeCell ref="L16:L18"/>
    <mergeCell ref="O16:P16"/>
    <mergeCell ref="S16:T16"/>
    <mergeCell ref="O17:P17"/>
    <mergeCell ref="S17:T17"/>
    <mergeCell ref="Y17:Z17"/>
    <mergeCell ref="AA17:AD17"/>
    <mergeCell ref="N18:N25"/>
    <mergeCell ref="O18:O20"/>
    <mergeCell ref="R18:R23"/>
    <mergeCell ref="S18:T23"/>
    <mergeCell ref="Y18:Z18"/>
    <mergeCell ref="AA18:AD18"/>
    <mergeCell ref="H19:H21"/>
    <mergeCell ref="L19:L21"/>
    <mergeCell ref="Y19:Z19"/>
    <mergeCell ref="AA19:AD19"/>
    <mergeCell ref="G2:L2"/>
    <mergeCell ref="N2:T2"/>
    <mergeCell ref="H3:L3"/>
    <mergeCell ref="S3:T3"/>
    <mergeCell ref="H4:L4"/>
    <mergeCell ref="O4:Q4"/>
    <mergeCell ref="G8:G14"/>
    <mergeCell ref="H8:I8"/>
    <mergeCell ref="O8:O14"/>
    <mergeCell ref="P8:P10"/>
    <mergeCell ref="H9:H13"/>
    <mergeCell ref="S12:T12"/>
    <mergeCell ref="H14:I14"/>
    <mergeCell ref="S14:T14"/>
    <mergeCell ref="H5:L5"/>
    <mergeCell ref="O5:Q5"/>
    <mergeCell ref="O6:P6"/>
    <mergeCell ref="S6:T6"/>
    <mergeCell ref="H7:L7"/>
    <mergeCell ref="S7:T7"/>
    <mergeCell ref="E42:E43"/>
    <mergeCell ref="E44:E45"/>
    <mergeCell ref="E48:E49"/>
    <mergeCell ref="E56:E57"/>
    <mergeCell ref="E62:E63"/>
    <mergeCell ref="E66:E67"/>
    <mergeCell ref="E68:E69"/>
    <mergeCell ref="E72:E73"/>
    <mergeCell ref="E76:E77"/>
  </mergeCells>
  <phoneticPr fontId="2" type="noConversion"/>
  <printOptions horizontalCentered="1"/>
  <pageMargins left="0.7" right="0.7" top="0.75" bottom="0.75" header="0.3" footer="0.3"/>
  <pageSetup paperSize="8" scale="75" orientation="landscape" r:id="rId1"/>
  <headerFooter alignWithMargins="0"/>
  <rowBreaks count="1" manualBreakCount="1">
    <brk id="86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-0.249977111117893"/>
    <pageSetUpPr autoPageBreaks="0" fitToPage="1"/>
  </sheetPr>
  <dimension ref="B1:AQ127"/>
  <sheetViews>
    <sheetView topLeftCell="A16" zoomScale="85" zoomScaleNormal="85" zoomScaleSheetLayoutView="100" workbookViewId="0">
      <selection activeCell="J57" sqref="J57"/>
    </sheetView>
  </sheetViews>
  <sheetFormatPr defaultColWidth="8.77734375" defaultRowHeight="14.1" customHeight="1"/>
  <cols>
    <col min="1" max="2" width="8.77734375" style="2"/>
    <col min="3" max="3" width="10.21875" style="2" bestFit="1" customWidth="1"/>
    <col min="4" max="4" width="7.6640625" style="2" customWidth="1"/>
    <col min="5" max="5" width="9.77734375" style="2" bestFit="1" customWidth="1"/>
    <col min="6" max="6" width="8.77734375" style="2"/>
    <col min="7" max="7" width="13.21875" style="2" customWidth="1"/>
    <col min="8" max="9" width="9.21875" style="2" customWidth="1"/>
    <col min="10" max="13" width="11.6640625" style="2" customWidth="1"/>
    <col min="14" max="14" width="12.21875" style="2" bestFit="1" customWidth="1"/>
    <col min="15" max="15" width="14.44140625" style="2" customWidth="1"/>
    <col min="16" max="16" width="14.88671875" style="2" customWidth="1"/>
    <col min="17" max="17" width="13.5546875" style="2" customWidth="1"/>
    <col min="18" max="18" width="12.33203125" style="2" customWidth="1"/>
    <col min="19" max="19" width="11.109375" style="2" customWidth="1"/>
    <col min="20" max="20" width="14" style="2" customWidth="1"/>
    <col min="21" max="21" width="4.5546875" style="2" customWidth="1"/>
    <col min="22" max="22" width="10.77734375" style="2" customWidth="1"/>
    <col min="23" max="23" width="15.21875" style="2" bestFit="1" customWidth="1"/>
    <col min="24" max="24" width="10.33203125" style="2" bestFit="1" customWidth="1"/>
    <col min="25" max="25" width="10.6640625" style="2" bestFit="1" customWidth="1"/>
    <col min="26" max="26" width="18.33203125" style="2" customWidth="1"/>
    <col min="27" max="27" width="8.77734375" style="2" customWidth="1"/>
    <col min="28" max="28" width="11.77734375" style="2" customWidth="1"/>
    <col min="29" max="29" width="8.6640625" style="2" customWidth="1"/>
    <col min="30" max="30" width="9.6640625" style="2" customWidth="1"/>
    <col min="31" max="31" width="15.77734375" style="2" customWidth="1"/>
    <col min="32" max="32" width="13.5546875" style="2" bestFit="1" customWidth="1"/>
    <col min="33" max="33" width="14.44140625" style="2" bestFit="1" customWidth="1"/>
    <col min="34" max="34" width="15.44140625" style="2" bestFit="1" customWidth="1"/>
    <col min="35" max="35" width="10.5546875" style="2" bestFit="1" customWidth="1"/>
    <col min="36" max="16384" width="8.77734375" style="2"/>
  </cols>
  <sheetData>
    <row r="1" spans="3:31" ht="14.1" customHeight="1"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</row>
    <row r="2" spans="3:31" ht="18" customHeight="1" thickBot="1">
      <c r="F2" s="77"/>
      <c r="G2" s="839" t="s">
        <v>244</v>
      </c>
      <c r="H2" s="839"/>
      <c r="I2" s="839"/>
      <c r="J2" s="839"/>
      <c r="K2" s="839"/>
      <c r="L2" s="840"/>
      <c r="M2" s="70"/>
      <c r="N2" s="1133" t="s">
        <v>33</v>
      </c>
      <c r="O2" s="839"/>
      <c r="P2" s="839"/>
      <c r="Q2" s="839"/>
      <c r="R2" s="839"/>
      <c r="S2" s="839"/>
      <c r="T2" s="840"/>
    </row>
    <row r="3" spans="3:31" ht="17.100000000000001" customHeight="1">
      <c r="E3" s="310">
        <v>0.7</v>
      </c>
      <c r="F3" s="77"/>
      <c r="G3" s="72" t="s">
        <v>163</v>
      </c>
      <c r="H3" s="844" t="s">
        <v>229</v>
      </c>
      <c r="I3" s="845"/>
      <c r="J3" s="845"/>
      <c r="K3" s="845"/>
      <c r="L3" s="846"/>
      <c r="M3" s="51"/>
      <c r="N3" s="53" t="s">
        <v>164</v>
      </c>
      <c r="O3" s="29"/>
      <c r="P3" s="84" t="s">
        <v>165</v>
      </c>
      <c r="Q3" s="30"/>
      <c r="R3" s="31" t="s">
        <v>166</v>
      </c>
      <c r="S3" s="847" t="s">
        <v>167</v>
      </c>
      <c r="T3" s="848"/>
    </row>
    <row r="4" spans="3:31" ht="17.100000000000001" customHeight="1" thickBot="1">
      <c r="E4" s="311">
        <f>J23/(J14*E3)</f>
        <v>2.7506405377896193</v>
      </c>
      <c r="F4" s="77"/>
      <c r="G4" s="73" t="s">
        <v>11</v>
      </c>
      <c r="H4" s="849" t="s">
        <v>230</v>
      </c>
      <c r="I4" s="850"/>
      <c r="J4" s="850"/>
      <c r="K4" s="850"/>
      <c r="L4" s="851"/>
      <c r="M4" s="51"/>
      <c r="N4" s="279" t="s">
        <v>168</v>
      </c>
      <c r="O4" s="852" t="str">
        <f>INDEX($N$103:$R$103,MATCH($H$78,$N$102:$R$102,1))</f>
        <v>2000세대 이상</v>
      </c>
      <c r="P4" s="852"/>
      <c r="Q4" s="853"/>
      <c r="R4" s="32">
        <f>INDEX($N$104:$R$104,MATCH($H$78,$N$102:$R$102,1))</f>
        <v>20</v>
      </c>
      <c r="S4" s="21"/>
      <c r="T4" s="67"/>
    </row>
    <row r="5" spans="3:31" ht="17.100000000000001" customHeight="1">
      <c r="F5" s="77"/>
      <c r="G5" s="73" t="s">
        <v>169</v>
      </c>
      <c r="H5" s="849" t="s">
        <v>231</v>
      </c>
      <c r="I5" s="850"/>
      <c r="J5" s="850"/>
      <c r="K5" s="850"/>
      <c r="L5" s="851"/>
      <c r="M5" s="51"/>
      <c r="N5" s="280" t="s">
        <v>5</v>
      </c>
      <c r="O5" s="857" t="s">
        <v>170</v>
      </c>
      <c r="P5" s="857"/>
      <c r="Q5" s="861"/>
      <c r="R5" s="33" t="s">
        <v>12</v>
      </c>
      <c r="S5" s="22"/>
      <c r="T5" s="68"/>
    </row>
    <row r="6" spans="3:31" ht="17.100000000000001" customHeight="1">
      <c r="F6" s="77"/>
      <c r="G6" s="73" t="s">
        <v>157</v>
      </c>
      <c r="H6" s="50" t="s">
        <v>235</v>
      </c>
      <c r="I6" s="185">
        <f>ROUNDUP(E4,0)</f>
        <v>3</v>
      </c>
      <c r="J6" s="186"/>
      <c r="K6" s="186"/>
      <c r="L6" s="186"/>
      <c r="M6" s="51"/>
      <c r="N6" s="280" t="s">
        <v>161</v>
      </c>
      <c r="O6" s="862">
        <f>H78</f>
        <v>4671</v>
      </c>
      <c r="P6" s="862"/>
      <c r="Q6" s="23">
        <f>IF(H78&gt;=50, ROUNDUP((10+(H78-50)*0.05),2), "해당없음")</f>
        <v>241.05</v>
      </c>
      <c r="R6" s="277">
        <v>280</v>
      </c>
      <c r="S6" s="1143" t="s">
        <v>13</v>
      </c>
      <c r="T6" s="858"/>
    </row>
    <row r="7" spans="3:31" ht="17.100000000000001" customHeight="1">
      <c r="F7" s="77"/>
      <c r="G7" s="74" t="s">
        <v>40</v>
      </c>
      <c r="H7" s="863" t="s">
        <v>78</v>
      </c>
      <c r="I7" s="864"/>
      <c r="J7" s="864"/>
      <c r="K7" s="864"/>
      <c r="L7" s="865"/>
      <c r="M7" s="51"/>
      <c r="N7" s="281" t="s">
        <v>172</v>
      </c>
      <c r="O7" s="24"/>
      <c r="P7" s="63"/>
      <c r="Q7" s="25"/>
      <c r="R7" s="363">
        <v>300</v>
      </c>
      <c r="S7" s="1143"/>
      <c r="T7" s="858"/>
    </row>
    <row r="8" spans="3:31" ht="17.100000000000001" customHeight="1">
      <c r="F8" s="77"/>
      <c r="G8" s="1134" t="s">
        <v>171</v>
      </c>
      <c r="H8" s="884" t="s">
        <v>3</v>
      </c>
      <c r="I8" s="885"/>
      <c r="J8" s="325">
        <v>182618.4</v>
      </c>
      <c r="K8" s="331">
        <f t="shared" ref="K8" si="0">ROUNDDOWN(J8*0.3025,2)</f>
        <v>55242.06</v>
      </c>
      <c r="L8" s="105">
        <f>J8/$J$8</f>
        <v>1</v>
      </c>
      <c r="M8" s="51"/>
      <c r="N8" s="279" t="s">
        <v>173</v>
      </c>
      <c r="O8" s="1092" t="s">
        <v>237</v>
      </c>
      <c r="P8" s="868" t="s">
        <v>146</v>
      </c>
      <c r="Q8" s="26">
        <v>500</v>
      </c>
      <c r="R8" s="361">
        <v>1100</v>
      </c>
      <c r="S8" s="27"/>
      <c r="T8" s="69"/>
      <c r="Y8" s="173"/>
    </row>
    <row r="9" spans="3:31" ht="17.100000000000001" customHeight="1">
      <c r="F9" s="77"/>
      <c r="G9" s="1135"/>
      <c r="H9" s="1137" t="s">
        <v>14</v>
      </c>
      <c r="I9" s="65" t="s">
        <v>232</v>
      </c>
      <c r="J9" s="326">
        <v>6830.9</v>
      </c>
      <c r="K9" s="332">
        <f>ROUNDDOWN(J9*0.3025,2)</f>
        <v>2066.34</v>
      </c>
      <c r="L9" s="15">
        <f>J9/$J$8</f>
        <v>3.7405321698142133E-2</v>
      </c>
      <c r="M9" s="189"/>
      <c r="N9" s="280" t="s">
        <v>174</v>
      </c>
      <c r="O9" s="1093"/>
      <c r="P9" s="869"/>
      <c r="Q9" s="26">
        <v>725</v>
      </c>
      <c r="R9" s="362">
        <v>1400</v>
      </c>
      <c r="S9" s="82"/>
      <c r="T9" s="68"/>
    </row>
    <row r="10" spans="3:31" ht="17.100000000000001" customHeight="1">
      <c r="C10" s="130" t="s">
        <v>158</v>
      </c>
      <c r="D10" s="289">
        <v>3</v>
      </c>
      <c r="E10" s="312">
        <f>$H$78*D10</f>
        <v>14013</v>
      </c>
      <c r="F10" s="77"/>
      <c r="G10" s="1135"/>
      <c r="H10" s="1138"/>
      <c r="I10" s="65" t="s">
        <v>233</v>
      </c>
      <c r="J10" s="326">
        <v>1000</v>
      </c>
      <c r="K10" s="332">
        <f>ROUNDDOWN(J10*0.3025,2)</f>
        <v>302.5</v>
      </c>
      <c r="L10" s="15">
        <f>J10/$J$8</f>
        <v>5.4758994712471474E-3</v>
      </c>
      <c r="M10" s="51"/>
      <c r="N10" s="280" t="s">
        <v>175</v>
      </c>
      <c r="O10" s="1093"/>
      <c r="P10" s="870"/>
      <c r="Q10" s="26">
        <v>298</v>
      </c>
      <c r="R10" s="277">
        <v>650</v>
      </c>
      <c r="S10" s="28"/>
      <c r="T10" s="68"/>
      <c r="W10" s="130"/>
      <c r="X10" s="149"/>
    </row>
    <row r="11" spans="3:31" ht="17.100000000000001" customHeight="1">
      <c r="F11" s="77"/>
      <c r="G11" s="1135"/>
      <c r="H11" s="1138"/>
      <c r="I11" s="65" t="s">
        <v>234</v>
      </c>
      <c r="J11" s="326">
        <f>H78*3</f>
        <v>14013</v>
      </c>
      <c r="K11" s="332">
        <f>ROUNDDOWN(J11*0.3025,2)</f>
        <v>4238.93</v>
      </c>
      <c r="L11" s="15">
        <f>J11/$J$8</f>
        <v>7.6733779290586279E-2</v>
      </c>
      <c r="M11" s="51"/>
      <c r="N11" s="55" t="s">
        <v>176</v>
      </c>
      <c r="O11" s="1093"/>
      <c r="P11" s="147" t="str">
        <f>IF(H78&gt;=500,"500세대이상 의무설치", "해당없음")</f>
        <v>500세대이상 의무설치</v>
      </c>
      <c r="Q11" s="26" t="str">
        <f>IF(H78&gt;=500,"66㎡ 이상", "해당없음")</f>
        <v>66㎡ 이상</v>
      </c>
      <c r="R11" s="250">
        <v>600</v>
      </c>
      <c r="S11" s="28"/>
      <c r="T11" s="68"/>
    </row>
    <row r="12" spans="3:31" ht="17.100000000000001" customHeight="1">
      <c r="F12" s="77"/>
      <c r="G12" s="1135"/>
      <c r="H12" s="1138"/>
      <c r="I12" s="65"/>
      <c r="J12" s="326"/>
      <c r="K12" s="332"/>
      <c r="L12" s="15"/>
      <c r="M12" s="51"/>
      <c r="N12" s="55" t="s">
        <v>178</v>
      </c>
      <c r="O12" s="1093"/>
      <c r="P12" s="61"/>
      <c r="Q12" s="47"/>
      <c r="R12" s="277">
        <v>5500</v>
      </c>
      <c r="S12" s="1140"/>
      <c r="T12" s="1141"/>
    </row>
    <row r="13" spans="3:31" ht="16.5" customHeight="1">
      <c r="F13" s="77"/>
      <c r="G13" s="1135"/>
      <c r="H13" s="1139"/>
      <c r="I13" s="65" t="s">
        <v>177</v>
      </c>
      <c r="J13" s="327">
        <f>SUM(J9:J12)</f>
        <v>21843.9</v>
      </c>
      <c r="K13" s="333">
        <f>ROUNDDOWN(J13*0.3025,2)</f>
        <v>6607.77</v>
      </c>
      <c r="L13" s="102">
        <f>J13/$J$8</f>
        <v>0.11961500045997557</v>
      </c>
      <c r="M13" s="51"/>
      <c r="N13" s="55" t="s">
        <v>76</v>
      </c>
      <c r="O13" s="1093"/>
      <c r="P13" s="202" t="str">
        <f>IF(H78&gt;=500,"500세대이상 의무설치", "해당없음")</f>
        <v>500세대이상 의무설치</v>
      </c>
      <c r="Q13" s="47"/>
      <c r="R13" s="277">
        <v>3800</v>
      </c>
      <c r="S13" s="22"/>
      <c r="T13" s="68"/>
      <c r="W13" s="130"/>
      <c r="X13" s="177"/>
    </row>
    <row r="14" spans="3:31" ht="17.100000000000001" customHeight="1">
      <c r="F14" s="77"/>
      <c r="G14" s="1136"/>
      <c r="H14" s="1115" t="s">
        <v>179</v>
      </c>
      <c r="I14" s="1116"/>
      <c r="J14" s="328">
        <f>J8-J13</f>
        <v>160774.5</v>
      </c>
      <c r="K14" s="334">
        <f>ROUNDDOWN(J14*0.3025,2)</f>
        <v>48634.28</v>
      </c>
      <c r="L14" s="18">
        <f>J14/$J$8</f>
        <v>0.88038499954002447</v>
      </c>
      <c r="M14" s="51"/>
      <c r="N14" s="55" t="s">
        <v>184</v>
      </c>
      <c r="O14" s="1094"/>
      <c r="P14" s="202" t="str">
        <f>IF(H78&lt;100,"해당없음",IF(H78&lt;300,"지역여건에 맞게 설치",IF(H78&lt;1000,"200㎡+세대당 1㎡",IF(H78&gt;1000,"500㎡+세대당 0.7㎡"))))</f>
        <v>500㎡+세대당 0.7㎡</v>
      </c>
      <c r="Q14" s="26">
        <f>500+(H78*0.7)</f>
        <v>3769.7</v>
      </c>
      <c r="R14" s="283">
        <v>3700</v>
      </c>
      <c r="S14" s="1095"/>
      <c r="T14" s="1142"/>
      <c r="W14" s="177"/>
    </row>
    <row r="15" spans="3:31" ht="17.100000000000001" customHeight="1">
      <c r="C15" s="2">
        <v>120698</v>
      </c>
      <c r="F15" s="77"/>
      <c r="G15" s="881" t="s">
        <v>180</v>
      </c>
      <c r="H15" s="1145" t="s">
        <v>181</v>
      </c>
      <c r="I15" s="1082"/>
      <c r="J15" s="1146" t="s">
        <v>182</v>
      </c>
      <c r="K15" s="1147"/>
      <c r="L15" s="335" t="s">
        <v>183</v>
      </c>
      <c r="M15" s="51"/>
      <c r="N15" s="282" t="s">
        <v>186</v>
      </c>
      <c r="O15" s="892" t="s">
        <v>238</v>
      </c>
      <c r="P15" s="893"/>
      <c r="Q15" s="198">
        <f>500+($H$78*2)*1.25</f>
        <v>12177.5</v>
      </c>
      <c r="R15" s="254">
        <f>R8+R9+R10+R11+R12+R13+R14</f>
        <v>16750</v>
      </c>
      <c r="S15" s="894" t="s">
        <v>187</v>
      </c>
      <c r="T15" s="895"/>
      <c r="W15" s="177"/>
      <c r="X15" s="889"/>
      <c r="Y15" s="889"/>
      <c r="Z15" s="889"/>
      <c r="AA15" s="889"/>
      <c r="AB15" s="889"/>
      <c r="AC15" s="889"/>
      <c r="AD15" s="889"/>
      <c r="AE15" s="889"/>
    </row>
    <row r="16" spans="3:31" ht="17.100000000000001" customHeight="1">
      <c r="C16" s="2">
        <v>93504.3</v>
      </c>
      <c r="D16" s="145">
        <f>C16/C15</f>
        <v>0.77469634956668709</v>
      </c>
      <c r="F16" s="77"/>
      <c r="G16" s="882"/>
      <c r="H16" s="1112" t="s">
        <v>185</v>
      </c>
      <c r="I16" s="66" t="s">
        <v>45</v>
      </c>
      <c r="J16" s="329">
        <f>N78+R8+R9+R7</f>
        <v>481051.95</v>
      </c>
      <c r="K16" s="332">
        <f t="shared" ref="K16:K24" si="1">ROUNDDOWN(J16*0.3025,2)</f>
        <v>145518.21</v>
      </c>
      <c r="L16" s="1148">
        <f>J16/$J$22</f>
        <v>0.99751167413630992</v>
      </c>
      <c r="M16" s="51"/>
      <c r="N16" s="279" t="s">
        <v>190</v>
      </c>
      <c r="O16" s="1151" t="s">
        <v>191</v>
      </c>
      <c r="P16" s="1152"/>
      <c r="Q16" s="199">
        <f>J14*0.15</f>
        <v>24116.174999999999</v>
      </c>
      <c r="R16" s="200">
        <f>ROUNDUP(Q16,-2)+100</f>
        <v>24300</v>
      </c>
      <c r="S16" s="1153"/>
      <c r="T16" s="1154"/>
      <c r="V16" s="337" t="s">
        <v>188</v>
      </c>
      <c r="X16" s="889"/>
      <c r="Y16" s="889"/>
      <c r="Z16" s="889"/>
      <c r="AA16" s="889"/>
      <c r="AB16" s="889"/>
      <c r="AC16" s="889"/>
      <c r="AD16" s="889"/>
      <c r="AE16" s="889"/>
    </row>
    <row r="17" spans="6:30" ht="17.100000000000001" customHeight="1">
      <c r="F17" s="77"/>
      <c r="G17" s="882"/>
      <c r="H17" s="1113"/>
      <c r="I17" s="66" t="s">
        <v>189</v>
      </c>
      <c r="J17" s="329">
        <f>O78+Q78+R6+R10+R12+R11</f>
        <v>302353</v>
      </c>
      <c r="K17" s="332">
        <f t="shared" si="1"/>
        <v>91461.78</v>
      </c>
      <c r="L17" s="1149"/>
      <c r="M17" s="51"/>
      <c r="N17" s="279" t="s">
        <v>233</v>
      </c>
      <c r="O17" s="1151"/>
      <c r="P17" s="1152"/>
      <c r="Q17" s="199"/>
      <c r="R17" s="200">
        <v>1000</v>
      </c>
      <c r="S17" s="1153"/>
      <c r="T17" s="1154"/>
      <c r="V17" s="338">
        <v>42</v>
      </c>
      <c r="X17" s="174"/>
      <c r="Y17" s="890"/>
      <c r="Z17" s="891"/>
      <c r="AA17" s="907"/>
      <c r="AB17" s="891"/>
      <c r="AC17" s="891"/>
      <c r="AD17" s="891"/>
    </row>
    <row r="18" spans="6:30" ht="17.100000000000001" customHeight="1">
      <c r="F18" s="77"/>
      <c r="G18" s="882"/>
      <c r="H18" s="1114"/>
      <c r="I18" s="66" t="s">
        <v>177</v>
      </c>
      <c r="J18" s="329">
        <f>SUM(J16:J17)</f>
        <v>783404.95</v>
      </c>
      <c r="K18" s="332">
        <f t="shared" si="1"/>
        <v>236979.99</v>
      </c>
      <c r="L18" s="1150"/>
      <c r="M18" s="51"/>
      <c r="N18" s="1155" t="s">
        <v>192</v>
      </c>
      <c r="O18" s="874" t="s">
        <v>193</v>
      </c>
      <c r="P18" s="197" t="s">
        <v>242</v>
      </c>
      <c r="Q18" s="284">
        <f>ROUNDUP((SUMPRODUCT(H36:H51,J36:J51)+SUMPRODUCT(H56:H63,J56:J63))/75,0)</f>
        <v>4208</v>
      </c>
      <c r="R18" s="1158">
        <f>H78*S18</f>
        <v>7006.5</v>
      </c>
      <c r="S18" s="968">
        <v>1.5</v>
      </c>
      <c r="T18" s="969"/>
      <c r="X18" s="175"/>
      <c r="Y18" s="908"/>
      <c r="Z18" s="909"/>
      <c r="AA18" s="910"/>
      <c r="AB18" s="911"/>
      <c r="AC18" s="911"/>
      <c r="AD18" s="911"/>
    </row>
    <row r="19" spans="6:30" ht="17.100000000000001" customHeight="1">
      <c r="F19" s="77"/>
      <c r="G19" s="882"/>
      <c r="H19" s="1161" t="s">
        <v>38</v>
      </c>
      <c r="I19" s="65" t="s">
        <v>194</v>
      </c>
      <c r="J19" s="329">
        <f>Q85</f>
        <v>1200</v>
      </c>
      <c r="K19" s="332">
        <f t="shared" si="1"/>
        <v>363</v>
      </c>
      <c r="L19" s="1148">
        <f>J19/$J$22</f>
        <v>2.4883258636901311E-3</v>
      </c>
      <c r="M19" s="51"/>
      <c r="N19" s="1156"/>
      <c r="O19" s="875"/>
      <c r="P19" s="150" t="s">
        <v>123</v>
      </c>
      <c r="Q19" s="286">
        <f>ROUNDUP((SUMPRODUCT(H64:H75,J64:J75))/65,0)</f>
        <v>522</v>
      </c>
      <c r="R19" s="1159"/>
      <c r="S19" s="970"/>
      <c r="T19" s="971"/>
      <c r="X19" s="176"/>
      <c r="Y19" s="908"/>
      <c r="Z19" s="909"/>
      <c r="AA19" s="910"/>
      <c r="AB19" s="911"/>
      <c r="AC19" s="911"/>
      <c r="AD19" s="911"/>
    </row>
    <row r="20" spans="6:30" ht="17.100000000000001" customHeight="1">
      <c r="F20" s="77"/>
      <c r="G20" s="882"/>
      <c r="H20" s="1162"/>
      <c r="I20" s="65" t="s">
        <v>46</v>
      </c>
      <c r="J20" s="329">
        <f>Q87</f>
        <v>7210</v>
      </c>
      <c r="K20" s="332">
        <f t="shared" si="1"/>
        <v>2181.02</v>
      </c>
      <c r="L20" s="1149"/>
      <c r="M20" s="51"/>
      <c r="N20" s="1156"/>
      <c r="O20" s="876"/>
      <c r="P20" s="151" t="s">
        <v>195</v>
      </c>
      <c r="Q20" s="285">
        <f>SUM(Q18:Q19)</f>
        <v>4730</v>
      </c>
      <c r="R20" s="1159"/>
      <c r="S20" s="970"/>
      <c r="T20" s="971"/>
    </row>
    <row r="21" spans="6:30" ht="17.100000000000001" customHeight="1">
      <c r="F21" s="77"/>
      <c r="G21" s="882"/>
      <c r="H21" s="1163"/>
      <c r="I21" s="65" t="s">
        <v>177</v>
      </c>
      <c r="J21" s="329">
        <f>J19+J20</f>
        <v>8410</v>
      </c>
      <c r="K21" s="332">
        <f t="shared" si="1"/>
        <v>2544.02</v>
      </c>
      <c r="L21" s="1150"/>
      <c r="M21" s="51"/>
      <c r="N21" s="1156"/>
      <c r="O21" s="874" t="s">
        <v>196</v>
      </c>
      <c r="P21" s="159" t="s">
        <v>240</v>
      </c>
      <c r="Q21" s="284">
        <f>(SUM(H36:H47)+SUM(H56:H59))*0.8</f>
        <v>1544.8000000000002</v>
      </c>
      <c r="R21" s="1159"/>
      <c r="S21" s="970"/>
      <c r="T21" s="971"/>
      <c r="U21"/>
      <c r="V21"/>
    </row>
    <row r="22" spans="6:30" ht="17.100000000000001" customHeight="1">
      <c r="F22" s="77"/>
      <c r="G22" s="882"/>
      <c r="H22" s="1161" t="s">
        <v>197</v>
      </c>
      <c r="I22" s="65" t="s">
        <v>194</v>
      </c>
      <c r="J22" s="326">
        <f>J16+J19</f>
        <v>482251.95</v>
      </c>
      <c r="K22" s="332">
        <f t="shared" si="1"/>
        <v>145881.21</v>
      </c>
      <c r="L22" s="1148">
        <f>J22/$J$22</f>
        <v>1</v>
      </c>
      <c r="M22" s="276"/>
      <c r="N22" s="1156"/>
      <c r="O22" s="875"/>
      <c r="P22" s="160" t="s">
        <v>241</v>
      </c>
      <c r="Q22" s="286">
        <f>(SUM(H48:H51)+SUM(H60:H75))*1</f>
        <v>2740</v>
      </c>
      <c r="R22" s="1159"/>
      <c r="S22" s="970"/>
      <c r="T22" s="971"/>
      <c r="U22"/>
      <c r="V22"/>
    </row>
    <row r="23" spans="6:30" ht="17.100000000000001" customHeight="1">
      <c r="F23" s="77"/>
      <c r="G23" s="882"/>
      <c r="H23" s="1162"/>
      <c r="I23" s="65" t="s">
        <v>46</v>
      </c>
      <c r="J23" s="326">
        <f>J17+J20</f>
        <v>309563</v>
      </c>
      <c r="K23" s="332">
        <f t="shared" si="1"/>
        <v>93642.8</v>
      </c>
      <c r="L23" s="1149"/>
      <c r="M23" s="51"/>
      <c r="N23" s="1156"/>
      <c r="O23" s="876"/>
      <c r="P23" s="152" t="s">
        <v>239</v>
      </c>
      <c r="Q23" s="285">
        <f>SUM(Q21:Q22)</f>
        <v>4284.8</v>
      </c>
      <c r="R23" s="1160"/>
      <c r="S23" s="972"/>
      <c r="T23" s="973"/>
      <c r="U23"/>
      <c r="V23"/>
    </row>
    <row r="24" spans="6:30" ht="17.100000000000001" customHeight="1">
      <c r="F24" s="77"/>
      <c r="G24" s="1144"/>
      <c r="H24" s="1164"/>
      <c r="I24" s="263" t="s">
        <v>198</v>
      </c>
      <c r="J24" s="330">
        <f>J18+J21</f>
        <v>791814.95</v>
      </c>
      <c r="K24" s="334">
        <f t="shared" si="1"/>
        <v>239524.02</v>
      </c>
      <c r="L24" s="1165"/>
      <c r="M24" s="51"/>
      <c r="N24" s="1156"/>
      <c r="O24" s="153" t="s">
        <v>199</v>
      </c>
      <c r="P24" s="154">
        <v>134</v>
      </c>
      <c r="Q24" s="287">
        <f>(M89+O89)/P24</f>
        <v>45.522388059701491</v>
      </c>
      <c r="R24" s="290">
        <f>ROUNDUP(Q24*S24,0)</f>
        <v>55</v>
      </c>
      <c r="S24" s="1166">
        <v>1.2</v>
      </c>
      <c r="T24" s="1167"/>
      <c r="U24"/>
      <c r="V24"/>
      <c r="X24" s="918"/>
      <c r="Y24" s="161"/>
      <c r="Z24" s="162"/>
      <c r="AA24" s="162"/>
      <c r="AB24" s="163"/>
      <c r="AC24" s="921"/>
      <c r="AD24" s="922"/>
    </row>
    <row r="25" spans="6:30" ht="17.100000000000001" customHeight="1">
      <c r="F25" s="77"/>
      <c r="G25" s="309"/>
      <c r="H25" s="1168"/>
      <c r="I25" s="1169"/>
      <c r="J25" s="303"/>
      <c r="K25" s="304"/>
      <c r="M25" s="51"/>
      <c r="N25" s="1157"/>
      <c r="O25" s="912" t="s">
        <v>200</v>
      </c>
      <c r="P25" s="913"/>
      <c r="Q25" s="288">
        <f>Q20+Q24</f>
        <v>4775.5223880597014</v>
      </c>
      <c r="R25" s="291">
        <f>SUM(R18+R24)</f>
        <v>7061.5</v>
      </c>
      <c r="S25" s="306"/>
      <c r="T25" s="307"/>
      <c r="U25"/>
      <c r="V25" s="313"/>
      <c r="X25" s="919"/>
      <c r="Y25" s="165"/>
      <c r="Z25" s="157"/>
      <c r="AA25" s="171"/>
      <c r="AB25" s="157"/>
      <c r="AC25" s="923"/>
      <c r="AD25" s="924"/>
    </row>
    <row r="26" spans="6:30" ht="17.100000000000001" customHeight="1">
      <c r="F26" s="77"/>
      <c r="G26" s="72" t="s">
        <v>48</v>
      </c>
      <c r="H26" s="1105">
        <f>J14*0.2842</f>
        <v>45692.1129</v>
      </c>
      <c r="I26" s="1106"/>
      <c r="J26" s="1107"/>
      <c r="K26" s="12">
        <f>ROUNDDOWN(H26*0.3025,2)</f>
        <v>13821.86</v>
      </c>
      <c r="L26" s="1170">
        <v>50</v>
      </c>
      <c r="M26" s="51"/>
      <c r="N26" s="1172"/>
      <c r="O26" s="1173"/>
      <c r="P26" s="1173"/>
      <c r="Q26" s="1173"/>
      <c r="R26" s="1173"/>
      <c r="S26" s="1173"/>
      <c r="T26" s="1173"/>
      <c r="U26"/>
      <c r="V26" s="313"/>
      <c r="X26" s="919"/>
      <c r="Y26" s="165"/>
      <c r="Z26" s="157"/>
      <c r="AA26" s="314"/>
      <c r="AB26" s="157"/>
      <c r="AC26" s="925"/>
      <c r="AD26" s="926"/>
    </row>
    <row r="27" spans="6:30" ht="17.100000000000001" customHeight="1">
      <c r="F27" s="77"/>
      <c r="G27" s="74" t="s">
        <v>0</v>
      </c>
      <c r="H27" s="1108">
        <f>H26/J14</f>
        <v>0.28420000000000001</v>
      </c>
      <c r="I27" s="1109"/>
      <c r="J27" s="1109"/>
      <c r="K27" s="1110"/>
      <c r="L27" s="1171"/>
      <c r="M27" s="51"/>
      <c r="N27" s="879" t="s">
        <v>236</v>
      </c>
      <c r="O27" s="339">
        <f>H29</f>
        <v>2.9995549667391286</v>
      </c>
      <c r="P27" s="340">
        <v>2.5</v>
      </c>
      <c r="Q27" s="341">
        <v>2</v>
      </c>
      <c r="R27" s="342">
        <f>(O27-P27)/Q27</f>
        <v>0.24977748336956429</v>
      </c>
      <c r="S27" s="1175">
        <f>R28</f>
        <v>40157.850000000013</v>
      </c>
      <c r="T27" s="1177">
        <f>P29+P30+P31</f>
        <v>472</v>
      </c>
      <c r="U27"/>
      <c r="V27" s="313"/>
      <c r="X27" s="919"/>
      <c r="Y27" s="165"/>
      <c r="Z27" s="157"/>
      <c r="AA27" s="314"/>
      <c r="AB27" s="157"/>
      <c r="AC27" s="925"/>
      <c r="AD27" s="926"/>
    </row>
    <row r="28" spans="6:30" ht="17.100000000000001" customHeight="1">
      <c r="F28" s="77"/>
      <c r="G28" s="75" t="s">
        <v>64</v>
      </c>
      <c r="H28" s="1105">
        <f>J22</f>
        <v>482251.95</v>
      </c>
      <c r="I28" s="1106"/>
      <c r="J28" s="1107"/>
      <c r="K28" s="12">
        <f>ROUNDDOWN(H28*0.3025,2)</f>
        <v>145881.21</v>
      </c>
      <c r="L28" s="1180" t="s">
        <v>201</v>
      </c>
      <c r="M28" s="51"/>
      <c r="N28" s="1174"/>
      <c r="O28" s="343"/>
      <c r="P28" s="344">
        <f>J14</f>
        <v>160774.5</v>
      </c>
      <c r="Q28" s="345">
        <f>R27</f>
        <v>0.24977748336956429</v>
      </c>
      <c r="R28" s="346">
        <f>P28*Q28</f>
        <v>40157.850000000013</v>
      </c>
      <c r="S28" s="1176"/>
      <c r="T28" s="1178"/>
      <c r="U28" s="274"/>
      <c r="V28" s="275"/>
      <c r="X28" s="919"/>
      <c r="Y28" s="167"/>
      <c r="Z28" s="168"/>
      <c r="AA28" s="172"/>
      <c r="AB28" s="168"/>
      <c r="AC28" s="925"/>
      <c r="AD28" s="926"/>
    </row>
    <row r="29" spans="6:30" ht="17.100000000000001" customHeight="1">
      <c r="F29" s="77"/>
      <c r="G29" s="74" t="s">
        <v>62</v>
      </c>
      <c r="H29" s="854">
        <f>H28/J14</f>
        <v>2.9995549667391286</v>
      </c>
      <c r="I29" s="855"/>
      <c r="J29" s="855"/>
      <c r="K29" s="856"/>
      <c r="L29" s="1181"/>
      <c r="M29" s="51"/>
      <c r="N29" s="1174"/>
      <c r="O29" s="347">
        <f>G45</f>
        <v>49</v>
      </c>
      <c r="P29" s="348">
        <f>H42</f>
        <v>192</v>
      </c>
      <c r="Q29" s="349">
        <f>N42</f>
        <v>71.050000000000011</v>
      </c>
      <c r="R29" s="350">
        <f>P29*Q29</f>
        <v>13641.600000000002</v>
      </c>
      <c r="S29" s="1182">
        <f>R29+R30+R31</f>
        <v>40216.200000000004</v>
      </c>
      <c r="T29" s="1178"/>
      <c r="U29" s="274"/>
      <c r="V29" s="378">
        <f>S29-S27</f>
        <v>58.349999999991269</v>
      </c>
      <c r="W29" s="169"/>
      <c r="X29" s="919"/>
      <c r="Y29" s="165"/>
      <c r="Z29" s="157"/>
      <c r="AA29" s="170"/>
      <c r="AB29" s="157"/>
      <c r="AC29" s="927"/>
      <c r="AD29" s="929"/>
    </row>
    <row r="30" spans="6:30" ht="17.100000000000001" customHeight="1">
      <c r="F30" s="77"/>
      <c r="G30" s="72" t="s">
        <v>63</v>
      </c>
      <c r="H30" s="1088">
        <f>H78</f>
        <v>4671</v>
      </c>
      <c r="I30" s="1089"/>
      <c r="J30" s="1089"/>
      <c r="K30" s="1090"/>
      <c r="L30" s="20"/>
      <c r="M30" s="51"/>
      <c r="N30" s="1174"/>
      <c r="O30" s="351">
        <f>G47</f>
        <v>59</v>
      </c>
      <c r="P30" s="352">
        <f>H46</f>
        <v>190</v>
      </c>
      <c r="Q30" s="353">
        <f>N46</f>
        <v>85.350000000000009</v>
      </c>
      <c r="R30" s="354">
        <f>P30*Q30</f>
        <v>16216.500000000002</v>
      </c>
      <c r="S30" s="1183"/>
      <c r="T30" s="1178"/>
      <c r="U30"/>
      <c r="V30" s="1185"/>
      <c r="W30" s="169"/>
      <c r="X30" s="919"/>
      <c r="Y30" s="230"/>
      <c r="Z30" s="231"/>
      <c r="AA30" s="232"/>
      <c r="AB30" s="231"/>
      <c r="AC30" s="927"/>
      <c r="AD30" s="929"/>
    </row>
    <row r="31" spans="6:30" ht="17.100000000000001" customHeight="1">
      <c r="F31" s="77"/>
      <c r="G31" s="74" t="s">
        <v>37</v>
      </c>
      <c r="H31" s="949">
        <f>R25</f>
        <v>7061.5</v>
      </c>
      <c r="I31" s="950"/>
      <c r="J31" s="950"/>
      <c r="K31" s="164"/>
      <c r="L31" s="62">
        <f>$R$18/$H$78</f>
        <v>1.5</v>
      </c>
      <c r="M31" s="51"/>
      <c r="N31" s="1174"/>
      <c r="O31" s="355">
        <f>G51</f>
        <v>84</v>
      </c>
      <c r="P31" s="356">
        <f>H50</f>
        <v>90</v>
      </c>
      <c r="Q31" s="357">
        <f>N50</f>
        <v>115.09</v>
      </c>
      <c r="R31" s="346">
        <f>P31*Q31</f>
        <v>10358.1</v>
      </c>
      <c r="S31" s="1184"/>
      <c r="T31" s="1179"/>
      <c r="U31"/>
      <c r="V31" s="1186"/>
      <c r="X31" s="920"/>
      <c r="Y31" s="166"/>
      <c r="Z31" s="158"/>
      <c r="AA31" s="166"/>
      <c r="AB31" s="158"/>
      <c r="AC31" s="928"/>
      <c r="AD31" s="930"/>
    </row>
    <row r="32" spans="6:30" ht="6.75" customHeight="1">
      <c r="F32" s="77"/>
      <c r="G32" s="76"/>
      <c r="H32" s="57"/>
      <c r="I32" s="57"/>
      <c r="J32" s="57"/>
      <c r="K32" s="57"/>
      <c r="L32" s="57"/>
      <c r="M32" s="52"/>
      <c r="N32" s="57"/>
      <c r="O32" s="57"/>
      <c r="P32" s="57"/>
      <c r="Q32" s="57"/>
      <c r="R32" s="57"/>
      <c r="S32" s="57"/>
      <c r="T32" s="57"/>
      <c r="U32"/>
      <c r="V32" s="10"/>
    </row>
    <row r="33" spans="2:23" ht="17.25">
      <c r="F33" s="77"/>
      <c r="G33" s="951" t="s">
        <v>202</v>
      </c>
      <c r="H33" s="951"/>
      <c r="I33" s="951"/>
      <c r="J33" s="951"/>
      <c r="K33" s="951"/>
      <c r="L33" s="951"/>
      <c r="M33" s="951"/>
      <c r="N33" s="951"/>
      <c r="O33" s="951"/>
      <c r="P33" s="951"/>
      <c r="Q33" s="951"/>
      <c r="R33" s="951"/>
      <c r="S33" s="951"/>
      <c r="T33" s="952"/>
      <c r="W33" s="4"/>
    </row>
    <row r="34" spans="2:23" s="4" customFormat="1" ht="15.75" customHeight="1">
      <c r="B34" s="1122"/>
      <c r="C34" s="1122"/>
      <c r="D34" s="1122"/>
      <c r="E34" s="1122"/>
      <c r="F34" s="78"/>
      <c r="G34" s="957" t="s">
        <v>203</v>
      </c>
      <c r="H34" s="877" t="s">
        <v>204</v>
      </c>
      <c r="I34" s="877" t="s">
        <v>205</v>
      </c>
      <c r="J34" s="877" t="s">
        <v>206</v>
      </c>
      <c r="K34" s="877" t="s">
        <v>207</v>
      </c>
      <c r="L34" s="877"/>
      <c r="M34" s="877"/>
      <c r="N34" s="877" t="s">
        <v>208</v>
      </c>
      <c r="O34" s="877" t="s">
        <v>209</v>
      </c>
      <c r="P34" s="877"/>
      <c r="Q34" s="877"/>
      <c r="R34" s="877" t="s">
        <v>210</v>
      </c>
      <c r="S34" s="877" t="s">
        <v>211</v>
      </c>
      <c r="T34" s="956" t="s">
        <v>212</v>
      </c>
    </row>
    <row r="35" spans="2:23" s="4" customFormat="1" ht="15.75" customHeight="1">
      <c r="B35" s="1122"/>
      <c r="C35" s="1122"/>
      <c r="D35" s="1122"/>
      <c r="E35" s="1122"/>
      <c r="F35" s="78"/>
      <c r="G35" s="958"/>
      <c r="H35" s="878"/>
      <c r="I35" s="878"/>
      <c r="J35" s="878"/>
      <c r="K35" s="80" t="s">
        <v>21</v>
      </c>
      <c r="L35" s="80" t="s">
        <v>213</v>
      </c>
      <c r="M35" s="80" t="s">
        <v>162</v>
      </c>
      <c r="N35" s="878"/>
      <c r="O35" s="80" t="s">
        <v>214</v>
      </c>
      <c r="P35" s="80" t="s">
        <v>15</v>
      </c>
      <c r="Q35" s="80" t="s">
        <v>215</v>
      </c>
      <c r="R35" s="878"/>
      <c r="S35" s="878"/>
      <c r="T35" s="878"/>
      <c r="W35" s="2"/>
    </row>
    <row r="36" spans="2:23" ht="11.25" hidden="1" customHeight="1">
      <c r="B36" s="1127"/>
      <c r="C36" s="1121"/>
      <c r="D36" s="1121"/>
      <c r="E36" s="1121">
        <f>ROUNDUP(H78*0.05,0)</f>
        <v>234</v>
      </c>
      <c r="F36" s="1187" t="e">
        <f>H36/#REF!</f>
        <v>#REF!</v>
      </c>
      <c r="G36" s="297">
        <f>ROUNDDOWN(N37,0)</f>
        <v>17</v>
      </c>
      <c r="H36" s="1194"/>
      <c r="I36" s="1195">
        <f>H36/$H$78</f>
        <v>0</v>
      </c>
      <c r="J36" s="299">
        <f>J54</f>
        <v>39.96</v>
      </c>
      <c r="K36" s="299">
        <f>K54</f>
        <v>3.65</v>
      </c>
      <c r="L36" s="299">
        <f>L54</f>
        <v>14.8</v>
      </c>
      <c r="M36" s="299">
        <f>K36+L36</f>
        <v>18.45</v>
      </c>
      <c r="N36" s="299">
        <f>J36+M36</f>
        <v>58.41</v>
      </c>
      <c r="O36" s="299">
        <f>$O$78/$J$78*J36</f>
        <v>0.12006637732228342</v>
      </c>
      <c r="P36" s="299">
        <f>$P$78/$J$78*J36</f>
        <v>1.1240499895981391</v>
      </c>
      <c r="Q36" s="299">
        <f>$Q$78/$J$78*J36</f>
        <v>33.649802908343148</v>
      </c>
      <c r="R36" s="299">
        <f>O36+P36+Q36</f>
        <v>34.893919275263571</v>
      </c>
      <c r="S36" s="299">
        <f>N36+R36</f>
        <v>93.303919275263567</v>
      </c>
      <c r="T36" s="1196" t="s">
        <v>216</v>
      </c>
      <c r="V36" s="905"/>
    </row>
    <row r="37" spans="2:23" ht="11.25" hidden="1" customHeight="1">
      <c r="B37" s="1076"/>
      <c r="C37" s="1121"/>
      <c r="D37" s="1121"/>
      <c r="E37" s="1121"/>
      <c r="F37" s="1187"/>
      <c r="G37" s="296">
        <v>39</v>
      </c>
      <c r="H37" s="1189"/>
      <c r="I37" s="1191"/>
      <c r="J37" s="298">
        <f t="shared" ref="J37:S37" si="2">ROUNDDOWN(J36*0.3025,2)</f>
        <v>12.08</v>
      </c>
      <c r="K37" s="298">
        <f t="shared" si="2"/>
        <v>1.1000000000000001</v>
      </c>
      <c r="L37" s="298">
        <f t="shared" si="2"/>
        <v>4.47</v>
      </c>
      <c r="M37" s="298">
        <f t="shared" si="2"/>
        <v>5.58</v>
      </c>
      <c r="N37" s="298">
        <f t="shared" si="2"/>
        <v>17.66</v>
      </c>
      <c r="O37" s="298">
        <f t="shared" si="2"/>
        <v>0.03</v>
      </c>
      <c r="P37" s="298">
        <f t="shared" si="2"/>
        <v>0.34</v>
      </c>
      <c r="Q37" s="298">
        <f t="shared" si="2"/>
        <v>10.17</v>
      </c>
      <c r="R37" s="298">
        <f t="shared" si="2"/>
        <v>10.55</v>
      </c>
      <c r="S37" s="298">
        <f t="shared" si="2"/>
        <v>28.22</v>
      </c>
      <c r="T37" s="1197"/>
      <c r="V37" s="906"/>
    </row>
    <row r="38" spans="2:23" ht="12" hidden="1" customHeight="1">
      <c r="B38" s="1127"/>
      <c r="C38" s="1121"/>
      <c r="D38" s="1121"/>
      <c r="E38" s="1121"/>
      <c r="F38" s="1187" t="e">
        <f>H38/#REF!</f>
        <v>#REF!</v>
      </c>
      <c r="G38" s="300">
        <f>ROUNDDOWN(N39,0)</f>
        <v>21</v>
      </c>
      <c r="H38" s="1188"/>
      <c r="I38" s="1190">
        <f>H38/$H$78</f>
        <v>0</v>
      </c>
      <c r="J38" s="302">
        <f>J56</f>
        <v>49.95</v>
      </c>
      <c r="K38" s="302">
        <f>K56</f>
        <v>4.5</v>
      </c>
      <c r="L38" s="302">
        <f>L56</f>
        <v>16.600000000000001</v>
      </c>
      <c r="M38" s="302">
        <f>K38+L38</f>
        <v>21.1</v>
      </c>
      <c r="N38" s="302">
        <f>M38+J38</f>
        <v>71.050000000000011</v>
      </c>
      <c r="O38" s="302">
        <f>$O$78/$J$78*J38</f>
        <v>0.15008297165285428</v>
      </c>
      <c r="P38" s="302">
        <f>$P$78/$J$78*J38</f>
        <v>1.4050624869976738</v>
      </c>
      <c r="Q38" s="302">
        <f>$Q$78/$J$78*J38</f>
        <v>42.062253635428938</v>
      </c>
      <c r="R38" s="315">
        <f>O38+P38+Q38</f>
        <v>43.617399094079467</v>
      </c>
      <c r="S38" s="302">
        <f>N38+R38</f>
        <v>114.66739909407949</v>
      </c>
      <c r="T38" s="1197"/>
      <c r="V38" s="130"/>
    </row>
    <row r="39" spans="2:23" ht="12" hidden="1" customHeight="1">
      <c r="B39" s="1076"/>
      <c r="C39" s="1121"/>
      <c r="D39" s="1121"/>
      <c r="E39" s="1121"/>
      <c r="F39" s="1187"/>
      <c r="G39" s="296">
        <f>ROUNDDOWN(J38,0)</f>
        <v>49</v>
      </c>
      <c r="H39" s="1189"/>
      <c r="I39" s="1191"/>
      <c r="J39" s="298">
        <f t="shared" ref="J39:S39" si="3">ROUNDDOWN(J38*0.3025,2)</f>
        <v>15.1</v>
      </c>
      <c r="K39" s="298">
        <f t="shared" si="3"/>
        <v>1.36</v>
      </c>
      <c r="L39" s="298">
        <f t="shared" si="3"/>
        <v>5.0199999999999996</v>
      </c>
      <c r="M39" s="298">
        <f t="shared" si="3"/>
        <v>6.38</v>
      </c>
      <c r="N39" s="298">
        <f t="shared" si="3"/>
        <v>21.49</v>
      </c>
      <c r="O39" s="298">
        <f t="shared" si="3"/>
        <v>0.04</v>
      </c>
      <c r="P39" s="298">
        <f t="shared" si="3"/>
        <v>0.42</v>
      </c>
      <c r="Q39" s="301">
        <f t="shared" si="3"/>
        <v>12.72</v>
      </c>
      <c r="R39" s="301">
        <f t="shared" si="3"/>
        <v>13.19</v>
      </c>
      <c r="S39" s="301">
        <f t="shared" si="3"/>
        <v>34.68</v>
      </c>
      <c r="T39" s="1197"/>
      <c r="V39" s="148"/>
    </row>
    <row r="40" spans="2:23" ht="12" hidden="1" customHeight="1">
      <c r="B40" s="130"/>
      <c r="C40" s="308"/>
      <c r="D40" s="308"/>
      <c r="E40" s="308"/>
      <c r="F40" s="1187" t="e">
        <f>H40/#REF!</f>
        <v>#REF!</v>
      </c>
      <c r="G40" s="300">
        <f>ROUNDDOWN(N41,0)</f>
        <v>25</v>
      </c>
      <c r="H40" s="1188"/>
      <c r="I40" s="1190">
        <f>H40/$H$78</f>
        <v>0</v>
      </c>
      <c r="J40" s="302">
        <f>J58</f>
        <v>59.95</v>
      </c>
      <c r="K40" s="302">
        <f>K58</f>
        <v>5.8</v>
      </c>
      <c r="L40" s="302">
        <f>L58</f>
        <v>19.600000000000001</v>
      </c>
      <c r="M40" s="302">
        <f>K40+L40</f>
        <v>25.400000000000002</v>
      </c>
      <c r="N40" s="302">
        <f>M40+J40</f>
        <v>85.350000000000009</v>
      </c>
      <c r="O40" s="302">
        <f>$O$78/$J$78*J40</f>
        <v>0.18012961262439667</v>
      </c>
      <c r="P40" s="302">
        <f>$P$78/$J$78*J40</f>
        <v>1.6863562781883992</v>
      </c>
      <c r="Q40" s="302">
        <f>$Q$78/$J$78*J40</f>
        <v>50.483125234113409</v>
      </c>
      <c r="R40" s="315">
        <f>O40+P40+Q40</f>
        <v>52.349611124926206</v>
      </c>
      <c r="S40" s="302">
        <f>N40+R40</f>
        <v>137.69961112492621</v>
      </c>
      <c r="T40" s="1197"/>
      <c r="V40" s="193"/>
    </row>
    <row r="41" spans="2:23" ht="12" hidden="1" customHeight="1">
      <c r="B41" s="130"/>
      <c r="C41" s="308"/>
      <c r="D41" s="308"/>
      <c r="E41" s="308"/>
      <c r="F41" s="1187"/>
      <c r="G41" s="296">
        <f>ROUNDDOWN(J40,0)</f>
        <v>59</v>
      </c>
      <c r="H41" s="1189"/>
      <c r="I41" s="1191"/>
      <c r="J41" s="298">
        <f t="shared" ref="J41:S41" si="4">ROUNDDOWN(J40*0.3025,2)</f>
        <v>18.13</v>
      </c>
      <c r="K41" s="298">
        <f t="shared" si="4"/>
        <v>1.75</v>
      </c>
      <c r="L41" s="298">
        <f t="shared" si="4"/>
        <v>5.92</v>
      </c>
      <c r="M41" s="298">
        <f t="shared" si="4"/>
        <v>7.68</v>
      </c>
      <c r="N41" s="298">
        <f t="shared" si="4"/>
        <v>25.81</v>
      </c>
      <c r="O41" s="298">
        <f t="shared" si="4"/>
        <v>0.05</v>
      </c>
      <c r="P41" s="298">
        <f t="shared" si="4"/>
        <v>0.51</v>
      </c>
      <c r="Q41" s="301">
        <f t="shared" si="4"/>
        <v>15.27</v>
      </c>
      <c r="R41" s="301">
        <f t="shared" si="4"/>
        <v>15.83</v>
      </c>
      <c r="S41" s="301">
        <f t="shared" si="4"/>
        <v>41.65</v>
      </c>
      <c r="T41" s="1197"/>
      <c r="V41" s="193"/>
    </row>
    <row r="42" spans="2:23" ht="12" customHeight="1">
      <c r="B42" s="130"/>
      <c r="C42" s="308"/>
      <c r="D42" s="308"/>
      <c r="E42" s="1128">
        <f>H42/$H$52</f>
        <v>0.40677966101694918</v>
      </c>
      <c r="F42" s="336"/>
      <c r="G42" s="316">
        <f>ROUNDDOWN(N43,0)</f>
        <v>21</v>
      </c>
      <c r="H42" s="1192">
        <v>192</v>
      </c>
      <c r="I42" s="369">
        <f>H42/$H$78</f>
        <v>4.1104688503532431E-2</v>
      </c>
      <c r="J42" s="364">
        <f>J56</f>
        <v>49.95</v>
      </c>
      <c r="K42" s="364">
        <f>K56</f>
        <v>4.5</v>
      </c>
      <c r="L42" s="364">
        <f>L56</f>
        <v>16.600000000000001</v>
      </c>
      <c r="M42" s="364">
        <f>K42+L42</f>
        <v>21.1</v>
      </c>
      <c r="N42" s="364">
        <f>M42+J42</f>
        <v>71.050000000000011</v>
      </c>
      <c r="O42" s="364">
        <f>$O$78/$J$78*J42</f>
        <v>0.15008297165285428</v>
      </c>
      <c r="P42" s="364">
        <f>$P$78/$J$78*J42</f>
        <v>1.4050624869976738</v>
      </c>
      <c r="Q42" s="364">
        <f>$Q$78/$J$78*J42</f>
        <v>42.062253635428938</v>
      </c>
      <c r="R42" s="364">
        <f>O42+P42+Q42</f>
        <v>43.617399094079467</v>
      </c>
      <c r="S42" s="364">
        <f>N42+R42</f>
        <v>114.66739909407949</v>
      </c>
      <c r="T42" s="1198" t="s">
        <v>159</v>
      </c>
      <c r="V42" s="193"/>
    </row>
    <row r="43" spans="2:23" ht="12" customHeight="1">
      <c r="B43" s="130"/>
      <c r="C43" s="308"/>
      <c r="D43" s="308"/>
      <c r="E43" s="1129"/>
      <c r="F43" s="336"/>
      <c r="G43" s="318">
        <f>ROUNDDOWN(J42,0)</f>
        <v>49</v>
      </c>
      <c r="H43" s="1193"/>
      <c r="I43" s="373">
        <f>I42+I56</f>
        <v>0.12438450010704347</v>
      </c>
      <c r="J43" s="319">
        <f t="shared" ref="J43:S43" si="5">ROUNDDOWN(J42*0.3025,2)</f>
        <v>15.1</v>
      </c>
      <c r="K43" s="319">
        <f t="shared" si="5"/>
        <v>1.36</v>
      </c>
      <c r="L43" s="319">
        <f t="shared" si="5"/>
        <v>5.0199999999999996</v>
      </c>
      <c r="M43" s="319">
        <f t="shared" si="5"/>
        <v>6.38</v>
      </c>
      <c r="N43" s="319">
        <f t="shared" si="5"/>
        <v>21.49</v>
      </c>
      <c r="O43" s="319">
        <f t="shared" si="5"/>
        <v>0.04</v>
      </c>
      <c r="P43" s="319">
        <f t="shared" si="5"/>
        <v>0.42</v>
      </c>
      <c r="Q43" s="320">
        <f t="shared" si="5"/>
        <v>12.72</v>
      </c>
      <c r="R43" s="320">
        <f t="shared" si="5"/>
        <v>13.19</v>
      </c>
      <c r="S43" s="320">
        <f t="shared" si="5"/>
        <v>34.68</v>
      </c>
      <c r="T43" s="1198"/>
      <c r="V43" s="193"/>
    </row>
    <row r="44" spans="2:23" ht="12" hidden="1" customHeight="1">
      <c r="B44" s="130"/>
      <c r="C44" s="308"/>
      <c r="D44" s="308"/>
      <c r="E44" s="1130">
        <f>C44/$H$78</f>
        <v>0</v>
      </c>
      <c r="F44" s="336"/>
      <c r="G44" s="316">
        <f>ROUNDDOWN(N43,0)</f>
        <v>21</v>
      </c>
      <c r="H44" s="1192"/>
      <c r="I44" s="1130">
        <f>H44/$H$78</f>
        <v>0</v>
      </c>
      <c r="T44" s="1198"/>
      <c r="V44" s="193"/>
    </row>
    <row r="45" spans="2:23" ht="12" hidden="1" customHeight="1">
      <c r="B45" s="130"/>
      <c r="C45" s="308"/>
      <c r="D45" s="308"/>
      <c r="E45" s="1129"/>
      <c r="F45" s="336"/>
      <c r="G45" s="318">
        <f>ROUNDDOWN(J42,0)</f>
        <v>49</v>
      </c>
      <c r="H45" s="1193"/>
      <c r="I45" s="1129"/>
      <c r="T45" s="1198"/>
      <c r="V45" s="193"/>
    </row>
    <row r="46" spans="2:23" ht="12" customHeight="1">
      <c r="B46" s="1127"/>
      <c r="C46" s="1121"/>
      <c r="D46" s="1121"/>
      <c r="E46" s="1128">
        <f>H46/$H$52</f>
        <v>0.40254237288135591</v>
      </c>
      <c r="F46" s="130"/>
      <c r="G46" s="316">
        <f>ROUNDDOWN(N47,0)</f>
        <v>25</v>
      </c>
      <c r="H46" s="1200">
        <v>190</v>
      </c>
      <c r="I46" s="369">
        <f>H46/$H$78</f>
        <v>4.0676514664953971E-2</v>
      </c>
      <c r="J46" s="364">
        <f>J58</f>
        <v>59.95</v>
      </c>
      <c r="K46" s="364">
        <f>K58</f>
        <v>5.8</v>
      </c>
      <c r="L46" s="364">
        <f>L58</f>
        <v>19.600000000000001</v>
      </c>
      <c r="M46" s="364">
        <f>K46+L46</f>
        <v>25.400000000000002</v>
      </c>
      <c r="N46" s="364">
        <f>M46+J46</f>
        <v>85.350000000000009</v>
      </c>
      <c r="O46" s="364">
        <f>$O$78/$J$78*J46</f>
        <v>0.18012961262439667</v>
      </c>
      <c r="P46" s="364">
        <f>$P$78/$J$78*J46</f>
        <v>1.6863562781883992</v>
      </c>
      <c r="Q46" s="364">
        <f>$Q$78/$J$78*J46</f>
        <v>50.483125234113409</v>
      </c>
      <c r="R46" s="364">
        <f>O46+P46+Q46</f>
        <v>52.349611124926206</v>
      </c>
      <c r="S46" s="364">
        <f>N46+R46</f>
        <v>137.69961112492621</v>
      </c>
      <c r="T46" s="1198"/>
      <c r="V46" s="193"/>
    </row>
    <row r="47" spans="2:23" ht="12" customHeight="1">
      <c r="B47" s="1076"/>
      <c r="C47" s="1121"/>
      <c r="D47" s="1121"/>
      <c r="E47" s="1129"/>
      <c r="F47" s="130"/>
      <c r="G47" s="318">
        <f>ROUNDDOWN(J46,0)</f>
        <v>59</v>
      </c>
      <c r="H47" s="1193"/>
      <c r="I47" s="373">
        <f>I46+I58</f>
        <v>0.28901734104046239</v>
      </c>
      <c r="J47" s="319">
        <f t="shared" ref="J47:S47" si="6">ROUNDDOWN(J46*0.3025,2)</f>
        <v>18.13</v>
      </c>
      <c r="K47" s="319">
        <f t="shared" si="6"/>
        <v>1.75</v>
      </c>
      <c r="L47" s="319">
        <f t="shared" si="6"/>
        <v>5.92</v>
      </c>
      <c r="M47" s="319">
        <f t="shared" si="6"/>
        <v>7.68</v>
      </c>
      <c r="N47" s="319">
        <f t="shared" si="6"/>
        <v>25.81</v>
      </c>
      <c r="O47" s="319">
        <f t="shared" si="6"/>
        <v>0.05</v>
      </c>
      <c r="P47" s="319">
        <f t="shared" si="6"/>
        <v>0.51</v>
      </c>
      <c r="Q47" s="320">
        <f t="shared" si="6"/>
        <v>15.27</v>
      </c>
      <c r="R47" s="320">
        <f t="shared" si="6"/>
        <v>15.83</v>
      </c>
      <c r="S47" s="320">
        <f t="shared" si="6"/>
        <v>41.65</v>
      </c>
      <c r="T47" s="1198"/>
      <c r="V47" s="193"/>
    </row>
    <row r="48" spans="2:23" ht="12" hidden="1" customHeight="1">
      <c r="B48" s="130"/>
      <c r="C48" s="308"/>
      <c r="D48" s="308"/>
      <c r="E48" s="1128">
        <f>C48/$H$78</f>
        <v>0</v>
      </c>
      <c r="F48" s="130"/>
      <c r="G48" s="316">
        <f>ROUNDDOWN(N49,0)</f>
        <v>30</v>
      </c>
      <c r="H48" s="1200"/>
      <c r="I48" s="1128">
        <f>H48/$H$78</f>
        <v>0</v>
      </c>
      <c r="J48" s="317">
        <f>J60</f>
        <v>74</v>
      </c>
      <c r="K48" s="317">
        <f>K60</f>
        <v>7.12</v>
      </c>
      <c r="L48" s="317">
        <f>L60</f>
        <v>18.37</v>
      </c>
      <c r="M48" s="317">
        <f>K48+L48</f>
        <v>25.490000000000002</v>
      </c>
      <c r="N48" s="317">
        <f>M48+J48</f>
        <v>99.490000000000009</v>
      </c>
      <c r="O48" s="317">
        <f>$O$78/$J$78*J48</f>
        <v>0.22234514318941373</v>
      </c>
      <c r="P48" s="317">
        <f>$P$78/$J$78*J48</f>
        <v>2.0815740548113686</v>
      </c>
      <c r="Q48" s="317">
        <f>$Q$78/$J$78*J48</f>
        <v>62.31444983026509</v>
      </c>
      <c r="R48" s="317">
        <f>O48+P48+Q48</f>
        <v>64.618369028265874</v>
      </c>
      <c r="S48" s="317">
        <f>N48+R48</f>
        <v>164.10836902826588</v>
      </c>
      <c r="T48" s="1198"/>
      <c r="V48" s="193"/>
    </row>
    <row r="49" spans="2:22" ht="12" hidden="1" customHeight="1">
      <c r="B49" s="130"/>
      <c r="C49" s="308"/>
      <c r="D49" s="308"/>
      <c r="E49" s="1129"/>
      <c r="F49" s="130"/>
      <c r="G49" s="318">
        <f>ROUNDDOWN(J48,0)</f>
        <v>74</v>
      </c>
      <c r="H49" s="1193"/>
      <c r="I49" s="1129"/>
      <c r="J49" s="319">
        <f t="shared" ref="J49:S49" si="7">ROUNDDOWN(J48*0.3025,2)</f>
        <v>22.38</v>
      </c>
      <c r="K49" s="319">
        <f t="shared" si="7"/>
        <v>2.15</v>
      </c>
      <c r="L49" s="319">
        <f t="shared" si="7"/>
        <v>5.55</v>
      </c>
      <c r="M49" s="319">
        <f t="shared" si="7"/>
        <v>7.71</v>
      </c>
      <c r="N49" s="319">
        <f t="shared" si="7"/>
        <v>30.09</v>
      </c>
      <c r="O49" s="319">
        <f t="shared" si="7"/>
        <v>0.06</v>
      </c>
      <c r="P49" s="319">
        <f t="shared" si="7"/>
        <v>0.62</v>
      </c>
      <c r="Q49" s="320">
        <f t="shared" si="7"/>
        <v>18.850000000000001</v>
      </c>
      <c r="R49" s="320">
        <f t="shared" si="7"/>
        <v>19.54</v>
      </c>
      <c r="S49" s="320">
        <f t="shared" si="7"/>
        <v>49.64</v>
      </c>
      <c r="T49" s="1198"/>
      <c r="V49" s="193"/>
    </row>
    <row r="50" spans="2:22" ht="12" customHeight="1">
      <c r="B50" s="1127"/>
      <c r="C50" s="1121"/>
      <c r="D50" s="1121"/>
      <c r="E50" s="1128">
        <f>H50/$H$52</f>
        <v>0.19067796610169491</v>
      </c>
      <c r="F50" s="130"/>
      <c r="G50" s="316">
        <f>ROUNDDOWN(N51,0)</f>
        <v>34</v>
      </c>
      <c r="H50" s="1200">
        <v>90</v>
      </c>
      <c r="I50" s="369">
        <f>H50/$H$78</f>
        <v>1.9267822736030827E-2</v>
      </c>
      <c r="J50" s="364">
        <f>J62</f>
        <v>84.95</v>
      </c>
      <c r="K50" s="364">
        <f>K62</f>
        <v>7.74</v>
      </c>
      <c r="L50" s="364">
        <f>L62</f>
        <v>22.4</v>
      </c>
      <c r="M50" s="364">
        <f>K50+L50</f>
        <v>30.14</v>
      </c>
      <c r="N50" s="364">
        <f>M50+J50</f>
        <v>115.09</v>
      </c>
      <c r="O50" s="364">
        <f>$O$78/$J$78*J50</f>
        <v>0.25524621505325268</v>
      </c>
      <c r="P50" s="364">
        <f>$P$78/$J$78*J50</f>
        <v>2.3895907561652128</v>
      </c>
      <c r="Q50" s="364">
        <f>$Q$78/$J$78*J50</f>
        <v>71.535304230824593</v>
      </c>
      <c r="R50" s="364">
        <f>O50+P50+Q50</f>
        <v>74.18014120204306</v>
      </c>
      <c r="S50" s="364">
        <f>N50+R50</f>
        <v>189.27014120204308</v>
      </c>
      <c r="T50" s="1198"/>
      <c r="V50" s="193"/>
    </row>
    <row r="51" spans="2:22" ht="12" customHeight="1">
      <c r="B51" s="1076"/>
      <c r="C51" s="1121"/>
      <c r="D51" s="1121"/>
      <c r="E51" s="1129"/>
      <c r="G51" s="318">
        <f>ROUNDDOWN(J50,0)</f>
        <v>84</v>
      </c>
      <c r="H51" s="1193"/>
      <c r="I51" s="373">
        <f>I50+I62</f>
        <v>0.46135731106829375</v>
      </c>
      <c r="J51" s="319">
        <f t="shared" ref="J51:S51" si="8">ROUNDDOWN(J50*0.3025,2)</f>
        <v>25.69</v>
      </c>
      <c r="K51" s="319">
        <f t="shared" si="8"/>
        <v>2.34</v>
      </c>
      <c r="L51" s="319">
        <f t="shared" si="8"/>
        <v>6.77</v>
      </c>
      <c r="M51" s="319">
        <f t="shared" si="8"/>
        <v>9.11</v>
      </c>
      <c r="N51" s="319">
        <f t="shared" si="8"/>
        <v>34.81</v>
      </c>
      <c r="O51" s="319">
        <f t="shared" si="8"/>
        <v>7.0000000000000007E-2</v>
      </c>
      <c r="P51" s="319">
        <f t="shared" si="8"/>
        <v>0.72</v>
      </c>
      <c r="Q51" s="320">
        <f t="shared" si="8"/>
        <v>21.63</v>
      </c>
      <c r="R51" s="320">
        <f t="shared" si="8"/>
        <v>22.43</v>
      </c>
      <c r="S51" s="320">
        <f t="shared" si="8"/>
        <v>57.25</v>
      </c>
      <c r="T51" s="1199"/>
      <c r="V51" s="193"/>
    </row>
    <row r="52" spans="2:22" ht="12" customHeight="1">
      <c r="B52" s="1127"/>
      <c r="C52" s="1121"/>
      <c r="D52" s="1121"/>
      <c r="E52" s="1201">
        <f>SUM(E42:E51)</f>
        <v>1</v>
      </c>
      <c r="G52" s="1202" t="s">
        <v>82</v>
      </c>
      <c r="H52" s="1204">
        <f>SUM(H36:H51)</f>
        <v>472</v>
      </c>
      <c r="I52" s="1201">
        <f>I42+I46+I50</f>
        <v>0.10104902590451723</v>
      </c>
      <c r="J52" s="365">
        <f>SUMPRODUCT(H36:H51,J36:J51)</f>
        <v>28626.400000000001</v>
      </c>
      <c r="K52" s="365">
        <f>SUMPRODUCT(H36:H51,K36:K51)</f>
        <v>2662.6</v>
      </c>
      <c r="L52" s="365">
        <f>SUMPRODUCT(H36:H51,L36:L51)</f>
        <v>8927.2000000000007</v>
      </c>
      <c r="M52" s="365">
        <f>K52+L52</f>
        <v>11589.800000000001</v>
      </c>
      <c r="N52" s="365">
        <f>J52+M52</f>
        <v>40216.200000000004</v>
      </c>
      <c r="O52" s="365">
        <f>SUMPRODUCT(H36:H51,O36:O51)</f>
        <v>86.012716310776128</v>
      </c>
      <c r="P52" s="365">
        <f>SUMPRODUCT(H36:H51,P36:P51)</f>
        <v>805.2428584142184</v>
      </c>
      <c r="Q52" s="365">
        <f>SUMPRODUCT(H36:H51,Q36:Q51)</f>
        <v>24105.923873258118</v>
      </c>
      <c r="R52" s="365">
        <f>O52+P52+Q52</f>
        <v>24997.179447983111</v>
      </c>
      <c r="S52" s="365">
        <f>N52+R52</f>
        <v>65213.379447983112</v>
      </c>
      <c r="T52" s="1206"/>
    </row>
    <row r="53" spans="2:22" ht="12" customHeight="1">
      <c r="B53" s="1076"/>
      <c r="C53" s="1121"/>
      <c r="D53" s="1121"/>
      <c r="E53" s="1132"/>
      <c r="G53" s="1203"/>
      <c r="H53" s="1205"/>
      <c r="I53" s="1132"/>
      <c r="J53" s="292">
        <f t="shared" ref="J53:S53" si="9">ROUNDDOWN(J52*0.3025,2)</f>
        <v>8659.48</v>
      </c>
      <c r="K53" s="292">
        <f t="shared" si="9"/>
        <v>805.43</v>
      </c>
      <c r="L53" s="292">
        <f t="shared" si="9"/>
        <v>2700.47</v>
      </c>
      <c r="M53" s="292">
        <f t="shared" si="9"/>
        <v>3505.91</v>
      </c>
      <c r="N53" s="292">
        <f t="shared" si="9"/>
        <v>12165.4</v>
      </c>
      <c r="O53" s="292">
        <f t="shared" si="9"/>
        <v>26.01</v>
      </c>
      <c r="P53" s="292">
        <f t="shared" si="9"/>
        <v>243.58</v>
      </c>
      <c r="Q53" s="292">
        <f t="shared" si="9"/>
        <v>7292.04</v>
      </c>
      <c r="R53" s="292">
        <f t="shared" si="9"/>
        <v>7561.64</v>
      </c>
      <c r="S53" s="292">
        <f t="shared" si="9"/>
        <v>19727.04</v>
      </c>
      <c r="T53" s="1207"/>
    </row>
    <row r="54" spans="2:22" ht="12" hidden="1" customHeight="1">
      <c r="B54" s="86"/>
      <c r="C54" s="1121"/>
      <c r="D54" s="937"/>
      <c r="E54" s="937">
        <f>C54/$H$78</f>
        <v>0</v>
      </c>
      <c r="F54" s="1075"/>
      <c r="G54" s="86">
        <f>ROUNDDOWN(N55,0)</f>
        <v>17</v>
      </c>
      <c r="H54" s="935"/>
      <c r="I54" s="937">
        <f>H54/$H$78</f>
        <v>0</v>
      </c>
      <c r="J54" s="89">
        <v>39.96</v>
      </c>
      <c r="K54" s="89">
        <v>3.65</v>
      </c>
      <c r="L54" s="89">
        <v>14.8</v>
      </c>
      <c r="M54" s="89">
        <f>K54+L54</f>
        <v>18.45</v>
      </c>
      <c r="N54" s="89">
        <f>J54+M54</f>
        <v>58.41</v>
      </c>
      <c r="O54" s="89">
        <f>$O$78/$J$78*J54</f>
        <v>0.12006637732228342</v>
      </c>
      <c r="P54" s="89">
        <f>$P$78/$J$78*J54</f>
        <v>1.1240499895981391</v>
      </c>
      <c r="Q54" s="89">
        <f>$Q$78/$J$78*J54</f>
        <v>33.649802908343148</v>
      </c>
      <c r="R54" s="89">
        <f>O54+P54+Q54</f>
        <v>34.893919275263571</v>
      </c>
      <c r="S54" s="89">
        <f>N54+R54</f>
        <v>93.303919275263567</v>
      </c>
      <c r="T54" s="898" t="s">
        <v>137</v>
      </c>
    </row>
    <row r="55" spans="2:22" ht="12" hidden="1" customHeight="1">
      <c r="B55" s="87"/>
      <c r="C55" s="1121"/>
      <c r="D55" s="938"/>
      <c r="E55" s="938"/>
      <c r="F55" s="1076"/>
      <c r="G55" s="87">
        <v>39</v>
      </c>
      <c r="H55" s="936"/>
      <c r="I55" s="938"/>
      <c r="J55" s="111">
        <f t="shared" ref="J55:S55" si="10">ROUNDDOWN(J54*0.3025,2)</f>
        <v>12.08</v>
      </c>
      <c r="K55" s="111">
        <f t="shared" si="10"/>
        <v>1.1000000000000001</v>
      </c>
      <c r="L55" s="111">
        <f t="shared" si="10"/>
        <v>4.47</v>
      </c>
      <c r="M55" s="111">
        <f t="shared" si="10"/>
        <v>5.58</v>
      </c>
      <c r="N55" s="111">
        <f t="shared" si="10"/>
        <v>17.66</v>
      </c>
      <c r="O55" s="111">
        <f t="shared" si="10"/>
        <v>0.03</v>
      </c>
      <c r="P55" s="111">
        <f t="shared" si="10"/>
        <v>0.34</v>
      </c>
      <c r="Q55" s="111">
        <f t="shared" si="10"/>
        <v>10.17</v>
      </c>
      <c r="R55" s="111">
        <f t="shared" si="10"/>
        <v>10.55</v>
      </c>
      <c r="S55" s="111">
        <f t="shared" si="10"/>
        <v>28.22</v>
      </c>
      <c r="T55" s="899"/>
    </row>
    <row r="56" spans="2:22" ht="12" customHeight="1">
      <c r="B56" s="88"/>
      <c r="C56" s="1121"/>
      <c r="D56" s="940"/>
      <c r="E56" s="940">
        <f>H56/$H$76</f>
        <v>9.2641105025005957E-2</v>
      </c>
      <c r="F56" s="1075"/>
      <c r="G56" s="88">
        <f>ROUNDDOWN(N57,0)</f>
        <v>21</v>
      </c>
      <c r="H56" s="1085">
        <v>389</v>
      </c>
      <c r="I56" s="372">
        <f>H56/$H$78</f>
        <v>8.3279811603511028E-2</v>
      </c>
      <c r="J56" s="366">
        <v>49.95</v>
      </c>
      <c r="K56" s="366">
        <v>4.5</v>
      </c>
      <c r="L56" s="366">
        <v>16.600000000000001</v>
      </c>
      <c r="M56" s="366">
        <f>K56+L56</f>
        <v>21.1</v>
      </c>
      <c r="N56" s="366">
        <f>M56+J56</f>
        <v>71.050000000000011</v>
      </c>
      <c r="O56" s="366">
        <f>$O$78/$J$78*J56</f>
        <v>0.15008297165285428</v>
      </c>
      <c r="P56" s="366">
        <f>$P$78/$J$78*J56</f>
        <v>1.4050624869976738</v>
      </c>
      <c r="Q56" s="366">
        <f>$Q$78/$J$78*J56</f>
        <v>42.062253635428938</v>
      </c>
      <c r="R56" s="366">
        <f>O56+P56+Q56</f>
        <v>43.617399094079467</v>
      </c>
      <c r="S56" s="366">
        <f>N56+R56</f>
        <v>114.66739909407949</v>
      </c>
      <c r="T56" s="899"/>
    </row>
    <row r="57" spans="2:22" ht="12" customHeight="1">
      <c r="B57" s="87"/>
      <c r="C57" s="1121"/>
      <c r="D57" s="938"/>
      <c r="E57" s="938"/>
      <c r="F57" s="1076"/>
      <c r="G57" s="87">
        <f>ROUNDDOWN(J56,0)</f>
        <v>49</v>
      </c>
      <c r="H57" s="936"/>
      <c r="I57" s="374">
        <f>I43</f>
        <v>0.12438450010704347</v>
      </c>
      <c r="J57" s="111">
        <f t="shared" ref="J57:S57" si="11">ROUNDDOWN(J56*0.3025,2)</f>
        <v>15.1</v>
      </c>
      <c r="K57" s="111">
        <f t="shared" si="11"/>
        <v>1.36</v>
      </c>
      <c r="L57" s="111">
        <f t="shared" si="11"/>
        <v>5.0199999999999996</v>
      </c>
      <c r="M57" s="111">
        <f t="shared" si="11"/>
        <v>6.38</v>
      </c>
      <c r="N57" s="111">
        <f t="shared" si="11"/>
        <v>21.49</v>
      </c>
      <c r="O57" s="111">
        <f t="shared" si="11"/>
        <v>0.04</v>
      </c>
      <c r="P57" s="111">
        <f t="shared" si="11"/>
        <v>0.42</v>
      </c>
      <c r="Q57" s="278">
        <f t="shared" si="11"/>
        <v>12.72</v>
      </c>
      <c r="R57" s="278">
        <f t="shared" si="11"/>
        <v>13.19</v>
      </c>
      <c r="S57" s="278">
        <f t="shared" si="11"/>
        <v>34.68</v>
      </c>
      <c r="T57" s="899"/>
    </row>
    <row r="58" spans="2:22" ht="12" customHeight="1">
      <c r="B58" s="88"/>
      <c r="C58" s="1121"/>
      <c r="D58" s="940"/>
      <c r="E58" s="940">
        <f>H58/$H$76</f>
        <v>0.27625625148844962</v>
      </c>
      <c r="F58" s="1075"/>
      <c r="G58" s="88">
        <f>ROUNDDOWN(N59,0)</f>
        <v>25</v>
      </c>
      <c r="H58" s="939">
        <v>1160</v>
      </c>
      <c r="I58" s="372">
        <f>H58/$H$78</f>
        <v>0.24834082637550844</v>
      </c>
      <c r="J58" s="366">
        <v>59.95</v>
      </c>
      <c r="K58" s="366">
        <v>5.8</v>
      </c>
      <c r="L58" s="366">
        <v>19.600000000000001</v>
      </c>
      <c r="M58" s="366">
        <f>K58+L58</f>
        <v>25.400000000000002</v>
      </c>
      <c r="N58" s="366">
        <f>M58+J58</f>
        <v>85.350000000000009</v>
      </c>
      <c r="O58" s="366">
        <f>$O$78/$J$78*J58</f>
        <v>0.18012961262439667</v>
      </c>
      <c r="P58" s="366">
        <f>$P$78/$J$78*J58</f>
        <v>1.6863562781883992</v>
      </c>
      <c r="Q58" s="366">
        <f>$Q$78/$J$78*J58</f>
        <v>50.483125234113409</v>
      </c>
      <c r="R58" s="366">
        <f>O58+P58+Q58</f>
        <v>52.349611124926206</v>
      </c>
      <c r="S58" s="367">
        <f>N58+R58</f>
        <v>137.69961112492621</v>
      </c>
      <c r="T58" s="899"/>
    </row>
    <row r="59" spans="2:22" ht="12" customHeight="1">
      <c r="B59" s="87"/>
      <c r="C59" s="1121"/>
      <c r="D59" s="938"/>
      <c r="E59" s="938"/>
      <c r="F59" s="1076"/>
      <c r="G59" s="87">
        <f>ROUNDDOWN(J58,0)</f>
        <v>59</v>
      </c>
      <c r="H59" s="936"/>
      <c r="I59" s="374">
        <f>I46+I58</f>
        <v>0.28901734104046239</v>
      </c>
      <c r="J59" s="111">
        <f t="shared" ref="J59:S59" si="12">ROUNDDOWN(J58*0.3025,2)</f>
        <v>18.13</v>
      </c>
      <c r="K59" s="111">
        <f t="shared" si="12"/>
        <v>1.75</v>
      </c>
      <c r="L59" s="111">
        <f t="shared" si="12"/>
        <v>5.92</v>
      </c>
      <c r="M59" s="111">
        <f t="shared" si="12"/>
        <v>7.68</v>
      </c>
      <c r="N59" s="111">
        <f t="shared" si="12"/>
        <v>25.81</v>
      </c>
      <c r="O59" s="111">
        <f t="shared" si="12"/>
        <v>0.05</v>
      </c>
      <c r="P59" s="111">
        <f t="shared" si="12"/>
        <v>0.51</v>
      </c>
      <c r="Q59" s="111">
        <f t="shared" si="12"/>
        <v>15.27</v>
      </c>
      <c r="R59" s="111">
        <f t="shared" si="12"/>
        <v>15.83</v>
      </c>
      <c r="S59" s="111">
        <f t="shared" si="12"/>
        <v>41.65</v>
      </c>
      <c r="T59" s="899"/>
    </row>
    <row r="60" spans="2:22" ht="12" customHeight="1">
      <c r="B60" s="88"/>
      <c r="C60" s="1121"/>
      <c r="D60" s="940"/>
      <c r="E60" s="940">
        <f>H60/$H$76</f>
        <v>7.2636341986187181E-2</v>
      </c>
      <c r="F60" s="1076"/>
      <c r="G60" s="88">
        <f>ROUNDDOWN(N61,0)</f>
        <v>30</v>
      </c>
      <c r="H60" s="939">
        <v>305</v>
      </c>
      <c r="I60" s="1208">
        <f>H60/$H$78</f>
        <v>6.5296510383215586E-2</v>
      </c>
      <c r="J60" s="366">
        <v>74</v>
      </c>
      <c r="K60" s="366">
        <v>7.12</v>
      </c>
      <c r="L60" s="366">
        <v>18.37</v>
      </c>
      <c r="M60" s="366">
        <f>K60+L60</f>
        <v>25.490000000000002</v>
      </c>
      <c r="N60" s="366">
        <f>J60+M60</f>
        <v>99.490000000000009</v>
      </c>
      <c r="O60" s="366">
        <f>$O$78/$J$78*J60</f>
        <v>0.22234514318941373</v>
      </c>
      <c r="P60" s="366">
        <f>$P$78/$J$78*J60</f>
        <v>2.0815740548113686</v>
      </c>
      <c r="Q60" s="366">
        <f>$Q$78/$J$78*J60</f>
        <v>62.31444983026509</v>
      </c>
      <c r="R60" s="366">
        <f>O60+P60+Q60</f>
        <v>64.618369028265874</v>
      </c>
      <c r="S60" s="366">
        <f>N60+R60</f>
        <v>164.10836902826588</v>
      </c>
      <c r="T60" s="899"/>
    </row>
    <row r="61" spans="2:22" ht="12" customHeight="1">
      <c r="B61" s="87"/>
      <c r="C61" s="1121"/>
      <c r="D61" s="938"/>
      <c r="E61" s="938"/>
      <c r="F61" s="1076"/>
      <c r="G61" s="87">
        <f>ROUNDDOWN(J60,0)</f>
        <v>74</v>
      </c>
      <c r="H61" s="936"/>
      <c r="I61" s="1209"/>
      <c r="J61" s="111">
        <f t="shared" ref="J61:S61" si="13">ROUNDDOWN(J60*0.3025,2)</f>
        <v>22.38</v>
      </c>
      <c r="K61" s="111">
        <f t="shared" si="13"/>
        <v>2.15</v>
      </c>
      <c r="L61" s="111">
        <f t="shared" si="13"/>
        <v>5.55</v>
      </c>
      <c r="M61" s="111">
        <f t="shared" si="13"/>
        <v>7.71</v>
      </c>
      <c r="N61" s="111">
        <f t="shared" si="13"/>
        <v>30.09</v>
      </c>
      <c r="O61" s="111">
        <f t="shared" si="13"/>
        <v>0.06</v>
      </c>
      <c r="P61" s="111">
        <f t="shared" si="13"/>
        <v>0.62</v>
      </c>
      <c r="Q61" s="111">
        <f t="shared" si="13"/>
        <v>18.850000000000001</v>
      </c>
      <c r="R61" s="111">
        <f t="shared" si="13"/>
        <v>19.54</v>
      </c>
      <c r="S61" s="111">
        <f t="shared" si="13"/>
        <v>49.64</v>
      </c>
      <c r="T61" s="899"/>
    </row>
    <row r="62" spans="2:22" ht="12" customHeight="1">
      <c r="B62" s="88"/>
      <c r="C62" s="1121"/>
      <c r="D62" s="940"/>
      <c r="E62" s="940">
        <f>H62/$H$76</f>
        <v>0.49178375803762803</v>
      </c>
      <c r="F62" s="1075"/>
      <c r="G62" s="88">
        <f>ROUNDDOWN(N63,0)</f>
        <v>34</v>
      </c>
      <c r="H62" s="939">
        <v>2065</v>
      </c>
      <c r="I62" s="372">
        <f>H62/$H$78</f>
        <v>0.44208948833226291</v>
      </c>
      <c r="J62" s="366">
        <v>84.95</v>
      </c>
      <c r="K62" s="366">
        <v>7.74</v>
      </c>
      <c r="L62" s="366">
        <v>22.4</v>
      </c>
      <c r="M62" s="366">
        <f>K62+L62</f>
        <v>30.14</v>
      </c>
      <c r="N62" s="366">
        <f>J62+M62</f>
        <v>115.09</v>
      </c>
      <c r="O62" s="366">
        <f>$O$78/$J$78*J62</f>
        <v>0.25524621505325268</v>
      </c>
      <c r="P62" s="366">
        <f>$P$78/$J$78*J62</f>
        <v>2.3895907561652128</v>
      </c>
      <c r="Q62" s="366">
        <f>$Q$78/$J$78*J62</f>
        <v>71.535304230824593</v>
      </c>
      <c r="R62" s="366">
        <f>O62+P62+Q62</f>
        <v>74.18014120204306</v>
      </c>
      <c r="S62" s="366">
        <f>N62+R62</f>
        <v>189.27014120204308</v>
      </c>
      <c r="T62" s="899"/>
    </row>
    <row r="63" spans="2:22" ht="12" customHeight="1">
      <c r="B63" s="87"/>
      <c r="C63" s="1121"/>
      <c r="D63" s="938"/>
      <c r="E63" s="938"/>
      <c r="F63" s="1076"/>
      <c r="G63" s="87">
        <f>ROUNDDOWN(J62,0)</f>
        <v>84</v>
      </c>
      <c r="H63" s="936"/>
      <c r="I63" s="374">
        <f>I50+I62</f>
        <v>0.46135731106829375</v>
      </c>
      <c r="J63" s="111">
        <f t="shared" ref="J63:S63" si="14">ROUNDDOWN(J62*0.3025,2)</f>
        <v>25.69</v>
      </c>
      <c r="K63" s="111">
        <f t="shared" si="14"/>
        <v>2.34</v>
      </c>
      <c r="L63" s="111">
        <f t="shared" si="14"/>
        <v>6.77</v>
      </c>
      <c r="M63" s="111">
        <f t="shared" si="14"/>
        <v>9.11</v>
      </c>
      <c r="N63" s="111">
        <f t="shared" si="14"/>
        <v>34.81</v>
      </c>
      <c r="O63" s="111">
        <f t="shared" si="14"/>
        <v>7.0000000000000007E-2</v>
      </c>
      <c r="P63" s="111">
        <f t="shared" si="14"/>
        <v>0.72</v>
      </c>
      <c r="Q63" s="111">
        <f t="shared" si="14"/>
        <v>21.63</v>
      </c>
      <c r="R63" s="111">
        <f t="shared" si="14"/>
        <v>22.43</v>
      </c>
      <c r="S63" s="111">
        <f t="shared" si="14"/>
        <v>57.25</v>
      </c>
      <c r="T63" s="899"/>
    </row>
    <row r="64" spans="2:22" ht="12" hidden="1" customHeight="1">
      <c r="B64" s="88"/>
      <c r="C64" s="1121"/>
      <c r="D64" s="940"/>
      <c r="E64" s="940">
        <f>C64/$H$78</f>
        <v>0</v>
      </c>
      <c r="F64" s="1076"/>
      <c r="G64" s="88">
        <f>ROUNDDOWN(N65,0)</f>
        <v>40</v>
      </c>
      <c r="H64" s="939"/>
      <c r="I64" s="1210">
        <f>H64/$H$78</f>
        <v>0</v>
      </c>
      <c r="J64" s="90">
        <v>102.98</v>
      </c>
      <c r="K64" s="90">
        <v>8.7200000000000006</v>
      </c>
      <c r="L64" s="90">
        <v>22.8</v>
      </c>
      <c r="M64" s="90">
        <f>K64+L64</f>
        <v>31.520000000000003</v>
      </c>
      <c r="N64" s="90">
        <f>J64+M64</f>
        <v>134.5</v>
      </c>
      <c r="O64" s="90">
        <f>$O$78/$J$78*J64</f>
        <v>0.30942030872494364</v>
      </c>
      <c r="P64" s="90">
        <f>$P$78/$J$78*J64</f>
        <v>2.8967634616820908</v>
      </c>
      <c r="Q64" s="90">
        <f>$Q$78/$J$78*J64</f>
        <v>86.718135723252701</v>
      </c>
      <c r="R64" s="90">
        <f>O64+P64+Q64</f>
        <v>89.924319493659738</v>
      </c>
      <c r="S64" s="90">
        <f>N64+R64</f>
        <v>224.42431949365974</v>
      </c>
      <c r="T64" s="899"/>
    </row>
    <row r="65" spans="2:22" ht="12" hidden="1" customHeight="1">
      <c r="B65" s="272"/>
      <c r="C65" s="1121"/>
      <c r="D65" s="938"/>
      <c r="E65" s="938"/>
      <c r="F65" s="838"/>
      <c r="G65" s="87">
        <f>ROUNDDOWN(J64,0)</f>
        <v>102</v>
      </c>
      <c r="H65" s="936"/>
      <c r="I65" s="1209"/>
      <c r="J65" s="111">
        <f t="shared" ref="J65:S65" si="15">ROUNDDOWN(J64*0.3025,2)</f>
        <v>31.15</v>
      </c>
      <c r="K65" s="111">
        <f t="shared" si="15"/>
        <v>2.63</v>
      </c>
      <c r="L65" s="111">
        <f t="shared" si="15"/>
        <v>6.89</v>
      </c>
      <c r="M65" s="111">
        <f t="shared" si="15"/>
        <v>9.5299999999999994</v>
      </c>
      <c r="N65" s="111">
        <f t="shared" si="15"/>
        <v>40.68</v>
      </c>
      <c r="O65" s="111">
        <f t="shared" si="15"/>
        <v>0.09</v>
      </c>
      <c r="P65" s="111">
        <f t="shared" si="15"/>
        <v>0.87</v>
      </c>
      <c r="Q65" s="111">
        <f t="shared" si="15"/>
        <v>26.23</v>
      </c>
      <c r="R65" s="111">
        <f t="shared" si="15"/>
        <v>27.2</v>
      </c>
      <c r="S65" s="111">
        <f t="shared" si="15"/>
        <v>67.88</v>
      </c>
      <c r="T65" s="899"/>
    </row>
    <row r="66" spans="2:22" ht="12" customHeight="1">
      <c r="B66" s="323"/>
      <c r="C66" s="308"/>
      <c r="D66" s="305"/>
      <c r="E66" s="940">
        <f>H66/$H$76</f>
        <v>6.6682543462729227E-2</v>
      </c>
      <c r="F66" s="203"/>
      <c r="G66" s="88">
        <f>ROUNDDOWN(N67,0)</f>
        <v>46</v>
      </c>
      <c r="H66" s="939">
        <v>280</v>
      </c>
      <c r="I66" s="1210">
        <f>H66/$H$78</f>
        <v>5.9944337400984801E-2</v>
      </c>
      <c r="J66" s="366">
        <v>120.95</v>
      </c>
      <c r="K66" s="366">
        <v>8.5</v>
      </c>
      <c r="L66" s="366">
        <v>25.5</v>
      </c>
      <c r="M66" s="366">
        <f>K66+L66</f>
        <v>34</v>
      </c>
      <c r="N66" s="366">
        <f>J66+M66</f>
        <v>154.94999999999999</v>
      </c>
      <c r="O66" s="366">
        <f>$O$78/$J$78*J66</f>
        <v>0.3634141225508053</v>
      </c>
      <c r="P66" s="366">
        <f>$P$78/$J$78*J66</f>
        <v>3.4022484044518246</v>
      </c>
      <c r="Q66" s="366">
        <f>$Q$78/$J$78*J66</f>
        <v>101.85044198608868</v>
      </c>
      <c r="R66" s="366">
        <f>O66+P66+Q66</f>
        <v>105.61610451309132</v>
      </c>
      <c r="S66" s="366">
        <f>N66+R66</f>
        <v>260.56610451309132</v>
      </c>
      <c r="T66" s="899"/>
    </row>
    <row r="67" spans="2:22" ht="12" customHeight="1">
      <c r="B67" s="323"/>
      <c r="C67" s="308"/>
      <c r="D67" s="305"/>
      <c r="E67" s="938"/>
      <c r="F67" s="203"/>
      <c r="G67" s="87">
        <f>ROUNDDOWN(J66,0)</f>
        <v>120</v>
      </c>
      <c r="H67" s="936"/>
      <c r="I67" s="1209"/>
      <c r="J67" s="111">
        <f t="shared" ref="J67:S67" si="16">ROUNDDOWN(J66*0.3025,2)</f>
        <v>36.58</v>
      </c>
      <c r="K67" s="111">
        <f t="shared" si="16"/>
        <v>2.57</v>
      </c>
      <c r="L67" s="111">
        <f t="shared" si="16"/>
        <v>7.71</v>
      </c>
      <c r="M67" s="111">
        <f t="shared" si="16"/>
        <v>10.28</v>
      </c>
      <c r="N67" s="111">
        <f t="shared" si="16"/>
        <v>46.87</v>
      </c>
      <c r="O67" s="111">
        <f t="shared" si="16"/>
        <v>0.1</v>
      </c>
      <c r="P67" s="111">
        <f t="shared" si="16"/>
        <v>1.02</v>
      </c>
      <c r="Q67" s="111">
        <f t="shared" si="16"/>
        <v>30.8</v>
      </c>
      <c r="R67" s="111">
        <f t="shared" si="16"/>
        <v>31.94</v>
      </c>
      <c r="S67" s="111">
        <f t="shared" si="16"/>
        <v>78.819999999999993</v>
      </c>
      <c r="T67" s="899"/>
    </row>
    <row r="68" spans="2:22" ht="12" hidden="1" customHeight="1">
      <c r="B68" s="323"/>
      <c r="C68" s="308"/>
      <c r="D68" s="305"/>
      <c r="E68" s="1084">
        <f>C68/$H$78</f>
        <v>0</v>
      </c>
      <c r="F68" s="203"/>
      <c r="G68" s="88">
        <f>ROUNDDOWN(N69,0)</f>
        <v>47</v>
      </c>
      <c r="H68" s="1085"/>
      <c r="I68" s="1084">
        <f>H68/$H$78</f>
        <v>0</v>
      </c>
      <c r="J68" s="90">
        <v>120.97</v>
      </c>
      <c r="K68" s="90">
        <v>10.72</v>
      </c>
      <c r="L68" s="90">
        <v>24.8</v>
      </c>
      <c r="M68" s="90">
        <f>K68+L68</f>
        <v>35.520000000000003</v>
      </c>
      <c r="N68" s="90">
        <f>J68+M68</f>
        <v>156.49</v>
      </c>
      <c r="O68" s="90">
        <f>$O$78/$J$78*J68</f>
        <v>0.36347421583274836</v>
      </c>
      <c r="P68" s="90">
        <f>$P$78/$J$78*J68</f>
        <v>3.402810992034206</v>
      </c>
      <c r="Q68" s="90">
        <f>$Q$78/$J$78*J68</f>
        <v>101.86728372928606</v>
      </c>
      <c r="R68" s="90">
        <f>O68+P68+Q68</f>
        <v>105.63356893715302</v>
      </c>
      <c r="S68" s="90">
        <f>N68+R68</f>
        <v>262.12356893715304</v>
      </c>
      <c r="T68" s="899"/>
    </row>
    <row r="69" spans="2:22" ht="12" hidden="1" customHeight="1">
      <c r="B69" s="323"/>
      <c r="C69" s="308"/>
      <c r="D69" s="305"/>
      <c r="E69" s="938"/>
      <c r="F69" s="203"/>
      <c r="G69" s="87">
        <f>ROUNDDOWN(J68,0)</f>
        <v>120</v>
      </c>
      <c r="H69" s="936"/>
      <c r="I69" s="938"/>
      <c r="J69" s="111">
        <f t="shared" ref="J69:S69" si="17">ROUNDDOWN(J68*0.3025,2)</f>
        <v>36.590000000000003</v>
      </c>
      <c r="K69" s="111">
        <f t="shared" si="17"/>
        <v>3.24</v>
      </c>
      <c r="L69" s="111">
        <f t="shared" si="17"/>
        <v>7.5</v>
      </c>
      <c r="M69" s="111">
        <f t="shared" si="17"/>
        <v>10.74</v>
      </c>
      <c r="N69" s="111">
        <f t="shared" si="17"/>
        <v>47.33</v>
      </c>
      <c r="O69" s="111">
        <f t="shared" si="17"/>
        <v>0.1</v>
      </c>
      <c r="P69" s="111">
        <f t="shared" si="17"/>
        <v>1.02</v>
      </c>
      <c r="Q69" s="111">
        <f t="shared" si="17"/>
        <v>30.81</v>
      </c>
      <c r="R69" s="111">
        <f t="shared" si="17"/>
        <v>31.95</v>
      </c>
      <c r="S69" s="111">
        <f t="shared" si="17"/>
        <v>79.290000000000006</v>
      </c>
      <c r="T69" s="899"/>
    </row>
    <row r="70" spans="2:22" ht="12" hidden="1" customHeight="1">
      <c r="B70" s="88"/>
      <c r="C70" s="1121"/>
      <c r="D70" s="1084"/>
      <c r="E70" s="1084">
        <f>C70/$H$78</f>
        <v>0</v>
      </c>
      <c r="F70" s="1211"/>
      <c r="G70" s="88">
        <f>ROUNDDOWN(N71,0)</f>
        <v>52</v>
      </c>
      <c r="H70" s="1085"/>
      <c r="I70" s="1084">
        <f>H70/$H$78</f>
        <v>0</v>
      </c>
      <c r="J70" s="90">
        <v>137.35</v>
      </c>
      <c r="K70" s="90">
        <v>11.28</v>
      </c>
      <c r="L70" s="90">
        <v>25.54</v>
      </c>
      <c r="M70" s="90">
        <f>K70+L70</f>
        <v>36.82</v>
      </c>
      <c r="N70" s="90">
        <f>J70+M70</f>
        <v>174.17</v>
      </c>
      <c r="O70" s="90">
        <f>$O$78/$J$78*J70</f>
        <v>0.41269061374413479</v>
      </c>
      <c r="P70" s="90">
        <f>$P$78/$J$78*J70</f>
        <v>3.863570222004614</v>
      </c>
      <c r="Q70" s="90">
        <f>$Q$78/$J$78*J70</f>
        <v>115.66067140793122</v>
      </c>
      <c r="R70" s="90">
        <f>O70+P70+Q70</f>
        <v>119.93693224367996</v>
      </c>
      <c r="S70" s="90">
        <f>N70+R70</f>
        <v>294.10693224367992</v>
      </c>
      <c r="T70" s="899"/>
    </row>
    <row r="71" spans="2:22" ht="12" hidden="1" customHeight="1">
      <c r="B71" s="87"/>
      <c r="C71" s="1121"/>
      <c r="D71" s="938"/>
      <c r="E71" s="938"/>
      <c r="F71" s="838"/>
      <c r="G71" s="87">
        <f>ROUNDDOWN(J70,0)</f>
        <v>137</v>
      </c>
      <c r="H71" s="936"/>
      <c r="I71" s="938"/>
      <c r="J71" s="111">
        <f t="shared" ref="J71:S71" si="18">ROUNDDOWN(J70*0.3025,2)</f>
        <v>41.54</v>
      </c>
      <c r="K71" s="111">
        <f t="shared" si="18"/>
        <v>3.41</v>
      </c>
      <c r="L71" s="111">
        <f t="shared" si="18"/>
        <v>7.72</v>
      </c>
      <c r="M71" s="111">
        <f t="shared" si="18"/>
        <v>11.13</v>
      </c>
      <c r="N71" s="111">
        <f t="shared" si="18"/>
        <v>52.68</v>
      </c>
      <c r="O71" s="111">
        <f t="shared" si="18"/>
        <v>0.12</v>
      </c>
      <c r="P71" s="111">
        <f t="shared" si="18"/>
        <v>1.1599999999999999</v>
      </c>
      <c r="Q71" s="111">
        <f t="shared" si="18"/>
        <v>34.979999999999997</v>
      </c>
      <c r="R71" s="111">
        <f t="shared" si="18"/>
        <v>36.28</v>
      </c>
      <c r="S71" s="111">
        <f t="shared" si="18"/>
        <v>88.96</v>
      </c>
      <c r="T71" s="899"/>
    </row>
    <row r="72" spans="2:22" ht="12" hidden="1" customHeight="1">
      <c r="B72" s="324"/>
      <c r="C72" s="308"/>
      <c r="D72" s="305"/>
      <c r="E72" s="940" t="e">
        <f>C72/$H$75</f>
        <v>#DIV/0!</v>
      </c>
      <c r="F72" s="203"/>
      <c r="G72" s="88">
        <f>ROUNDDOWN(N73,0)</f>
        <v>62</v>
      </c>
      <c r="H72" s="939"/>
      <c r="I72" s="940" t="e">
        <f>H72/$H$75</f>
        <v>#DIV/0!</v>
      </c>
      <c r="J72" s="90">
        <v>165.89</v>
      </c>
      <c r="K72" s="90">
        <v>13.45</v>
      </c>
      <c r="L72" s="90">
        <v>26.42</v>
      </c>
      <c r="M72" s="90">
        <f>K72+L72</f>
        <v>39.870000000000005</v>
      </c>
      <c r="N72" s="90">
        <f>J72+M72</f>
        <v>205.76</v>
      </c>
      <c r="O72" s="90">
        <f>$O$75/$J$75*J72</f>
        <v>0.48287642233395078</v>
      </c>
      <c r="P72" s="90">
        <f>$P$75/$J$75*J72</f>
        <v>4.6531727970362526</v>
      </c>
      <c r="Q72" s="90">
        <f>$Q$75/$J$75*J72</f>
        <v>139.68297962423921</v>
      </c>
      <c r="R72" s="90">
        <f>O72+P72+Q72</f>
        <v>144.8190288436094</v>
      </c>
      <c r="S72" s="90">
        <f>N72+R72</f>
        <v>350.57902884360942</v>
      </c>
      <c r="T72" s="899"/>
    </row>
    <row r="73" spans="2:22" ht="12" hidden="1" customHeight="1">
      <c r="B73" s="324"/>
      <c r="C73" s="308"/>
      <c r="D73" s="305"/>
      <c r="E73" s="938"/>
      <c r="F73" s="203"/>
      <c r="G73" s="87">
        <f>ROUNDDOWN(J72,0)</f>
        <v>165</v>
      </c>
      <c r="H73" s="936"/>
      <c r="I73" s="938"/>
      <c r="J73" s="111">
        <f t="shared" ref="J73:S73" si="19">ROUNDDOWN(J72*0.3025,2)</f>
        <v>50.18</v>
      </c>
      <c r="K73" s="111">
        <f t="shared" si="19"/>
        <v>4.0599999999999996</v>
      </c>
      <c r="L73" s="111">
        <f t="shared" si="19"/>
        <v>7.99</v>
      </c>
      <c r="M73" s="111">
        <f t="shared" si="19"/>
        <v>12.06</v>
      </c>
      <c r="N73" s="111">
        <f t="shared" si="19"/>
        <v>62.24</v>
      </c>
      <c r="O73" s="111">
        <f t="shared" si="19"/>
        <v>0.14000000000000001</v>
      </c>
      <c r="P73" s="111">
        <f t="shared" si="19"/>
        <v>1.4</v>
      </c>
      <c r="Q73" s="111">
        <f t="shared" si="19"/>
        <v>42.25</v>
      </c>
      <c r="R73" s="111">
        <f t="shared" si="19"/>
        <v>43.8</v>
      </c>
      <c r="S73" s="111">
        <f t="shared" si="19"/>
        <v>106.05</v>
      </c>
      <c r="T73" s="899"/>
    </row>
    <row r="74" spans="2:22" ht="12" hidden="1" customHeight="1">
      <c r="B74" s="88"/>
      <c r="C74" s="1121"/>
      <c r="D74" s="940"/>
      <c r="E74" s="940">
        <f>C74/$H$78</f>
        <v>0</v>
      </c>
      <c r="F74" s="838"/>
      <c r="G74" s="88">
        <f>ROUNDDOWN(N75,0)</f>
        <v>49</v>
      </c>
      <c r="H74" s="939"/>
      <c r="I74" s="940">
        <f>H74/$H$78</f>
        <v>0</v>
      </c>
      <c r="J74" s="90">
        <v>124.94</v>
      </c>
      <c r="K74" s="90">
        <v>11.85</v>
      </c>
      <c r="L74" s="90">
        <v>27.85</v>
      </c>
      <c r="M74" s="90">
        <f>K74+L74</f>
        <v>39.700000000000003</v>
      </c>
      <c r="N74" s="90">
        <f>J74+M74</f>
        <v>164.64</v>
      </c>
      <c r="O74" s="90">
        <f>$O$78/$J$78*J74</f>
        <v>0.37540273229845073</v>
      </c>
      <c r="P74" s="90">
        <f>$P$78/$J$78*J74</f>
        <v>3.5144846271369241</v>
      </c>
      <c r="Q74" s="90">
        <f>$Q$78/$J$78*J74</f>
        <v>105.21036975396379</v>
      </c>
      <c r="R74" s="90">
        <f>O74+P74+Q74</f>
        <v>109.10025711339917</v>
      </c>
      <c r="S74" s="90">
        <f>N74+R74</f>
        <v>273.74025711339914</v>
      </c>
      <c r="T74" s="899"/>
      <c r="V74" s="173">
        <f>N52+N76</f>
        <v>478251.95</v>
      </c>
    </row>
    <row r="75" spans="2:22" ht="12" hidden="1" customHeight="1">
      <c r="B75" s="87"/>
      <c r="C75" s="1121"/>
      <c r="D75" s="938"/>
      <c r="E75" s="938"/>
      <c r="F75" s="838"/>
      <c r="G75" s="273">
        <f>ROUNDDOWN(J74,0)</f>
        <v>124</v>
      </c>
      <c r="H75" s="936"/>
      <c r="I75" s="938"/>
      <c r="J75" s="111">
        <f t="shared" ref="J75:S75" si="20">ROUNDDOWN(J74*0.3025,2)</f>
        <v>37.79</v>
      </c>
      <c r="K75" s="111">
        <f t="shared" si="20"/>
        <v>3.58</v>
      </c>
      <c r="L75" s="111">
        <f t="shared" si="20"/>
        <v>8.42</v>
      </c>
      <c r="M75" s="111">
        <f t="shared" si="20"/>
        <v>12</v>
      </c>
      <c r="N75" s="111">
        <f t="shared" si="20"/>
        <v>49.8</v>
      </c>
      <c r="O75" s="111">
        <f t="shared" si="20"/>
        <v>0.11</v>
      </c>
      <c r="P75" s="111">
        <f t="shared" si="20"/>
        <v>1.06</v>
      </c>
      <c r="Q75" s="111">
        <f t="shared" si="20"/>
        <v>31.82</v>
      </c>
      <c r="R75" s="111">
        <f t="shared" si="20"/>
        <v>33</v>
      </c>
      <c r="S75" s="111">
        <f t="shared" si="20"/>
        <v>82.8</v>
      </c>
      <c r="T75" s="899"/>
      <c r="V75" s="144">
        <f>R52+R76</f>
        <v>305153</v>
      </c>
    </row>
    <row r="76" spans="2:22" ht="12" customHeight="1">
      <c r="B76" s="130"/>
      <c r="C76" s="130"/>
      <c r="D76" s="1131"/>
      <c r="E76" s="1131">
        <f>E56+E58+E60+E62+E66</f>
        <v>1</v>
      </c>
      <c r="F76" s="77"/>
      <c r="G76" s="1202" t="s">
        <v>82</v>
      </c>
      <c r="H76" s="1219">
        <f>SUM(H54:H75)</f>
        <v>4199</v>
      </c>
      <c r="I76" s="1131">
        <f>I56+I58+I60+I62+I66</f>
        <v>0.89895097409548275</v>
      </c>
      <c r="J76" s="365">
        <f>SUMPRODUCT(H54:H75,J54:J75)</f>
        <v>320830.3</v>
      </c>
      <c r="K76" s="365">
        <f>SUMPRODUCT(H54:H75,K54:K75)</f>
        <v>29013.200000000001</v>
      </c>
      <c r="L76" s="365">
        <f>SUMPRODUCT(H54:H75,L54:L75)</f>
        <v>88192.25</v>
      </c>
      <c r="M76" s="365">
        <f>K76+L76</f>
        <v>117205.45</v>
      </c>
      <c r="N76" s="365">
        <f>J76+M76</f>
        <v>438035.75</v>
      </c>
      <c r="O76" s="365">
        <f>SUMPRODUCT(H54:H75,O54:O75)</f>
        <v>963.987283689224</v>
      </c>
      <c r="P76" s="365">
        <f>SUMPRODUCT(H54:H75,P54:P75)</f>
        <v>9024.7571415857801</v>
      </c>
      <c r="Q76" s="365">
        <f>SUMPRODUCT(H54:H75,Q54:Q75)</f>
        <v>270167.07612674189</v>
      </c>
      <c r="R76" s="365">
        <f>O76+P76+Q76</f>
        <v>280155.8205520169</v>
      </c>
      <c r="S76" s="365">
        <f>N76+R76</f>
        <v>718191.57055201684</v>
      </c>
      <c r="T76" s="1220"/>
      <c r="V76" s="173">
        <f>S52+S76</f>
        <v>783404.95</v>
      </c>
    </row>
    <row r="77" spans="2:22" ht="12" customHeight="1">
      <c r="D77" s="1132"/>
      <c r="E77" s="1132"/>
      <c r="F77" s="77"/>
      <c r="G77" s="1203"/>
      <c r="H77" s="1205"/>
      <c r="I77" s="1132"/>
      <c r="J77" s="292">
        <f t="shared" ref="J77:S77" si="21">ROUNDDOWN(J76*0.3025,2)</f>
        <v>97051.16</v>
      </c>
      <c r="K77" s="292">
        <f t="shared" si="21"/>
        <v>8776.49</v>
      </c>
      <c r="L77" s="292">
        <f t="shared" si="21"/>
        <v>26678.15</v>
      </c>
      <c r="M77" s="292">
        <f t="shared" si="21"/>
        <v>35454.639999999999</v>
      </c>
      <c r="N77" s="292">
        <f t="shared" si="21"/>
        <v>132505.81</v>
      </c>
      <c r="O77" s="292">
        <f t="shared" si="21"/>
        <v>291.60000000000002</v>
      </c>
      <c r="P77" s="292">
        <f t="shared" si="21"/>
        <v>2729.98</v>
      </c>
      <c r="Q77" s="292">
        <f t="shared" si="21"/>
        <v>81725.539999999994</v>
      </c>
      <c r="R77" s="292">
        <f t="shared" si="21"/>
        <v>84747.13</v>
      </c>
      <c r="S77" s="292">
        <f t="shared" si="21"/>
        <v>217252.95</v>
      </c>
      <c r="T77" s="1207"/>
    </row>
    <row r="78" spans="2:22" ht="17.25" customHeight="1">
      <c r="C78" s="1212"/>
      <c r="D78" s="940"/>
      <c r="F78" s="77"/>
      <c r="G78" s="1213" t="s">
        <v>69</v>
      </c>
      <c r="H78" s="1215">
        <f>H52+H76</f>
        <v>4671</v>
      </c>
      <c r="I78" s="1217">
        <f>I52+I76</f>
        <v>1</v>
      </c>
      <c r="J78" s="368">
        <f>J52+J76</f>
        <v>349456.7</v>
      </c>
      <c r="K78" s="368">
        <f>K52+K76</f>
        <v>31675.8</v>
      </c>
      <c r="L78" s="368">
        <f>L52+L76</f>
        <v>97119.45</v>
      </c>
      <c r="M78" s="368">
        <f>K78+L78</f>
        <v>128795.25</v>
      </c>
      <c r="N78" s="368">
        <f>J78+M78</f>
        <v>478251.95</v>
      </c>
      <c r="O78" s="368">
        <v>1050</v>
      </c>
      <c r="P78" s="368">
        <f>R6+R7+R8+R9+R10+R11+R12</f>
        <v>9830</v>
      </c>
      <c r="Q78" s="368">
        <f>(R18*V17)</f>
        <v>294273</v>
      </c>
      <c r="R78" s="368">
        <f>O78+P78+Q78</f>
        <v>305153</v>
      </c>
      <c r="S78" s="368">
        <f>N78+R78</f>
        <v>783404.95</v>
      </c>
      <c r="T78" s="358"/>
    </row>
    <row r="79" spans="2:22" ht="17.25" customHeight="1">
      <c r="C79" s="1076"/>
      <c r="D79" s="938"/>
      <c r="F79" s="77"/>
      <c r="G79" s="1214"/>
      <c r="H79" s="1216"/>
      <c r="I79" s="1218"/>
      <c r="J79" s="359">
        <f t="shared" ref="J79:S79" si="22">ROUNDDOWN(J78*0.3025,2)</f>
        <v>105710.65</v>
      </c>
      <c r="K79" s="359">
        <f t="shared" si="22"/>
        <v>9581.92</v>
      </c>
      <c r="L79" s="359">
        <f t="shared" si="22"/>
        <v>29378.63</v>
      </c>
      <c r="M79" s="359">
        <f t="shared" si="22"/>
        <v>38960.559999999998</v>
      </c>
      <c r="N79" s="359">
        <f t="shared" si="22"/>
        <v>144671.21</v>
      </c>
      <c r="O79" s="359">
        <f t="shared" si="22"/>
        <v>317.62</v>
      </c>
      <c r="P79" s="359">
        <f t="shared" si="22"/>
        <v>2973.57</v>
      </c>
      <c r="Q79" s="359">
        <f t="shared" si="22"/>
        <v>89017.58</v>
      </c>
      <c r="R79" s="359">
        <f t="shared" si="22"/>
        <v>92308.78</v>
      </c>
      <c r="S79" s="359">
        <f t="shared" si="22"/>
        <v>236979.99</v>
      </c>
      <c r="T79" s="360"/>
    </row>
    <row r="80" spans="2:22" ht="6" customHeight="1">
      <c r="F80" s="77"/>
      <c r="G80" s="1046"/>
      <c r="H80" s="1047"/>
      <c r="I80" s="1047"/>
      <c r="J80" s="1047"/>
      <c r="K80" s="1047"/>
      <c r="L80" s="1047"/>
      <c r="M80" s="1047"/>
      <c r="N80" s="1047"/>
      <c r="O80" s="1047"/>
      <c r="P80" s="1047"/>
      <c r="Q80" s="1047"/>
      <c r="R80" s="1047"/>
      <c r="S80" s="1047"/>
      <c r="T80" s="1048"/>
    </row>
    <row r="81" spans="4:43" ht="18" customHeight="1">
      <c r="D81" s="321"/>
      <c r="F81" s="77"/>
      <c r="G81" s="951" t="s">
        <v>87</v>
      </c>
      <c r="H81" s="951"/>
      <c r="I81" s="951"/>
      <c r="J81" s="951"/>
      <c r="K81" s="951"/>
      <c r="L81" s="951"/>
      <c r="M81" s="951"/>
      <c r="N81" s="951"/>
      <c r="O81" s="951"/>
      <c r="P81" s="951"/>
      <c r="Q81" s="951"/>
      <c r="R81" s="951"/>
      <c r="S81" s="951"/>
      <c r="T81" s="952"/>
    </row>
    <row r="82" spans="4:43" s="6" customFormat="1" ht="14.1" customHeight="1">
      <c r="E82" s="322"/>
      <c r="F82" s="79"/>
      <c r="G82" s="984" t="s">
        <v>16</v>
      </c>
      <c r="H82" s="985"/>
      <c r="I82" s="986" t="s">
        <v>7</v>
      </c>
      <c r="J82" s="987"/>
      <c r="K82" s="986" t="s">
        <v>217</v>
      </c>
      <c r="L82" s="987"/>
      <c r="M82" s="986" t="s">
        <v>162</v>
      </c>
      <c r="N82" s="987"/>
      <c r="O82" s="85" t="s">
        <v>218</v>
      </c>
      <c r="P82" s="85" t="s">
        <v>32</v>
      </c>
      <c r="Q82" s="1044" t="s">
        <v>160</v>
      </c>
      <c r="R82" s="1045"/>
      <c r="S82" s="1051" t="s">
        <v>74</v>
      </c>
      <c r="T82" s="1052"/>
    </row>
    <row r="83" spans="4:43" s="6" customFormat="1" ht="14.1" hidden="1" customHeight="1">
      <c r="F83" s="79"/>
      <c r="G83" s="1032" t="s">
        <v>50</v>
      </c>
      <c r="H83" s="1033"/>
      <c r="I83" s="1049">
        <f>M83*0.7</f>
        <v>0</v>
      </c>
      <c r="J83" s="1050"/>
      <c r="K83" s="1049">
        <f>M83*0.3</f>
        <v>0</v>
      </c>
      <c r="L83" s="1050"/>
      <c r="M83" s="1049">
        <v>0</v>
      </c>
      <c r="N83" s="1050"/>
      <c r="O83" s="58">
        <f>M83*0.15</f>
        <v>0</v>
      </c>
      <c r="P83" s="59" t="e">
        <f>#REF!*42</f>
        <v>#REF!</v>
      </c>
      <c r="Q83" s="988" t="e">
        <f>SUM(M83:P83)</f>
        <v>#REF!</v>
      </c>
      <c r="R83" s="989"/>
      <c r="S83" s="990"/>
      <c r="T83" s="991"/>
    </row>
    <row r="84" spans="4:43" s="6" customFormat="1" ht="14.1" hidden="1" customHeight="1">
      <c r="F84" s="79"/>
      <c r="G84" s="1034"/>
      <c r="H84" s="1035"/>
      <c r="I84" s="992">
        <f t="shared" ref="I84:I86" si="23">I83*0.3025</f>
        <v>0</v>
      </c>
      <c r="J84" s="993"/>
      <c r="K84" s="992">
        <f>K83*0.3025</f>
        <v>0</v>
      </c>
      <c r="L84" s="993"/>
      <c r="M84" s="1038">
        <f>M83*0.3025</f>
        <v>0</v>
      </c>
      <c r="N84" s="1039"/>
      <c r="O84" s="9">
        <f t="shared" ref="O84:O90" si="24">O83*0.3025</f>
        <v>0</v>
      </c>
      <c r="P84" s="60" t="e">
        <f>P83*0.3025</f>
        <v>#REF!</v>
      </c>
      <c r="Q84" s="1040" t="e">
        <f>Q83*0.3025</f>
        <v>#REF!</v>
      </c>
      <c r="R84" s="1041"/>
      <c r="S84" s="1042"/>
      <c r="T84" s="1043"/>
    </row>
    <row r="85" spans="4:43" s="6" customFormat="1" ht="14.1" customHeight="1">
      <c r="F85" s="79"/>
      <c r="G85" s="996" t="s">
        <v>38</v>
      </c>
      <c r="H85" s="1001" t="s">
        <v>45</v>
      </c>
      <c r="I85" s="1057">
        <f>M85*0.7</f>
        <v>840</v>
      </c>
      <c r="J85" s="1000"/>
      <c r="K85" s="999">
        <f>M85*0.3</f>
        <v>360</v>
      </c>
      <c r="L85" s="1000"/>
      <c r="M85" s="1058">
        <v>1200</v>
      </c>
      <c r="N85" s="1059"/>
      <c r="O85" s="91">
        <v>0</v>
      </c>
      <c r="P85" s="91">
        <v>0</v>
      </c>
      <c r="Q85" s="1017">
        <f>SUM(M85:P85)</f>
        <v>1200</v>
      </c>
      <c r="R85" s="1018"/>
      <c r="S85" s="1019"/>
      <c r="T85" s="1020"/>
      <c r="U85" s="7"/>
      <c r="V85" s="7"/>
      <c r="W85" s="7"/>
      <c r="X85" s="8"/>
    </row>
    <row r="86" spans="4:43" s="6" customFormat="1" ht="14.1" customHeight="1">
      <c r="F86" s="79"/>
      <c r="G86" s="997"/>
      <c r="H86" s="1002"/>
      <c r="I86" s="1021">
        <f t="shared" si="23"/>
        <v>254.1</v>
      </c>
      <c r="J86" s="1022"/>
      <c r="K86" s="1023">
        <f>K85*0.3025</f>
        <v>108.89999999999999</v>
      </c>
      <c r="L86" s="1022"/>
      <c r="M86" s="1024">
        <f>M85*0.3025</f>
        <v>363</v>
      </c>
      <c r="N86" s="1025"/>
      <c r="O86" s="92">
        <f>O85*0.3025</f>
        <v>0</v>
      </c>
      <c r="P86" s="92">
        <f>P85*0.3025</f>
        <v>0</v>
      </c>
      <c r="Q86" s="1024">
        <f>Q85*0.3025</f>
        <v>363</v>
      </c>
      <c r="R86" s="1025"/>
      <c r="S86" s="1026"/>
      <c r="T86" s="1027"/>
      <c r="U86" s="7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spans="4:43" s="6" customFormat="1" ht="14.1" customHeight="1">
      <c r="F87" s="79"/>
      <c r="G87" s="997"/>
      <c r="H87" s="1077" t="s">
        <v>46</v>
      </c>
      <c r="I87" s="1057">
        <f>M87*0.7</f>
        <v>2800</v>
      </c>
      <c r="J87" s="1000"/>
      <c r="K87" s="999">
        <f>M87*0.3</f>
        <v>1200</v>
      </c>
      <c r="L87" s="1000"/>
      <c r="M87" s="1058">
        <v>4000</v>
      </c>
      <c r="N87" s="1059"/>
      <c r="O87" s="93">
        <f>O89</f>
        <v>900</v>
      </c>
      <c r="P87" s="97">
        <f>R24*V17</f>
        <v>2310</v>
      </c>
      <c r="Q87" s="1058">
        <f>SUM(M87:P87)</f>
        <v>7210</v>
      </c>
      <c r="R87" s="1059"/>
      <c r="S87" s="1060"/>
      <c r="T87" s="1061"/>
      <c r="U87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spans="4:43" ht="14.1" customHeight="1">
      <c r="F88" s="77"/>
      <c r="G88" s="998"/>
      <c r="H88" s="1078"/>
      <c r="I88" s="1062">
        <f t="shared" ref="I88" si="25">I87*0.3025</f>
        <v>847</v>
      </c>
      <c r="J88" s="1063"/>
      <c r="K88" s="1064">
        <f>K87*0.3025</f>
        <v>363</v>
      </c>
      <c r="L88" s="1063"/>
      <c r="M88" s="1065">
        <f>M87*0.3025</f>
        <v>1210</v>
      </c>
      <c r="N88" s="1066"/>
      <c r="O88" s="94">
        <f>O87*0.3025</f>
        <v>272.25</v>
      </c>
      <c r="P88" s="98">
        <f>P87*0.3025</f>
        <v>698.77499999999998</v>
      </c>
      <c r="Q88" s="1065">
        <f>Q87*0.3025</f>
        <v>2181.0250000000001</v>
      </c>
      <c r="R88" s="1066"/>
      <c r="S88" s="1067"/>
      <c r="T88" s="1068"/>
      <c r="U88"/>
      <c r="AQ88" s="6"/>
    </row>
    <row r="89" spans="4:43" ht="14.1" customHeight="1">
      <c r="F89" s="77"/>
      <c r="G89" s="1225" t="s">
        <v>69</v>
      </c>
      <c r="H89" s="1226"/>
      <c r="I89" s="1229">
        <f>M89*0.7</f>
        <v>3639.9999999999995</v>
      </c>
      <c r="J89" s="1230"/>
      <c r="K89" s="1231">
        <f>M89*0.3</f>
        <v>1560</v>
      </c>
      <c r="L89" s="1230"/>
      <c r="M89" s="1231">
        <f>M85+M87</f>
        <v>5200</v>
      </c>
      <c r="N89" s="1230"/>
      <c r="O89" s="293">
        <v>900</v>
      </c>
      <c r="P89" s="293">
        <f>P87</f>
        <v>2310</v>
      </c>
      <c r="Q89" s="1232">
        <f>SUM(M89:P89)</f>
        <v>8410</v>
      </c>
      <c r="R89" s="1233"/>
      <c r="S89" s="1234"/>
      <c r="T89" s="1235"/>
      <c r="U89" s="6"/>
      <c r="AQ89" s="6"/>
    </row>
    <row r="90" spans="4:43" ht="14.1" customHeight="1">
      <c r="F90" s="77"/>
      <c r="G90" s="1227"/>
      <c r="H90" s="1228"/>
      <c r="I90" s="1236">
        <f t="shared" ref="I90" si="26">I89*0.3025</f>
        <v>1101.0999999999999</v>
      </c>
      <c r="J90" s="1237"/>
      <c r="K90" s="1238">
        <f>K89*0.3025</f>
        <v>471.9</v>
      </c>
      <c r="L90" s="1237"/>
      <c r="M90" s="1221">
        <f>M89*0.3025</f>
        <v>1573</v>
      </c>
      <c r="N90" s="1222"/>
      <c r="O90" s="294">
        <f t="shared" si="24"/>
        <v>272.25</v>
      </c>
      <c r="P90" s="295">
        <f>P89*0.3025</f>
        <v>698.77499999999998</v>
      </c>
      <c r="Q90" s="1221">
        <f>Q89*0.3025</f>
        <v>2544.0250000000001</v>
      </c>
      <c r="R90" s="1222"/>
      <c r="S90" s="1223"/>
      <c r="T90" s="1224"/>
      <c r="U90" s="7"/>
      <c r="AQ90" s="6"/>
    </row>
    <row r="91" spans="4:43" ht="14.1" customHeight="1">
      <c r="Q91" s="5"/>
      <c r="R91" s="5"/>
      <c r="S91" s="5"/>
      <c r="T91" s="6"/>
      <c r="U91" s="6"/>
      <c r="AQ91" s="6"/>
    </row>
    <row r="92" spans="4:43" ht="14.1" customHeight="1">
      <c r="J92" s="2">
        <f>H56*J56+J58*H58+H60*J60+J62*H62+H66*J66</f>
        <v>320830.3</v>
      </c>
      <c r="K92" s="2">
        <f>H56*K56+K58*H58+H60*K60+K62*H62+H66*K66</f>
        <v>29013.200000000001</v>
      </c>
      <c r="T92" s="6"/>
      <c r="U92" s="6"/>
      <c r="AQ92" s="6"/>
    </row>
    <row r="93" spans="4:43" ht="14.1" customHeight="1">
      <c r="T93" s="6"/>
      <c r="U93" s="6"/>
      <c r="AQ93" s="6"/>
    </row>
    <row r="94" spans="4:43" ht="14.1" customHeight="1">
      <c r="T94" s="6"/>
      <c r="U94" s="6"/>
      <c r="AQ94" s="6"/>
    </row>
    <row r="95" spans="4:43" ht="14.1" customHeight="1">
      <c r="H95" s="11">
        <f>H38+H58</f>
        <v>1160</v>
      </c>
      <c r="I95" s="145">
        <f>I38+I58</f>
        <v>0.24834082637550844</v>
      </c>
      <c r="M95" s="144">
        <f t="shared" ref="M95:S95" si="27">M52+M76</f>
        <v>128795.25</v>
      </c>
      <c r="N95" s="144">
        <f t="shared" si="27"/>
        <v>478251.95</v>
      </c>
      <c r="O95" s="144">
        <f t="shared" si="27"/>
        <v>1050.0000000000002</v>
      </c>
      <c r="P95" s="144">
        <f t="shared" si="27"/>
        <v>9829.9999999999982</v>
      </c>
      <c r="Q95" s="144">
        <f t="shared" si="27"/>
        <v>294273</v>
      </c>
      <c r="R95" s="144">
        <f t="shared" si="27"/>
        <v>305153</v>
      </c>
      <c r="S95" s="144">
        <f t="shared" si="27"/>
        <v>783404.95</v>
      </c>
      <c r="T95" s="6"/>
      <c r="U95" s="6"/>
      <c r="AQ95" s="6"/>
    </row>
    <row r="96" spans="4:43" ht="14.1" customHeight="1">
      <c r="H96" s="11">
        <f>H58+H60+H64</f>
        <v>1465</v>
      </c>
      <c r="AQ96" s="6"/>
    </row>
    <row r="97" spans="7:43" ht="14.1" customHeight="1">
      <c r="AQ97" s="6"/>
    </row>
    <row r="98" spans="7:43" ht="14.1" customHeight="1">
      <c r="AQ98" s="6"/>
    </row>
    <row r="99" spans="7:43" ht="14.1" customHeight="1">
      <c r="AQ99" s="6"/>
    </row>
    <row r="100" spans="7:43" ht="14.1" customHeight="1">
      <c r="AQ100" s="6"/>
    </row>
    <row r="101" spans="7:43" ht="14.1" customHeight="1" thickBot="1">
      <c r="G101" s="1"/>
      <c r="K101" s="3"/>
      <c r="M101" s="1007" t="s">
        <v>89</v>
      </c>
      <c r="N101" s="1007"/>
      <c r="O101" s="1007"/>
      <c r="P101" s="112"/>
      <c r="Q101" s="113"/>
      <c r="R101" s="112"/>
      <c r="S101" s="6"/>
      <c r="AQ101" s="6"/>
    </row>
    <row r="102" spans="7:43" ht="14.1" customHeight="1">
      <c r="G102" s="34"/>
      <c r="H102" s="35"/>
      <c r="I102" s="36"/>
      <c r="J102" s="36"/>
      <c r="K102" s="37"/>
      <c r="M102" s="114"/>
      <c r="N102" s="115">
        <v>0</v>
      </c>
      <c r="O102" s="116">
        <v>300</v>
      </c>
      <c r="P102" s="117">
        <v>500</v>
      </c>
      <c r="Q102" s="118">
        <v>1000</v>
      </c>
      <c r="R102" s="117">
        <v>2000</v>
      </c>
      <c r="S102" s="6"/>
      <c r="AQ102" s="6"/>
    </row>
    <row r="103" spans="7:43" ht="14.1" customHeight="1">
      <c r="G103" s="38"/>
      <c r="H103" s="39"/>
      <c r="I103" s="40"/>
      <c r="J103" s="40"/>
      <c r="K103" s="41"/>
      <c r="M103" s="119"/>
      <c r="N103" s="120" t="s">
        <v>219</v>
      </c>
      <c r="O103" s="120" t="s">
        <v>91</v>
      </c>
      <c r="P103" s="120" t="s">
        <v>220</v>
      </c>
      <c r="Q103" s="120" t="s">
        <v>221</v>
      </c>
      <c r="R103" s="120" t="s">
        <v>94</v>
      </c>
      <c r="S103" s="6"/>
      <c r="AQ103" s="6"/>
    </row>
    <row r="104" spans="7:43" ht="14.1" customHeight="1">
      <c r="G104" s="980"/>
      <c r="H104" s="106"/>
      <c r="I104" s="106"/>
      <c r="J104" s="106"/>
      <c r="K104" s="42"/>
      <c r="M104" s="119" t="s">
        <v>168</v>
      </c>
      <c r="N104" s="121">
        <v>6</v>
      </c>
      <c r="O104" s="121">
        <v>8</v>
      </c>
      <c r="P104" s="121">
        <v>12</v>
      </c>
      <c r="Q104" s="122">
        <v>15</v>
      </c>
      <c r="R104" s="121">
        <v>20</v>
      </c>
      <c r="S104" s="6"/>
      <c r="AQ104" s="6"/>
    </row>
    <row r="105" spans="7:43" ht="14.1" customHeight="1">
      <c r="G105" s="981"/>
      <c r="H105" s="107"/>
      <c r="I105" s="107"/>
      <c r="J105" s="108"/>
      <c r="K105" s="43"/>
      <c r="M105" s="114"/>
      <c r="N105" s="112"/>
      <c r="O105" s="112"/>
      <c r="P105" s="112"/>
      <c r="Q105" s="113"/>
      <c r="R105" s="112"/>
      <c r="S105" s="6"/>
      <c r="AQ105" s="6"/>
    </row>
    <row r="106" spans="7:43" ht="14.1" customHeight="1">
      <c r="G106" s="994"/>
      <c r="H106" s="106"/>
      <c r="I106" s="106"/>
      <c r="J106" s="106"/>
      <c r="K106" s="42"/>
      <c r="M106" s="114"/>
      <c r="N106" s="112"/>
      <c r="O106" s="112"/>
      <c r="P106" s="112"/>
      <c r="Q106" s="113"/>
      <c r="R106" s="112"/>
      <c r="S106" s="6"/>
      <c r="AQ106" s="6"/>
    </row>
    <row r="107" spans="7:43" ht="14.1" customHeight="1">
      <c r="G107" s="995"/>
      <c r="H107" s="107"/>
      <c r="I107" s="107"/>
      <c r="J107" s="108"/>
      <c r="K107" s="43"/>
      <c r="M107" s="1007" t="s">
        <v>95</v>
      </c>
      <c r="N107" s="1007"/>
      <c r="O107" s="1007"/>
      <c r="P107" s="112"/>
      <c r="Q107" s="113"/>
      <c r="R107" s="112"/>
      <c r="S107" s="6"/>
      <c r="AQ107" s="6"/>
    </row>
    <row r="108" spans="7:43" ht="20.25" customHeight="1">
      <c r="G108" s="994"/>
      <c r="H108" s="106"/>
      <c r="I108" s="106"/>
      <c r="J108" s="106"/>
      <c r="K108" s="42"/>
      <c r="M108" s="123"/>
      <c r="N108" s="123">
        <v>0</v>
      </c>
      <c r="O108" s="142">
        <v>150</v>
      </c>
      <c r="P108" s="142">
        <v>300</v>
      </c>
      <c r="Q108" s="142">
        <v>500</v>
      </c>
      <c r="R108" s="142">
        <v>1000</v>
      </c>
      <c r="S108" s="142">
        <v>1500</v>
      </c>
      <c r="AQ108" s="6"/>
    </row>
    <row r="109" spans="7:43" ht="20.25" customHeight="1">
      <c r="G109" s="981"/>
      <c r="H109" s="107"/>
      <c r="I109" s="107"/>
      <c r="J109" s="108"/>
      <c r="K109" s="43"/>
      <c r="M109" s="125"/>
      <c r="N109" s="125" t="s">
        <v>222</v>
      </c>
      <c r="O109" s="125" t="s">
        <v>223</v>
      </c>
      <c r="P109" s="125" t="s">
        <v>91</v>
      </c>
      <c r="Q109" s="125" t="s">
        <v>220</v>
      </c>
      <c r="R109" s="125" t="s">
        <v>98</v>
      </c>
      <c r="S109" s="125" t="s">
        <v>99</v>
      </c>
    </row>
    <row r="110" spans="7:43" ht="14.1" customHeight="1">
      <c r="G110" s="980"/>
      <c r="H110" s="106"/>
      <c r="I110" s="106"/>
      <c r="J110" s="106"/>
      <c r="M110" s="126" t="s">
        <v>224</v>
      </c>
      <c r="N110" s="124">
        <v>0</v>
      </c>
      <c r="O110" s="127">
        <f>50+(H78*0.1)</f>
        <v>517.1</v>
      </c>
      <c r="P110" s="127">
        <v>155</v>
      </c>
      <c r="Q110" s="127">
        <v>225</v>
      </c>
      <c r="R110" s="127">
        <v>375</v>
      </c>
      <c r="S110" s="128">
        <v>500</v>
      </c>
    </row>
    <row r="111" spans="7:43" ht="14.1" customHeight="1">
      <c r="G111" s="981"/>
      <c r="H111" s="108"/>
      <c r="I111" s="107"/>
      <c r="J111" s="108"/>
      <c r="M111" s="126" t="s">
        <v>225</v>
      </c>
      <c r="N111" s="124">
        <v>0</v>
      </c>
      <c r="O111" s="123">
        <v>0</v>
      </c>
      <c r="P111" s="127">
        <v>198</v>
      </c>
      <c r="Q111" s="127">
        <v>330</v>
      </c>
      <c r="R111" s="127">
        <v>580</v>
      </c>
      <c r="S111" s="127">
        <v>725</v>
      </c>
    </row>
    <row r="112" spans="7:43" ht="14.1" customHeight="1">
      <c r="G112" s="980"/>
      <c r="H112" s="106"/>
      <c r="I112" s="106"/>
      <c r="J112" s="106"/>
      <c r="K112" s="42"/>
      <c r="M112" s="126" t="s">
        <v>35</v>
      </c>
      <c r="N112" s="124">
        <v>0</v>
      </c>
      <c r="O112" s="123">
        <v>0</v>
      </c>
      <c r="P112" s="129">
        <v>108</v>
      </c>
      <c r="Q112" s="129">
        <v>158</v>
      </c>
      <c r="R112" s="129">
        <v>203</v>
      </c>
      <c r="S112" s="129">
        <v>298</v>
      </c>
    </row>
    <row r="113" spans="7:19" ht="14.1" customHeight="1">
      <c r="G113" s="981"/>
      <c r="H113" s="107"/>
      <c r="I113" s="107"/>
      <c r="J113" s="108"/>
      <c r="K113" s="43"/>
      <c r="S113" s="6"/>
    </row>
    <row r="114" spans="7:19" ht="14.1" customHeight="1">
      <c r="G114" s="81"/>
      <c r="H114" s="106"/>
      <c r="I114" s="106"/>
      <c r="J114" s="106"/>
      <c r="K114" s="42"/>
      <c r="M114" s="1007" t="s">
        <v>226</v>
      </c>
      <c r="N114" s="1007"/>
      <c r="O114" s="1007"/>
      <c r="S114" s="6"/>
    </row>
    <row r="115" spans="7:19" ht="14.1" customHeight="1" thickBot="1">
      <c r="G115" s="44"/>
      <c r="H115" s="109"/>
      <c r="I115" s="109"/>
      <c r="J115" s="110"/>
      <c r="K115" s="45"/>
      <c r="N115" s="130">
        <v>0</v>
      </c>
      <c r="O115" s="130">
        <v>500</v>
      </c>
      <c r="P115" s="130">
        <v>1000</v>
      </c>
      <c r="Q115" s="130">
        <v>1500</v>
      </c>
      <c r="R115" s="6"/>
      <c r="S115" s="6"/>
    </row>
    <row r="116" spans="7:19" ht="14.1" customHeight="1">
      <c r="M116" s="131"/>
      <c r="N116" s="132" t="s">
        <v>102</v>
      </c>
      <c r="O116" s="132" t="s">
        <v>103</v>
      </c>
      <c r="P116" s="132" t="s">
        <v>104</v>
      </c>
      <c r="Q116" s="125" t="s">
        <v>99</v>
      </c>
      <c r="R116" s="6"/>
      <c r="S116" s="6"/>
    </row>
    <row r="117" spans="7:19" ht="14.1" customHeight="1">
      <c r="M117" s="133" t="s">
        <v>227</v>
      </c>
      <c r="N117" s="134">
        <v>90</v>
      </c>
      <c r="O117" s="134">
        <v>90</v>
      </c>
      <c r="P117" s="134">
        <v>108</v>
      </c>
      <c r="Q117" s="135">
        <v>138</v>
      </c>
      <c r="R117" s="6"/>
      <c r="S117" s="6"/>
    </row>
    <row r="118" spans="7:19" ht="14.1" customHeight="1">
      <c r="M118" s="133" t="s">
        <v>106</v>
      </c>
      <c r="N118" s="134">
        <v>188</v>
      </c>
      <c r="O118" s="134">
        <v>188</v>
      </c>
      <c r="P118" s="134">
        <v>324</v>
      </c>
      <c r="Q118" s="135">
        <v>454</v>
      </c>
    </row>
    <row r="119" spans="7:19" ht="14.1" customHeight="1">
      <c r="M119" s="136" t="s">
        <v>228</v>
      </c>
      <c r="N119" s="135">
        <v>146</v>
      </c>
      <c r="O119" s="134">
        <v>158</v>
      </c>
      <c r="P119" s="135">
        <v>184</v>
      </c>
      <c r="Q119" s="135">
        <v>210</v>
      </c>
    </row>
    <row r="120" spans="7:19" ht="14.1" customHeight="1">
      <c r="M120" s="133" t="s">
        <v>108</v>
      </c>
      <c r="N120" s="135">
        <v>60</v>
      </c>
      <c r="O120" s="134">
        <v>80</v>
      </c>
      <c r="P120" s="135">
        <v>100</v>
      </c>
      <c r="Q120" s="135">
        <v>150</v>
      </c>
    </row>
    <row r="121" spans="7:19" ht="14.1" customHeight="1">
      <c r="M121" s="137" t="s">
        <v>197</v>
      </c>
      <c r="N121" s="135">
        <f>SUM(N117:N120)</f>
        <v>484</v>
      </c>
      <c r="O121" s="135">
        <f t="shared" ref="O121:Q121" si="28">SUM(O117:O120)</f>
        <v>516</v>
      </c>
      <c r="P121" s="135">
        <f t="shared" si="28"/>
        <v>716</v>
      </c>
      <c r="Q121" s="135">
        <f t="shared" si="28"/>
        <v>952</v>
      </c>
    </row>
    <row r="122" spans="7:19" ht="14.1" customHeight="1">
      <c r="M122" s="1007" t="s">
        <v>109</v>
      </c>
      <c r="N122" s="1007"/>
      <c r="O122" s="1007"/>
    </row>
    <row r="123" spans="7:19" ht="14.1" customHeight="1">
      <c r="N123" s="130">
        <v>0</v>
      </c>
      <c r="O123" s="130">
        <v>500</v>
      </c>
      <c r="P123" s="130">
        <v>1000</v>
      </c>
      <c r="Q123" s="130">
        <v>1500</v>
      </c>
    </row>
    <row r="124" spans="7:19" ht="14.1" customHeight="1">
      <c r="M124" s="131"/>
      <c r="N124" s="132" t="s">
        <v>102</v>
      </c>
      <c r="O124" s="132" t="s">
        <v>103</v>
      </c>
      <c r="P124" s="132" t="s">
        <v>104</v>
      </c>
      <c r="Q124" s="125" t="s">
        <v>99</v>
      </c>
    </row>
    <row r="125" spans="7:19" ht="14.1" customHeight="1">
      <c r="M125" s="133" t="s">
        <v>114</v>
      </c>
      <c r="N125" s="138">
        <v>36</v>
      </c>
      <c r="O125" s="138">
        <v>48</v>
      </c>
      <c r="P125" s="138">
        <v>56</v>
      </c>
      <c r="Q125" s="139">
        <v>63</v>
      </c>
    </row>
    <row r="126" spans="7:19" ht="14.1" customHeight="1">
      <c r="M126" s="133" t="s">
        <v>115</v>
      </c>
      <c r="N126" s="138">
        <v>12</v>
      </c>
      <c r="O126" s="138">
        <v>18</v>
      </c>
      <c r="P126" s="138">
        <v>22</v>
      </c>
      <c r="Q126" s="139">
        <v>34</v>
      </c>
    </row>
    <row r="127" spans="7:19" ht="14.1" customHeight="1">
      <c r="M127" s="137" t="s">
        <v>197</v>
      </c>
      <c r="N127" s="140">
        <f>SUM(N125:N126)</f>
        <v>48</v>
      </c>
      <c r="O127" s="141">
        <f>SUM(O125:O126)</f>
        <v>66</v>
      </c>
      <c r="P127" s="140">
        <f>SUM(P125:P126)</f>
        <v>78</v>
      </c>
      <c r="Q127" s="140">
        <f>SUM(Q125:Q126)</f>
        <v>97</v>
      </c>
    </row>
  </sheetData>
  <mergeCells count="258">
    <mergeCell ref="T42:T51"/>
    <mergeCell ref="G89:H90"/>
    <mergeCell ref="I89:J89"/>
    <mergeCell ref="K89:L89"/>
    <mergeCell ref="M89:N89"/>
    <mergeCell ref="Q89:R89"/>
    <mergeCell ref="S89:T89"/>
    <mergeCell ref="M114:O114"/>
    <mergeCell ref="M122:O122"/>
    <mergeCell ref="G104:G105"/>
    <mergeCell ref="G106:G107"/>
    <mergeCell ref="M107:O107"/>
    <mergeCell ref="G108:G109"/>
    <mergeCell ref="G110:G111"/>
    <mergeCell ref="G112:G113"/>
    <mergeCell ref="I90:J90"/>
    <mergeCell ref="K90:L90"/>
    <mergeCell ref="M90:N90"/>
    <mergeCell ref="I87:J87"/>
    <mergeCell ref="K87:L87"/>
    <mergeCell ref="M87:N87"/>
    <mergeCell ref="Q87:R87"/>
    <mergeCell ref="S87:T87"/>
    <mergeCell ref="I88:J88"/>
    <mergeCell ref="Q90:R90"/>
    <mergeCell ref="S90:T90"/>
    <mergeCell ref="M101:O101"/>
    <mergeCell ref="K88:L88"/>
    <mergeCell ref="M88:N88"/>
    <mergeCell ref="Q88:R88"/>
    <mergeCell ref="S88:T88"/>
    <mergeCell ref="S84:T84"/>
    <mergeCell ref="G85:G88"/>
    <mergeCell ref="H85:H86"/>
    <mergeCell ref="I85:J85"/>
    <mergeCell ref="K85:L85"/>
    <mergeCell ref="M85:N85"/>
    <mergeCell ref="Q85:R85"/>
    <mergeCell ref="S85:T85"/>
    <mergeCell ref="I86:J86"/>
    <mergeCell ref="K86:L86"/>
    <mergeCell ref="G83:H84"/>
    <mergeCell ref="I83:J83"/>
    <mergeCell ref="K83:L83"/>
    <mergeCell ref="M83:N83"/>
    <mergeCell ref="Q83:R83"/>
    <mergeCell ref="S83:T83"/>
    <mergeCell ref="I84:J84"/>
    <mergeCell ref="M86:N86"/>
    <mergeCell ref="Q86:R86"/>
    <mergeCell ref="S86:T86"/>
    <mergeCell ref="H87:H88"/>
    <mergeCell ref="G80:T80"/>
    <mergeCell ref="G81:T81"/>
    <mergeCell ref="G82:H82"/>
    <mergeCell ref="I82:J82"/>
    <mergeCell ref="K82:L82"/>
    <mergeCell ref="M82:N82"/>
    <mergeCell ref="Q82:R82"/>
    <mergeCell ref="S82:T82"/>
    <mergeCell ref="T76:T77"/>
    <mergeCell ref="C78:C79"/>
    <mergeCell ref="D78:D79"/>
    <mergeCell ref="G78:G79"/>
    <mergeCell ref="H78:H79"/>
    <mergeCell ref="I78:I79"/>
    <mergeCell ref="K84:L84"/>
    <mergeCell ref="M84:N84"/>
    <mergeCell ref="Q84:R84"/>
    <mergeCell ref="H72:H73"/>
    <mergeCell ref="I72:I73"/>
    <mergeCell ref="C74:C75"/>
    <mergeCell ref="D74:D75"/>
    <mergeCell ref="E74:E75"/>
    <mergeCell ref="F74:F75"/>
    <mergeCell ref="H74:H75"/>
    <mergeCell ref="I74:I75"/>
    <mergeCell ref="D76:D77"/>
    <mergeCell ref="G76:G77"/>
    <mergeCell ref="H76:H77"/>
    <mergeCell ref="I76:I77"/>
    <mergeCell ref="I64:I65"/>
    <mergeCell ref="H66:H67"/>
    <mergeCell ref="I66:I67"/>
    <mergeCell ref="H68:H69"/>
    <mergeCell ref="I68:I69"/>
    <mergeCell ref="C70:C71"/>
    <mergeCell ref="D70:D71"/>
    <mergeCell ref="E70:E71"/>
    <mergeCell ref="F70:F71"/>
    <mergeCell ref="H70:H71"/>
    <mergeCell ref="I70:I71"/>
    <mergeCell ref="C62:C63"/>
    <mergeCell ref="D62:D63"/>
    <mergeCell ref="F62:F63"/>
    <mergeCell ref="H62:H63"/>
    <mergeCell ref="C64:C65"/>
    <mergeCell ref="D64:D65"/>
    <mergeCell ref="E64:E65"/>
    <mergeCell ref="F64:F65"/>
    <mergeCell ref="H64:H65"/>
    <mergeCell ref="I52:I53"/>
    <mergeCell ref="T52:T53"/>
    <mergeCell ref="C54:C55"/>
    <mergeCell ref="D54:D55"/>
    <mergeCell ref="E54:E55"/>
    <mergeCell ref="F54:F55"/>
    <mergeCell ref="H54:H55"/>
    <mergeCell ref="I54:I55"/>
    <mergeCell ref="T54:T75"/>
    <mergeCell ref="C56:C57"/>
    <mergeCell ref="C60:C61"/>
    <mergeCell ref="D60:D61"/>
    <mergeCell ref="E60:E61"/>
    <mergeCell ref="F60:F61"/>
    <mergeCell ref="H60:H61"/>
    <mergeCell ref="I60:I61"/>
    <mergeCell ref="D56:D57"/>
    <mergeCell ref="F56:F57"/>
    <mergeCell ref="H56:H57"/>
    <mergeCell ref="C58:C59"/>
    <mergeCell ref="D58:D59"/>
    <mergeCell ref="E58:E59"/>
    <mergeCell ref="F58:F59"/>
    <mergeCell ref="H58:H59"/>
    <mergeCell ref="B46:B47"/>
    <mergeCell ref="C46:C47"/>
    <mergeCell ref="D46:D47"/>
    <mergeCell ref="E46:E47"/>
    <mergeCell ref="H46:H47"/>
    <mergeCell ref="H42:H43"/>
    <mergeCell ref="E42:E43"/>
    <mergeCell ref="E44:E45"/>
    <mergeCell ref="B52:B53"/>
    <mergeCell ref="C52:C53"/>
    <mergeCell ref="D52:D53"/>
    <mergeCell ref="E52:E53"/>
    <mergeCell ref="G52:G53"/>
    <mergeCell ref="H52:H53"/>
    <mergeCell ref="B50:B51"/>
    <mergeCell ref="C50:C51"/>
    <mergeCell ref="D50:D51"/>
    <mergeCell ref="E50:E51"/>
    <mergeCell ref="H50:H51"/>
    <mergeCell ref="E48:E49"/>
    <mergeCell ref="V36:V37"/>
    <mergeCell ref="B38:B39"/>
    <mergeCell ref="C38:C39"/>
    <mergeCell ref="D38:D39"/>
    <mergeCell ref="E38:E39"/>
    <mergeCell ref="F38:F39"/>
    <mergeCell ref="H38:H39"/>
    <mergeCell ref="I38:I39"/>
    <mergeCell ref="S34:S35"/>
    <mergeCell ref="T34:T35"/>
    <mergeCell ref="B36:B37"/>
    <mergeCell ref="C36:C37"/>
    <mergeCell ref="D36:D37"/>
    <mergeCell ref="E36:E37"/>
    <mergeCell ref="F36:F37"/>
    <mergeCell ref="H36:H37"/>
    <mergeCell ref="I36:I37"/>
    <mergeCell ref="T36:T41"/>
    <mergeCell ref="F40:F41"/>
    <mergeCell ref="H40:H41"/>
    <mergeCell ref="I40:I41"/>
    <mergeCell ref="N34:N35"/>
    <mergeCell ref="O34:Q34"/>
    <mergeCell ref="R34:R35"/>
    <mergeCell ref="G33:T33"/>
    <mergeCell ref="B34:B35"/>
    <mergeCell ref="C34:C35"/>
    <mergeCell ref="D34:D35"/>
    <mergeCell ref="E34:E35"/>
    <mergeCell ref="G34:G35"/>
    <mergeCell ref="H34:H35"/>
    <mergeCell ref="I34:I35"/>
    <mergeCell ref="J34:J35"/>
    <mergeCell ref="K34:M34"/>
    <mergeCell ref="H22:H24"/>
    <mergeCell ref="L22:L24"/>
    <mergeCell ref="S24:T24"/>
    <mergeCell ref="AC24:AD24"/>
    <mergeCell ref="H25:I25"/>
    <mergeCell ref="O25:P25"/>
    <mergeCell ref="AC25:AD28"/>
    <mergeCell ref="H26:J26"/>
    <mergeCell ref="L26:L27"/>
    <mergeCell ref="N26:T26"/>
    <mergeCell ref="H27:K27"/>
    <mergeCell ref="H28:J28"/>
    <mergeCell ref="L28:L29"/>
    <mergeCell ref="H29:K29"/>
    <mergeCell ref="X24:X31"/>
    <mergeCell ref="AC29:AC31"/>
    <mergeCell ref="AD29:AD31"/>
    <mergeCell ref="H30:K30"/>
    <mergeCell ref="V30:V31"/>
    <mergeCell ref="H31:J31"/>
    <mergeCell ref="G15:G24"/>
    <mergeCell ref="H15:I15"/>
    <mergeCell ref="J15:K15"/>
    <mergeCell ref="S14:T14"/>
    <mergeCell ref="O18:O20"/>
    <mergeCell ref="R18:R23"/>
    <mergeCell ref="S18:T23"/>
    <mergeCell ref="X15:AE16"/>
    <mergeCell ref="H16:H18"/>
    <mergeCell ref="L16:L18"/>
    <mergeCell ref="O15:P15"/>
    <mergeCell ref="S15:T15"/>
    <mergeCell ref="O16:P16"/>
    <mergeCell ref="S16:T16"/>
    <mergeCell ref="Y17:Z17"/>
    <mergeCell ref="AA17:AD17"/>
    <mergeCell ref="N18:N25"/>
    <mergeCell ref="Y18:Z18"/>
    <mergeCell ref="AA18:AD18"/>
    <mergeCell ref="H19:H21"/>
    <mergeCell ref="L19:L21"/>
    <mergeCell ref="Y19:Z19"/>
    <mergeCell ref="AA19:AD19"/>
    <mergeCell ref="O21:O23"/>
    <mergeCell ref="O5:Q5"/>
    <mergeCell ref="H7:L7"/>
    <mergeCell ref="O6:P6"/>
    <mergeCell ref="S6:T6"/>
    <mergeCell ref="G8:G14"/>
    <mergeCell ref="H8:I8"/>
    <mergeCell ref="S7:T7"/>
    <mergeCell ref="H9:H13"/>
    <mergeCell ref="O8:O14"/>
    <mergeCell ref="S12:T12"/>
    <mergeCell ref="H14:I14"/>
    <mergeCell ref="E56:E57"/>
    <mergeCell ref="E62:E63"/>
    <mergeCell ref="E66:E67"/>
    <mergeCell ref="E68:E69"/>
    <mergeCell ref="E72:E73"/>
    <mergeCell ref="E76:E77"/>
    <mergeCell ref="G2:L2"/>
    <mergeCell ref="N2:T2"/>
    <mergeCell ref="H3:L3"/>
    <mergeCell ref="S3:T3"/>
    <mergeCell ref="H4:L4"/>
    <mergeCell ref="O4:Q4"/>
    <mergeCell ref="H48:H49"/>
    <mergeCell ref="I48:I49"/>
    <mergeCell ref="H44:H45"/>
    <mergeCell ref="I44:I45"/>
    <mergeCell ref="O17:P17"/>
    <mergeCell ref="S17:T17"/>
    <mergeCell ref="S27:S28"/>
    <mergeCell ref="N27:N31"/>
    <mergeCell ref="S29:S31"/>
    <mergeCell ref="T27:T31"/>
    <mergeCell ref="P8:P10"/>
    <mergeCell ref="H5:L5"/>
  </mergeCells>
  <phoneticPr fontId="2" type="noConversion"/>
  <printOptions horizontalCentered="1"/>
  <pageMargins left="0.7" right="0.7" top="0.75" bottom="0.75" header="0.3" footer="0.3"/>
  <pageSetup paperSize="8" scale="75" orientation="landscape" r:id="rId1"/>
  <headerFooter alignWithMargins="0"/>
  <rowBreaks count="1" manualBreakCount="1">
    <brk id="86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-0.249977111117893"/>
    <pageSetUpPr autoPageBreaks="0" fitToPage="1"/>
  </sheetPr>
  <dimension ref="B1:AQ127"/>
  <sheetViews>
    <sheetView topLeftCell="F21" zoomScaleNormal="100" zoomScaleSheetLayoutView="100" workbookViewId="0">
      <selection activeCell="H60" sqref="H60:H61"/>
    </sheetView>
  </sheetViews>
  <sheetFormatPr defaultColWidth="8.77734375" defaultRowHeight="14.1" customHeight="1"/>
  <cols>
    <col min="1" max="2" width="8.77734375" style="2"/>
    <col min="3" max="3" width="10.21875" style="2" bestFit="1" customWidth="1"/>
    <col min="4" max="4" width="7.6640625" style="2" customWidth="1"/>
    <col min="5" max="5" width="9.77734375" style="2" bestFit="1" customWidth="1"/>
    <col min="6" max="6" width="8.77734375" style="2"/>
    <col min="7" max="7" width="13.21875" style="2" customWidth="1"/>
    <col min="8" max="9" width="9.21875" style="2" customWidth="1"/>
    <col min="10" max="13" width="11.6640625" style="2" customWidth="1"/>
    <col min="14" max="14" width="12.21875" style="2" bestFit="1" customWidth="1"/>
    <col min="15" max="15" width="14.44140625" style="2" customWidth="1"/>
    <col min="16" max="16" width="14.88671875" style="2" customWidth="1"/>
    <col min="17" max="17" width="13.5546875" style="2" customWidth="1"/>
    <col min="18" max="18" width="12.33203125" style="2" customWidth="1"/>
    <col min="19" max="19" width="11.109375" style="2" customWidth="1"/>
    <col min="20" max="20" width="14" style="2" customWidth="1"/>
    <col min="21" max="21" width="4.5546875" style="2" customWidth="1"/>
    <col min="22" max="22" width="10.77734375" style="2" customWidth="1"/>
    <col min="23" max="23" width="15.21875" style="2" bestFit="1" customWidth="1"/>
    <col min="24" max="24" width="10.33203125" style="2" bestFit="1" customWidth="1"/>
    <col min="25" max="25" width="10.6640625" style="2" bestFit="1" customWidth="1"/>
    <col min="26" max="26" width="18.33203125" style="2" customWidth="1"/>
    <col min="27" max="27" width="8.77734375" style="2" customWidth="1"/>
    <col min="28" max="28" width="11.77734375" style="2" customWidth="1"/>
    <col min="29" max="29" width="8.6640625" style="2" customWidth="1"/>
    <col min="30" max="30" width="9.6640625" style="2" customWidth="1"/>
    <col min="31" max="31" width="15.77734375" style="2" customWidth="1"/>
    <col min="32" max="32" width="13.5546875" style="2" bestFit="1" customWidth="1"/>
    <col min="33" max="33" width="14.44140625" style="2" bestFit="1" customWidth="1"/>
    <col min="34" max="34" width="15.44140625" style="2" bestFit="1" customWidth="1"/>
    <col min="35" max="35" width="10.5546875" style="2" bestFit="1" customWidth="1"/>
    <col min="36" max="16384" width="8.77734375" style="2"/>
  </cols>
  <sheetData>
    <row r="1" spans="3:31" ht="14.1" customHeight="1"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</row>
    <row r="2" spans="3:31" ht="18" customHeight="1" thickBot="1">
      <c r="F2" s="77"/>
      <c r="G2" s="839" t="s">
        <v>245</v>
      </c>
      <c r="H2" s="839"/>
      <c r="I2" s="839"/>
      <c r="J2" s="839"/>
      <c r="K2" s="839"/>
      <c r="L2" s="840"/>
      <c r="M2" s="70"/>
      <c r="N2" s="1133" t="s">
        <v>33</v>
      </c>
      <c r="O2" s="839"/>
      <c r="P2" s="839"/>
      <c r="Q2" s="839"/>
      <c r="R2" s="839"/>
      <c r="S2" s="839"/>
      <c r="T2" s="840"/>
    </row>
    <row r="3" spans="3:31" ht="17.100000000000001" customHeight="1">
      <c r="E3" s="310">
        <v>0.7</v>
      </c>
      <c r="F3" s="77"/>
      <c r="G3" s="72" t="s">
        <v>52</v>
      </c>
      <c r="H3" s="844" t="s">
        <v>229</v>
      </c>
      <c r="I3" s="845"/>
      <c r="J3" s="845"/>
      <c r="K3" s="845"/>
      <c r="L3" s="846"/>
      <c r="M3" s="51"/>
      <c r="N3" s="53" t="s">
        <v>164</v>
      </c>
      <c r="O3" s="29"/>
      <c r="P3" s="84" t="s">
        <v>165</v>
      </c>
      <c r="Q3" s="30"/>
      <c r="R3" s="31" t="s">
        <v>166</v>
      </c>
      <c r="S3" s="847" t="s">
        <v>154</v>
      </c>
      <c r="T3" s="848"/>
    </row>
    <row r="4" spans="3:31" ht="17.100000000000001" customHeight="1" thickBot="1">
      <c r="E4" s="311">
        <f>J23/(J14*E3)</f>
        <v>2.827822659115736</v>
      </c>
      <c r="F4" s="77"/>
      <c r="G4" s="73" t="s">
        <v>11</v>
      </c>
      <c r="H4" s="849" t="s">
        <v>230</v>
      </c>
      <c r="I4" s="850"/>
      <c r="J4" s="850"/>
      <c r="K4" s="850"/>
      <c r="L4" s="851"/>
      <c r="M4" s="51"/>
      <c r="N4" s="279" t="s">
        <v>168</v>
      </c>
      <c r="O4" s="852" t="str">
        <f>INDEX($N$103:$R$103,MATCH($H$78,$N$102:$R$102,1))</f>
        <v>2000세대 이상</v>
      </c>
      <c r="P4" s="852"/>
      <c r="Q4" s="853"/>
      <c r="R4" s="32">
        <f>INDEX($N$104:$R$104,MATCH($H$78,$N$102:$R$102,1))</f>
        <v>20</v>
      </c>
      <c r="S4" s="21"/>
      <c r="T4" s="67"/>
    </row>
    <row r="5" spans="3:31" ht="17.100000000000001" customHeight="1">
      <c r="F5" s="77"/>
      <c r="G5" s="73" t="s">
        <v>169</v>
      </c>
      <c r="H5" s="849" t="s">
        <v>231</v>
      </c>
      <c r="I5" s="850"/>
      <c r="J5" s="850"/>
      <c r="K5" s="850"/>
      <c r="L5" s="851"/>
      <c r="M5" s="51"/>
      <c r="N5" s="280" t="s">
        <v>5</v>
      </c>
      <c r="O5" s="857" t="s">
        <v>170</v>
      </c>
      <c r="P5" s="857"/>
      <c r="Q5" s="861"/>
      <c r="R5" s="33" t="s">
        <v>12</v>
      </c>
      <c r="S5" s="22"/>
      <c r="T5" s="68"/>
    </row>
    <row r="6" spans="3:31" ht="17.100000000000001" customHeight="1">
      <c r="F6" s="77"/>
      <c r="G6" s="73" t="s">
        <v>157</v>
      </c>
      <c r="H6" s="50" t="s">
        <v>235</v>
      </c>
      <c r="I6" s="185">
        <f>ROUNDUP(E4,0)</f>
        <v>3</v>
      </c>
      <c r="J6" s="186"/>
      <c r="K6" s="186"/>
      <c r="L6" s="186"/>
      <c r="M6" s="51"/>
      <c r="N6" s="280" t="s">
        <v>161</v>
      </c>
      <c r="O6" s="862">
        <f>H78</f>
        <v>4797</v>
      </c>
      <c r="P6" s="862"/>
      <c r="Q6" s="23">
        <f>IF(H78&gt;=50, ROUNDUP((10+(H78-50)*0.05),2), "해당없음")</f>
        <v>247.35</v>
      </c>
      <c r="R6" s="277">
        <v>280</v>
      </c>
      <c r="S6" s="1143" t="s">
        <v>13</v>
      </c>
      <c r="T6" s="858"/>
    </row>
    <row r="7" spans="3:31" ht="17.100000000000001" customHeight="1">
      <c r="F7" s="77"/>
      <c r="G7" s="74" t="s">
        <v>40</v>
      </c>
      <c r="H7" s="863" t="s">
        <v>78</v>
      </c>
      <c r="I7" s="864"/>
      <c r="J7" s="864"/>
      <c r="K7" s="864"/>
      <c r="L7" s="865"/>
      <c r="M7" s="51"/>
      <c r="N7" s="281" t="s">
        <v>172</v>
      </c>
      <c r="O7" s="24"/>
      <c r="P7" s="63"/>
      <c r="Q7" s="25"/>
      <c r="R7" s="363">
        <v>300</v>
      </c>
      <c r="S7" s="1143"/>
      <c r="T7" s="858"/>
    </row>
    <row r="8" spans="3:31" ht="17.100000000000001" customHeight="1">
      <c r="F8" s="77"/>
      <c r="G8" s="1134" t="s">
        <v>171</v>
      </c>
      <c r="H8" s="884" t="s">
        <v>3</v>
      </c>
      <c r="I8" s="885"/>
      <c r="J8" s="325">
        <v>182618.4</v>
      </c>
      <c r="K8" s="331">
        <f t="shared" ref="K8" si="0">ROUNDDOWN(J8*0.3025,2)</f>
        <v>55242.06</v>
      </c>
      <c r="L8" s="105">
        <f>J8/$J$8</f>
        <v>1</v>
      </c>
      <c r="M8" s="51"/>
      <c r="N8" s="279" t="s">
        <v>173</v>
      </c>
      <c r="O8" s="1092" t="s">
        <v>75</v>
      </c>
      <c r="P8" s="868" t="s">
        <v>146</v>
      </c>
      <c r="Q8" s="26">
        <v>500</v>
      </c>
      <c r="R8" s="361">
        <v>1100</v>
      </c>
      <c r="S8" s="27"/>
      <c r="T8" s="69"/>
      <c r="Y8" s="173"/>
    </row>
    <row r="9" spans="3:31" ht="17.100000000000001" customHeight="1">
      <c r="F9" s="77"/>
      <c r="G9" s="1135"/>
      <c r="H9" s="1137" t="s">
        <v>14</v>
      </c>
      <c r="I9" s="65" t="s">
        <v>232</v>
      </c>
      <c r="J9" s="326">
        <v>6830.9</v>
      </c>
      <c r="K9" s="332">
        <f>ROUNDDOWN(J9*0.3025,2)</f>
        <v>2066.34</v>
      </c>
      <c r="L9" s="15">
        <f>J9/$J$8</f>
        <v>3.7405321698142133E-2</v>
      </c>
      <c r="M9" s="189"/>
      <c r="N9" s="280" t="s">
        <v>174</v>
      </c>
      <c r="O9" s="1093"/>
      <c r="P9" s="869"/>
      <c r="Q9" s="26">
        <v>725</v>
      </c>
      <c r="R9" s="362">
        <v>1400</v>
      </c>
      <c r="S9" s="82"/>
      <c r="T9" s="68"/>
    </row>
    <row r="10" spans="3:31" ht="17.100000000000001" customHeight="1">
      <c r="C10" s="130" t="s">
        <v>158</v>
      </c>
      <c r="D10" s="289">
        <v>3</v>
      </c>
      <c r="E10" s="312">
        <f>$H$78*D10</f>
        <v>14391</v>
      </c>
      <c r="F10" s="77"/>
      <c r="G10" s="1135"/>
      <c r="H10" s="1138"/>
      <c r="I10" s="65" t="s">
        <v>233</v>
      </c>
      <c r="J10" s="326">
        <v>1000</v>
      </c>
      <c r="K10" s="332">
        <f>ROUNDDOWN(J10*0.3025,2)</f>
        <v>302.5</v>
      </c>
      <c r="L10" s="15">
        <f>J10/$J$8</f>
        <v>5.4758994712471474E-3</v>
      </c>
      <c r="M10" s="51"/>
      <c r="N10" s="280" t="s">
        <v>175</v>
      </c>
      <c r="O10" s="1093"/>
      <c r="P10" s="870"/>
      <c r="Q10" s="26">
        <v>298</v>
      </c>
      <c r="R10" s="277">
        <v>650</v>
      </c>
      <c r="S10" s="28"/>
      <c r="T10" s="68"/>
      <c r="W10" s="130"/>
      <c r="X10" s="149"/>
    </row>
    <row r="11" spans="3:31" ht="17.100000000000001" customHeight="1">
      <c r="F11" s="77"/>
      <c r="G11" s="1135"/>
      <c r="H11" s="1138"/>
      <c r="I11" s="65" t="s">
        <v>234</v>
      </c>
      <c r="J11" s="326">
        <f>H78*3</f>
        <v>14391</v>
      </c>
      <c r="K11" s="332">
        <f>ROUNDDOWN(J11*0.3025,2)</f>
        <v>4353.2700000000004</v>
      </c>
      <c r="L11" s="15">
        <f>J11/$J$8</f>
        <v>7.8803669290717693E-2</v>
      </c>
      <c r="M11" s="51"/>
      <c r="N11" s="55" t="s">
        <v>176</v>
      </c>
      <c r="O11" s="1093"/>
      <c r="P11" s="147" t="str">
        <f>IF(H78&gt;=500,"500세대이상 의무설치", "해당없음")</f>
        <v>500세대이상 의무설치</v>
      </c>
      <c r="Q11" s="26" t="str">
        <f>IF(H78&gt;=500,"66㎡ 이상", "해당없음")</f>
        <v>66㎡ 이상</v>
      </c>
      <c r="R11" s="250">
        <v>600</v>
      </c>
      <c r="S11" s="28"/>
      <c r="T11" s="68"/>
    </row>
    <row r="12" spans="3:31" ht="17.100000000000001" customHeight="1">
      <c r="F12" s="77"/>
      <c r="G12" s="1135"/>
      <c r="H12" s="1138"/>
      <c r="I12" s="65"/>
      <c r="J12" s="326"/>
      <c r="K12" s="332"/>
      <c r="L12" s="15"/>
      <c r="M12" s="51"/>
      <c r="N12" s="55" t="s">
        <v>178</v>
      </c>
      <c r="O12" s="1093"/>
      <c r="P12" s="61"/>
      <c r="Q12" s="47"/>
      <c r="R12" s="277">
        <v>5500</v>
      </c>
      <c r="S12" s="1140"/>
      <c r="T12" s="1141"/>
    </row>
    <row r="13" spans="3:31" ht="16.5" customHeight="1">
      <c r="F13" s="77"/>
      <c r="G13" s="1135"/>
      <c r="H13" s="1139"/>
      <c r="I13" s="65" t="s">
        <v>177</v>
      </c>
      <c r="J13" s="327">
        <f>SUM(J9:J12)</f>
        <v>22221.9</v>
      </c>
      <c r="K13" s="333">
        <f>ROUNDDOWN(J13*0.3025,2)</f>
        <v>6722.12</v>
      </c>
      <c r="L13" s="102">
        <f>J13/$J$8</f>
        <v>0.12168489046010698</v>
      </c>
      <c r="M13" s="51"/>
      <c r="N13" s="55" t="s">
        <v>76</v>
      </c>
      <c r="O13" s="1093"/>
      <c r="P13" s="202" t="str">
        <f>IF(H78&gt;=500,"500세대이상 의무설치", "해당없음")</f>
        <v>500세대이상 의무설치</v>
      </c>
      <c r="Q13" s="47"/>
      <c r="R13" s="277">
        <v>3800</v>
      </c>
      <c r="S13" s="22"/>
      <c r="T13" s="68"/>
      <c r="W13" s="130"/>
      <c r="X13" s="177"/>
    </row>
    <row r="14" spans="3:31" ht="17.100000000000001" customHeight="1">
      <c r="F14" s="77"/>
      <c r="G14" s="1136"/>
      <c r="H14" s="1115" t="s">
        <v>179</v>
      </c>
      <c r="I14" s="1116"/>
      <c r="J14" s="328">
        <f>J8-J13</f>
        <v>160396.5</v>
      </c>
      <c r="K14" s="334">
        <f>ROUNDDOWN(J14*0.3025,2)</f>
        <v>48519.94</v>
      </c>
      <c r="L14" s="18">
        <f>J14/$J$8</f>
        <v>0.878315109539893</v>
      </c>
      <c r="M14" s="51"/>
      <c r="N14" s="55" t="s">
        <v>184</v>
      </c>
      <c r="O14" s="1094"/>
      <c r="P14" s="202" t="str">
        <f>IF(H78&lt;100,"해당없음",IF(H78&lt;300,"지역여건에 맞게 설치",IF(H78&lt;1000,"200㎡+세대당 1㎡",IF(H78&gt;1000,"500㎡+세대당 0.7㎡"))))</f>
        <v>500㎡+세대당 0.7㎡</v>
      </c>
      <c r="Q14" s="26">
        <f>500+(H78*0.7)</f>
        <v>3857.8999999999996</v>
      </c>
      <c r="R14" s="283">
        <v>3700</v>
      </c>
      <c r="S14" s="1095"/>
      <c r="T14" s="1142"/>
      <c r="W14" s="177"/>
    </row>
    <row r="15" spans="3:31" ht="17.100000000000001" customHeight="1">
      <c r="C15" s="2">
        <v>120698</v>
      </c>
      <c r="F15" s="77"/>
      <c r="G15" s="881" t="s">
        <v>180</v>
      </c>
      <c r="H15" s="1145" t="s">
        <v>181</v>
      </c>
      <c r="I15" s="1082"/>
      <c r="J15" s="1146" t="s">
        <v>182</v>
      </c>
      <c r="K15" s="1147"/>
      <c r="L15" s="335" t="s">
        <v>183</v>
      </c>
      <c r="M15" s="51"/>
      <c r="N15" s="282" t="s">
        <v>186</v>
      </c>
      <c r="O15" s="892" t="s">
        <v>238</v>
      </c>
      <c r="P15" s="893"/>
      <c r="Q15" s="198">
        <f>500+($H$78*2)*1.25</f>
        <v>12492.5</v>
      </c>
      <c r="R15" s="254">
        <f>R8+R9+R10+R11+R12+R13+R14</f>
        <v>16750</v>
      </c>
      <c r="S15" s="894" t="s">
        <v>187</v>
      </c>
      <c r="T15" s="895"/>
      <c r="W15" s="177"/>
      <c r="X15" s="889"/>
      <c r="Y15" s="889"/>
      <c r="Z15" s="889"/>
      <c r="AA15" s="889"/>
      <c r="AB15" s="889"/>
      <c r="AC15" s="889"/>
      <c r="AD15" s="889"/>
      <c r="AE15" s="889"/>
    </row>
    <row r="16" spans="3:31" ht="17.100000000000001" customHeight="1">
      <c r="C16" s="2">
        <v>93504.3</v>
      </c>
      <c r="D16" s="145">
        <f>C16/C15</f>
        <v>0.77469634956668709</v>
      </c>
      <c r="F16" s="77"/>
      <c r="G16" s="882"/>
      <c r="H16" s="1112" t="s">
        <v>44</v>
      </c>
      <c r="I16" s="66" t="s">
        <v>45</v>
      </c>
      <c r="J16" s="329">
        <f>N78+R8+R9+R7</f>
        <v>479809.63</v>
      </c>
      <c r="K16" s="332">
        <f t="shared" ref="K16:K24" si="1">ROUNDDOWN(J16*0.3025,2)</f>
        <v>145142.41</v>
      </c>
      <c r="L16" s="1148">
        <f>J16/$J$22</f>
        <v>0.99750524745211444</v>
      </c>
      <c r="M16" s="51"/>
      <c r="N16" s="279" t="s">
        <v>190</v>
      </c>
      <c r="O16" s="1151" t="s">
        <v>191</v>
      </c>
      <c r="P16" s="1152"/>
      <c r="Q16" s="199">
        <f>J14*0.15</f>
        <v>24059.474999999999</v>
      </c>
      <c r="R16" s="200">
        <f>ROUNDUP(Q16,-2)+100</f>
        <v>24200</v>
      </c>
      <c r="S16" s="1153"/>
      <c r="T16" s="1154"/>
      <c r="V16" s="337" t="s">
        <v>188</v>
      </c>
      <c r="X16" s="889"/>
      <c r="Y16" s="889"/>
      <c r="Z16" s="889"/>
      <c r="AA16" s="889"/>
      <c r="AB16" s="889"/>
      <c r="AC16" s="889"/>
      <c r="AD16" s="889"/>
      <c r="AE16" s="889"/>
    </row>
    <row r="17" spans="6:30" ht="17.100000000000001" customHeight="1">
      <c r="F17" s="77"/>
      <c r="G17" s="882"/>
      <c r="H17" s="1113"/>
      <c r="I17" s="66" t="s">
        <v>189</v>
      </c>
      <c r="J17" s="329">
        <f>O78+Q78+R6+R10+R12+R11</f>
        <v>310291</v>
      </c>
      <c r="K17" s="332">
        <f t="shared" si="1"/>
        <v>93863.02</v>
      </c>
      <c r="L17" s="1149"/>
      <c r="M17" s="51"/>
      <c r="N17" s="279" t="s">
        <v>233</v>
      </c>
      <c r="O17" s="1151"/>
      <c r="P17" s="1152"/>
      <c r="Q17" s="199"/>
      <c r="R17" s="200">
        <v>1000</v>
      </c>
      <c r="S17" s="1153"/>
      <c r="T17" s="1154"/>
      <c r="V17" s="338">
        <v>42</v>
      </c>
      <c r="X17" s="174"/>
      <c r="Y17" s="890"/>
      <c r="Z17" s="891"/>
      <c r="AA17" s="907"/>
      <c r="AB17" s="891"/>
      <c r="AC17" s="891"/>
      <c r="AD17" s="891"/>
    </row>
    <row r="18" spans="6:30" ht="17.100000000000001" customHeight="1">
      <c r="F18" s="77"/>
      <c r="G18" s="882"/>
      <c r="H18" s="1114"/>
      <c r="I18" s="66" t="s">
        <v>177</v>
      </c>
      <c r="J18" s="329">
        <f>SUM(J16:J17)</f>
        <v>790100.63</v>
      </c>
      <c r="K18" s="332">
        <f t="shared" si="1"/>
        <v>239005.44</v>
      </c>
      <c r="L18" s="1150"/>
      <c r="M18" s="51"/>
      <c r="N18" s="1155" t="s">
        <v>192</v>
      </c>
      <c r="O18" s="874" t="s">
        <v>193</v>
      </c>
      <c r="P18" s="197" t="s">
        <v>122</v>
      </c>
      <c r="Q18" s="284">
        <f>ROUNDUP((SUMPRODUCT(H36:H51,J36:J51)+SUMPRODUCT(H56:H63,J56:J63))/75,0)</f>
        <v>4206</v>
      </c>
      <c r="R18" s="1158">
        <f>H78*S18</f>
        <v>7195.5</v>
      </c>
      <c r="S18" s="968">
        <v>1.5</v>
      </c>
      <c r="T18" s="969"/>
      <c r="X18" s="175"/>
      <c r="Y18" s="908"/>
      <c r="Z18" s="909"/>
      <c r="AA18" s="910"/>
      <c r="AB18" s="911"/>
      <c r="AC18" s="911"/>
      <c r="AD18" s="911"/>
    </row>
    <row r="19" spans="6:30" ht="17.100000000000001" customHeight="1">
      <c r="F19" s="77"/>
      <c r="G19" s="882"/>
      <c r="H19" s="1161" t="s">
        <v>38</v>
      </c>
      <c r="I19" s="65" t="s">
        <v>194</v>
      </c>
      <c r="J19" s="329">
        <f>Q85</f>
        <v>1200</v>
      </c>
      <c r="K19" s="332">
        <f t="shared" si="1"/>
        <v>363</v>
      </c>
      <c r="L19" s="1148">
        <f>J19/$J$22</f>
        <v>2.4947525478855796E-3</v>
      </c>
      <c r="M19" s="51"/>
      <c r="N19" s="1156"/>
      <c r="O19" s="875"/>
      <c r="P19" s="150" t="s">
        <v>123</v>
      </c>
      <c r="Q19" s="286">
        <f>ROUNDUP((SUMPRODUCT(H64:H75,J64:J75))/65,0)</f>
        <v>494</v>
      </c>
      <c r="R19" s="1159"/>
      <c r="S19" s="970"/>
      <c r="T19" s="971"/>
      <c r="X19" s="176"/>
      <c r="Y19" s="908"/>
      <c r="Z19" s="909"/>
      <c r="AA19" s="910"/>
      <c r="AB19" s="911"/>
      <c r="AC19" s="911"/>
      <c r="AD19" s="911"/>
    </row>
    <row r="20" spans="6:30" ht="17.100000000000001" customHeight="1">
      <c r="F20" s="77"/>
      <c r="G20" s="882"/>
      <c r="H20" s="1162"/>
      <c r="I20" s="65" t="s">
        <v>46</v>
      </c>
      <c r="J20" s="329">
        <f>Q87</f>
        <v>7210</v>
      </c>
      <c r="K20" s="332">
        <f t="shared" si="1"/>
        <v>2181.02</v>
      </c>
      <c r="L20" s="1149"/>
      <c r="M20" s="51"/>
      <c r="N20" s="1156"/>
      <c r="O20" s="876"/>
      <c r="P20" s="151" t="s">
        <v>118</v>
      </c>
      <c r="Q20" s="285">
        <f>SUM(Q18:Q19)</f>
        <v>4700</v>
      </c>
      <c r="R20" s="1159"/>
      <c r="S20" s="970"/>
      <c r="T20" s="971"/>
    </row>
    <row r="21" spans="6:30" ht="17.100000000000001" customHeight="1">
      <c r="F21" s="77"/>
      <c r="G21" s="882"/>
      <c r="H21" s="1163"/>
      <c r="I21" s="65" t="s">
        <v>177</v>
      </c>
      <c r="J21" s="329">
        <f>J19+J20</f>
        <v>8410</v>
      </c>
      <c r="K21" s="332">
        <f t="shared" si="1"/>
        <v>2544.02</v>
      </c>
      <c r="L21" s="1150"/>
      <c r="M21" s="51"/>
      <c r="N21" s="1156"/>
      <c r="O21" s="874" t="s">
        <v>86</v>
      </c>
      <c r="P21" s="159" t="s">
        <v>240</v>
      </c>
      <c r="Q21" s="284">
        <f>(SUM(H36:H47)+SUM(H56:H59))*0.8</f>
        <v>1840</v>
      </c>
      <c r="R21" s="1159"/>
      <c r="S21" s="970"/>
      <c r="T21" s="971"/>
      <c r="U21"/>
      <c r="V21"/>
    </row>
    <row r="22" spans="6:30" ht="17.100000000000001" customHeight="1">
      <c r="F22" s="77"/>
      <c r="G22" s="882"/>
      <c r="H22" s="1161" t="s">
        <v>116</v>
      </c>
      <c r="I22" s="65" t="s">
        <v>194</v>
      </c>
      <c r="J22" s="326">
        <f>J16+J19</f>
        <v>481009.63</v>
      </c>
      <c r="K22" s="332">
        <f t="shared" si="1"/>
        <v>145505.41</v>
      </c>
      <c r="L22" s="1148">
        <f>J22/$J$22</f>
        <v>1</v>
      </c>
      <c r="M22" s="276"/>
      <c r="N22" s="1156"/>
      <c r="O22" s="875"/>
      <c r="P22" s="160" t="s">
        <v>241</v>
      </c>
      <c r="Q22" s="286">
        <f>(SUM(H48:H51)+SUM(H60:H75))*1</f>
        <v>2497</v>
      </c>
      <c r="R22" s="1159"/>
      <c r="S22" s="970"/>
      <c r="T22" s="971"/>
      <c r="U22"/>
      <c r="V22"/>
    </row>
    <row r="23" spans="6:30" ht="17.100000000000001" customHeight="1">
      <c r="F23" s="77"/>
      <c r="G23" s="882"/>
      <c r="H23" s="1162"/>
      <c r="I23" s="65" t="s">
        <v>46</v>
      </c>
      <c r="J23" s="326">
        <f>J17+J20</f>
        <v>317501</v>
      </c>
      <c r="K23" s="332">
        <f t="shared" si="1"/>
        <v>96044.05</v>
      </c>
      <c r="L23" s="1149"/>
      <c r="M23" s="51"/>
      <c r="N23" s="1156"/>
      <c r="O23" s="876"/>
      <c r="P23" s="152" t="s">
        <v>118</v>
      </c>
      <c r="Q23" s="285">
        <f>SUM(Q21:Q22)</f>
        <v>4337</v>
      </c>
      <c r="R23" s="1160"/>
      <c r="S23" s="972"/>
      <c r="T23" s="973"/>
      <c r="U23"/>
      <c r="V23"/>
    </row>
    <row r="24" spans="6:30" ht="17.100000000000001" customHeight="1">
      <c r="F24" s="77"/>
      <c r="G24" s="1144"/>
      <c r="H24" s="1164"/>
      <c r="I24" s="263" t="s">
        <v>198</v>
      </c>
      <c r="J24" s="330">
        <f>J18+J21</f>
        <v>798510.63</v>
      </c>
      <c r="K24" s="334">
        <f t="shared" si="1"/>
        <v>241549.46</v>
      </c>
      <c r="L24" s="1165"/>
      <c r="M24" s="51"/>
      <c r="N24" s="1156"/>
      <c r="O24" s="153" t="s">
        <v>199</v>
      </c>
      <c r="P24" s="154">
        <v>134</v>
      </c>
      <c r="Q24" s="287">
        <f>(M89+O89)/P24</f>
        <v>45.522388059701491</v>
      </c>
      <c r="R24" s="290">
        <f>ROUNDUP(Q24*S24,0)</f>
        <v>55</v>
      </c>
      <c r="S24" s="1166">
        <v>1.2</v>
      </c>
      <c r="T24" s="1167"/>
      <c r="U24"/>
      <c r="V24"/>
      <c r="X24" s="918"/>
      <c r="Y24" s="161"/>
      <c r="Z24" s="162"/>
      <c r="AA24" s="162"/>
      <c r="AB24" s="163"/>
      <c r="AC24" s="921"/>
      <c r="AD24" s="922"/>
    </row>
    <row r="25" spans="6:30" ht="17.100000000000001" customHeight="1">
      <c r="F25" s="77"/>
      <c r="G25" s="309"/>
      <c r="H25" s="1168"/>
      <c r="I25" s="1169"/>
      <c r="J25" s="303"/>
      <c r="K25" s="304"/>
      <c r="M25" s="51"/>
      <c r="N25" s="1157"/>
      <c r="O25" s="912" t="s">
        <v>117</v>
      </c>
      <c r="P25" s="913"/>
      <c r="Q25" s="288">
        <f>Q20+Q24</f>
        <v>4745.5223880597014</v>
      </c>
      <c r="R25" s="291">
        <f>SUM(R18+R24)</f>
        <v>7250.5</v>
      </c>
      <c r="S25" s="306"/>
      <c r="T25" s="307"/>
      <c r="U25"/>
      <c r="V25" s="313"/>
      <c r="X25" s="919"/>
      <c r="Y25" s="165"/>
      <c r="Z25" s="157"/>
      <c r="AA25" s="171"/>
      <c r="AB25" s="157"/>
      <c r="AC25" s="923"/>
      <c r="AD25" s="924"/>
    </row>
    <row r="26" spans="6:30" ht="17.100000000000001" customHeight="1">
      <c r="F26" s="77"/>
      <c r="G26" s="72" t="s">
        <v>48</v>
      </c>
      <c r="H26" s="1105">
        <f>J14*0.2842</f>
        <v>45584.685300000005</v>
      </c>
      <c r="I26" s="1106"/>
      <c r="J26" s="1107"/>
      <c r="K26" s="12">
        <f>ROUNDDOWN(H26*0.3025,2)</f>
        <v>13789.36</v>
      </c>
      <c r="L26" s="1170">
        <v>50</v>
      </c>
      <c r="M26" s="51"/>
      <c r="N26" s="1172"/>
      <c r="O26" s="1173"/>
      <c r="P26" s="1173"/>
      <c r="Q26" s="1173"/>
      <c r="R26" s="1173"/>
      <c r="S26" s="1173"/>
      <c r="T26" s="1173"/>
      <c r="U26"/>
      <c r="V26" s="313"/>
      <c r="X26" s="919"/>
      <c r="Y26" s="165"/>
      <c r="Z26" s="157"/>
      <c r="AA26" s="314"/>
      <c r="AB26" s="157"/>
      <c r="AC26" s="925"/>
      <c r="AD26" s="926"/>
    </row>
    <row r="27" spans="6:30" ht="17.100000000000001" customHeight="1">
      <c r="F27" s="77"/>
      <c r="G27" s="74" t="s">
        <v>0</v>
      </c>
      <c r="H27" s="1108">
        <f>H26/J14</f>
        <v>0.28420000000000001</v>
      </c>
      <c r="I27" s="1109"/>
      <c r="J27" s="1109"/>
      <c r="K27" s="1110"/>
      <c r="L27" s="1171"/>
      <c r="M27" s="51"/>
      <c r="N27" s="879" t="s">
        <v>236</v>
      </c>
      <c r="O27" s="339">
        <f>H29</f>
        <v>2.9988785914904628</v>
      </c>
      <c r="P27" s="340">
        <v>2.5</v>
      </c>
      <c r="Q27" s="341">
        <v>2</v>
      </c>
      <c r="R27" s="342">
        <f>(O27-P27)/Q27</f>
        <v>0.24943929574523138</v>
      </c>
      <c r="S27" s="1175">
        <f>R28</f>
        <v>40009.19</v>
      </c>
      <c r="T27" s="1177">
        <f>P29+P30+P31</f>
        <v>470</v>
      </c>
      <c r="U27"/>
      <c r="V27" s="313"/>
      <c r="X27" s="919"/>
      <c r="Y27" s="165"/>
      <c r="Z27" s="157"/>
      <c r="AA27" s="314"/>
      <c r="AB27" s="157"/>
      <c r="AC27" s="925"/>
      <c r="AD27" s="926"/>
    </row>
    <row r="28" spans="6:30" ht="17.100000000000001" customHeight="1">
      <c r="F28" s="77"/>
      <c r="G28" s="75" t="s">
        <v>64</v>
      </c>
      <c r="H28" s="1105">
        <f>J22</f>
        <v>481009.63</v>
      </c>
      <c r="I28" s="1106"/>
      <c r="J28" s="1107"/>
      <c r="K28" s="12">
        <f>ROUNDDOWN(H28*0.3025,2)</f>
        <v>145505.41</v>
      </c>
      <c r="L28" s="1180" t="s">
        <v>201</v>
      </c>
      <c r="M28" s="51"/>
      <c r="N28" s="1174"/>
      <c r="O28" s="343"/>
      <c r="P28" s="344">
        <f>J14</f>
        <v>160396.5</v>
      </c>
      <c r="Q28" s="345">
        <f>R27</f>
        <v>0.24943929574523138</v>
      </c>
      <c r="R28" s="346">
        <f>P28*Q28</f>
        <v>40009.19</v>
      </c>
      <c r="S28" s="1176"/>
      <c r="T28" s="1178"/>
      <c r="U28" s="274"/>
      <c r="V28" s="275"/>
      <c r="X28" s="919"/>
      <c r="Y28" s="167"/>
      <c r="Z28" s="168"/>
      <c r="AA28" s="172"/>
      <c r="AB28" s="168"/>
      <c r="AC28" s="925"/>
      <c r="AD28" s="926"/>
    </row>
    <row r="29" spans="6:30" ht="17.100000000000001" customHeight="1">
      <c r="F29" s="77"/>
      <c r="G29" s="74" t="s">
        <v>62</v>
      </c>
      <c r="H29" s="854">
        <f>H28/J14</f>
        <v>2.9988785914904628</v>
      </c>
      <c r="I29" s="855"/>
      <c r="J29" s="855"/>
      <c r="K29" s="856"/>
      <c r="L29" s="1181"/>
      <c r="M29" s="51"/>
      <c r="N29" s="1174"/>
      <c r="O29" s="347">
        <f>G45</f>
        <v>49</v>
      </c>
      <c r="P29" s="348">
        <f>H42</f>
        <v>190</v>
      </c>
      <c r="Q29" s="349">
        <f>N42</f>
        <v>71.050000000000011</v>
      </c>
      <c r="R29" s="350">
        <f>P29*Q29</f>
        <v>13499.500000000002</v>
      </c>
      <c r="S29" s="1182">
        <f>R29+R30+R31</f>
        <v>40074.100000000006</v>
      </c>
      <c r="T29" s="1178"/>
      <c r="U29" s="274"/>
      <c r="V29" s="378">
        <f>S29-S27</f>
        <v>64.910000000003492</v>
      </c>
      <c r="W29" s="169"/>
      <c r="X29" s="919"/>
      <c r="Y29" s="165"/>
      <c r="Z29" s="157"/>
      <c r="AA29" s="170"/>
      <c r="AB29" s="157"/>
      <c r="AC29" s="927"/>
      <c r="AD29" s="929"/>
    </row>
    <row r="30" spans="6:30" ht="17.100000000000001" customHeight="1">
      <c r="F30" s="77"/>
      <c r="G30" s="72" t="s">
        <v>63</v>
      </c>
      <c r="H30" s="1088">
        <f>H78</f>
        <v>4797</v>
      </c>
      <c r="I30" s="1089"/>
      <c r="J30" s="1089"/>
      <c r="K30" s="1090"/>
      <c r="L30" s="20"/>
      <c r="M30" s="51"/>
      <c r="N30" s="1174"/>
      <c r="O30" s="351">
        <f>G47</f>
        <v>59</v>
      </c>
      <c r="P30" s="352">
        <f>H46</f>
        <v>190</v>
      </c>
      <c r="Q30" s="353">
        <f>N46</f>
        <v>85.350000000000009</v>
      </c>
      <c r="R30" s="354">
        <f>P30*Q30</f>
        <v>16216.500000000002</v>
      </c>
      <c r="S30" s="1183"/>
      <c r="T30" s="1178"/>
      <c r="U30"/>
      <c r="V30" s="1185"/>
      <c r="W30" s="169"/>
      <c r="X30" s="919"/>
      <c r="Y30" s="230"/>
      <c r="Z30" s="231"/>
      <c r="AA30" s="232"/>
      <c r="AB30" s="231"/>
      <c r="AC30" s="927"/>
      <c r="AD30" s="929"/>
    </row>
    <row r="31" spans="6:30" ht="17.100000000000001" customHeight="1">
      <c r="F31" s="77"/>
      <c r="G31" s="74" t="s">
        <v>37</v>
      </c>
      <c r="H31" s="949">
        <f>R25</f>
        <v>7250.5</v>
      </c>
      <c r="I31" s="950"/>
      <c r="J31" s="950"/>
      <c r="K31" s="164"/>
      <c r="L31" s="62">
        <f>$R$18/$H$78</f>
        <v>1.5</v>
      </c>
      <c r="M31" s="51"/>
      <c r="N31" s="1174"/>
      <c r="O31" s="355">
        <f>G51</f>
        <v>84</v>
      </c>
      <c r="P31" s="356">
        <f>H50</f>
        <v>90</v>
      </c>
      <c r="Q31" s="357">
        <f>N50</f>
        <v>115.09</v>
      </c>
      <c r="R31" s="346">
        <f>P31*Q31</f>
        <v>10358.1</v>
      </c>
      <c r="S31" s="1184"/>
      <c r="T31" s="1179"/>
      <c r="U31"/>
      <c r="V31" s="1186"/>
      <c r="X31" s="920"/>
      <c r="Y31" s="166"/>
      <c r="Z31" s="158"/>
      <c r="AA31" s="166"/>
      <c r="AB31" s="158"/>
      <c r="AC31" s="928"/>
      <c r="AD31" s="930"/>
    </row>
    <row r="32" spans="6:30" ht="6.75" customHeight="1">
      <c r="F32" s="77"/>
      <c r="G32" s="76"/>
      <c r="H32" s="57"/>
      <c r="I32" s="57"/>
      <c r="J32" s="57"/>
      <c r="K32" s="57"/>
      <c r="L32" s="57"/>
      <c r="M32" s="52"/>
      <c r="N32" s="57"/>
      <c r="O32" s="57"/>
      <c r="P32" s="57"/>
      <c r="Q32" s="57"/>
      <c r="R32" s="57"/>
      <c r="S32" s="57"/>
      <c r="T32" s="57"/>
      <c r="U32"/>
      <c r="V32" s="10"/>
    </row>
    <row r="33" spans="2:23" ht="17.25">
      <c r="F33" s="77"/>
      <c r="G33" s="951" t="s">
        <v>202</v>
      </c>
      <c r="H33" s="951"/>
      <c r="I33" s="951"/>
      <c r="J33" s="951"/>
      <c r="K33" s="951"/>
      <c r="L33" s="951"/>
      <c r="M33" s="951"/>
      <c r="N33" s="951"/>
      <c r="O33" s="951"/>
      <c r="P33" s="951"/>
      <c r="Q33" s="951"/>
      <c r="R33" s="951"/>
      <c r="S33" s="951"/>
      <c r="T33" s="952"/>
      <c r="W33" s="4"/>
    </row>
    <row r="34" spans="2:23" s="4" customFormat="1" ht="15.75" customHeight="1">
      <c r="B34" s="1122"/>
      <c r="C34" s="1122"/>
      <c r="D34" s="1122"/>
      <c r="E34" s="1122"/>
      <c r="F34" s="78"/>
      <c r="G34" s="957" t="s">
        <v>203</v>
      </c>
      <c r="H34" s="877" t="s">
        <v>204</v>
      </c>
      <c r="I34" s="877" t="s">
        <v>205</v>
      </c>
      <c r="J34" s="877" t="s">
        <v>206</v>
      </c>
      <c r="K34" s="877" t="s">
        <v>207</v>
      </c>
      <c r="L34" s="877"/>
      <c r="M34" s="877"/>
      <c r="N34" s="877" t="s">
        <v>208</v>
      </c>
      <c r="O34" s="877" t="s">
        <v>209</v>
      </c>
      <c r="P34" s="877"/>
      <c r="Q34" s="877"/>
      <c r="R34" s="877" t="s">
        <v>210</v>
      </c>
      <c r="S34" s="877" t="s">
        <v>211</v>
      </c>
      <c r="T34" s="956" t="s">
        <v>212</v>
      </c>
    </row>
    <row r="35" spans="2:23" s="4" customFormat="1" ht="15.75" customHeight="1">
      <c r="B35" s="1122"/>
      <c r="C35" s="1122"/>
      <c r="D35" s="1122"/>
      <c r="E35" s="1122"/>
      <c r="F35" s="78"/>
      <c r="G35" s="958"/>
      <c r="H35" s="878"/>
      <c r="I35" s="878"/>
      <c r="J35" s="878"/>
      <c r="K35" s="80" t="s">
        <v>21</v>
      </c>
      <c r="L35" s="80" t="s">
        <v>142</v>
      </c>
      <c r="M35" s="80" t="s">
        <v>162</v>
      </c>
      <c r="N35" s="878"/>
      <c r="O35" s="80" t="s">
        <v>214</v>
      </c>
      <c r="P35" s="80" t="s">
        <v>15</v>
      </c>
      <c r="Q35" s="80" t="s">
        <v>215</v>
      </c>
      <c r="R35" s="878"/>
      <c r="S35" s="878"/>
      <c r="T35" s="878"/>
      <c r="W35" s="2"/>
    </row>
    <row r="36" spans="2:23" ht="11.25" hidden="1" customHeight="1">
      <c r="B36" s="1127"/>
      <c r="C36" s="1121"/>
      <c r="D36" s="1121"/>
      <c r="E36" s="1121">
        <f>ROUNDUP(H78*0.05,0)</f>
        <v>240</v>
      </c>
      <c r="F36" s="1187" t="e">
        <f>H36/#REF!</f>
        <v>#REF!</v>
      </c>
      <c r="G36" s="297">
        <f>ROUNDDOWN(N37,0)</f>
        <v>17</v>
      </c>
      <c r="H36" s="1194"/>
      <c r="I36" s="1195">
        <f>H36/$H$78</f>
        <v>0</v>
      </c>
      <c r="J36" s="299">
        <f>J54</f>
        <v>39.96</v>
      </c>
      <c r="K36" s="299">
        <f>K54</f>
        <v>3.65</v>
      </c>
      <c r="L36" s="299">
        <f>L54</f>
        <v>14.8</v>
      </c>
      <c r="M36" s="299">
        <f>K36+L36</f>
        <v>18.45</v>
      </c>
      <c r="N36" s="299">
        <f>J36+M36</f>
        <v>58.41</v>
      </c>
      <c r="O36" s="299">
        <f>$O$78/$J$78*J36</f>
        <v>0.12075281862341269</v>
      </c>
      <c r="P36" s="299">
        <f>$P$78/$J$78*J36</f>
        <v>1.1304763876839492</v>
      </c>
      <c r="Q36" s="299">
        <f>$Q$78/$J$78*J36</f>
        <v>34.755076256190634</v>
      </c>
      <c r="R36" s="299">
        <f>O36+P36+Q36</f>
        <v>36.006305462497998</v>
      </c>
      <c r="S36" s="299">
        <f>N36+R36</f>
        <v>94.416305462498002</v>
      </c>
      <c r="T36" s="1196" t="s">
        <v>216</v>
      </c>
      <c r="V36" s="905"/>
    </row>
    <row r="37" spans="2:23" ht="11.25" hidden="1" customHeight="1">
      <c r="B37" s="1076"/>
      <c r="C37" s="1121"/>
      <c r="D37" s="1121"/>
      <c r="E37" s="1121"/>
      <c r="F37" s="1187"/>
      <c r="G37" s="296">
        <v>39</v>
      </c>
      <c r="H37" s="1189"/>
      <c r="I37" s="1191"/>
      <c r="J37" s="298">
        <f t="shared" ref="J37:S37" si="2">ROUNDDOWN(J36*0.3025,2)</f>
        <v>12.08</v>
      </c>
      <c r="K37" s="298">
        <f t="shared" si="2"/>
        <v>1.1000000000000001</v>
      </c>
      <c r="L37" s="298">
        <f t="shared" si="2"/>
        <v>4.47</v>
      </c>
      <c r="M37" s="298">
        <f t="shared" si="2"/>
        <v>5.58</v>
      </c>
      <c r="N37" s="298">
        <f t="shared" si="2"/>
        <v>17.66</v>
      </c>
      <c r="O37" s="298">
        <f t="shared" si="2"/>
        <v>0.03</v>
      </c>
      <c r="P37" s="298">
        <f t="shared" si="2"/>
        <v>0.34</v>
      </c>
      <c r="Q37" s="298">
        <f t="shared" si="2"/>
        <v>10.51</v>
      </c>
      <c r="R37" s="298">
        <f t="shared" si="2"/>
        <v>10.89</v>
      </c>
      <c r="S37" s="298">
        <f t="shared" si="2"/>
        <v>28.56</v>
      </c>
      <c r="T37" s="1197"/>
      <c r="V37" s="906"/>
    </row>
    <row r="38" spans="2:23" ht="12" hidden="1" customHeight="1">
      <c r="B38" s="1127"/>
      <c r="C38" s="1121"/>
      <c r="D38" s="1121"/>
      <c r="E38" s="1121"/>
      <c r="F38" s="1187" t="e">
        <f>H38/#REF!</f>
        <v>#REF!</v>
      </c>
      <c r="G38" s="300">
        <f>ROUNDDOWN(N39,0)</f>
        <v>21</v>
      </c>
      <c r="H38" s="1188"/>
      <c r="I38" s="1190">
        <f>H38/$H$78</f>
        <v>0</v>
      </c>
      <c r="J38" s="302">
        <f>J56</f>
        <v>49.95</v>
      </c>
      <c r="K38" s="302">
        <f>K56</f>
        <v>4.5</v>
      </c>
      <c r="L38" s="302">
        <f>L56</f>
        <v>16.600000000000001</v>
      </c>
      <c r="M38" s="302">
        <f>K38+L38</f>
        <v>21.1</v>
      </c>
      <c r="N38" s="302">
        <f>M38+J38</f>
        <v>71.050000000000011</v>
      </c>
      <c r="O38" s="302">
        <f>$O$78/$J$78*J38</f>
        <v>0.15094102327926587</v>
      </c>
      <c r="P38" s="302">
        <f>$P$78/$J$78*J38</f>
        <v>1.4130954846049366</v>
      </c>
      <c r="Q38" s="302">
        <f>$Q$78/$J$78*J38</f>
        <v>43.443845320238296</v>
      </c>
      <c r="R38" s="315">
        <f>O38+P38+Q38</f>
        <v>45.0078818281225</v>
      </c>
      <c r="S38" s="302">
        <f>N38+R38</f>
        <v>116.0578818281225</v>
      </c>
      <c r="T38" s="1197"/>
      <c r="V38" s="130"/>
    </row>
    <row r="39" spans="2:23" ht="12" hidden="1" customHeight="1">
      <c r="B39" s="1076"/>
      <c r="C39" s="1121"/>
      <c r="D39" s="1121"/>
      <c r="E39" s="1121"/>
      <c r="F39" s="1187"/>
      <c r="G39" s="296">
        <f>ROUNDDOWN(J38,0)</f>
        <v>49</v>
      </c>
      <c r="H39" s="1189"/>
      <c r="I39" s="1191"/>
      <c r="J39" s="298">
        <f t="shared" ref="J39:S39" si="3">ROUNDDOWN(J38*0.3025,2)</f>
        <v>15.1</v>
      </c>
      <c r="K39" s="298">
        <f t="shared" si="3"/>
        <v>1.36</v>
      </c>
      <c r="L39" s="298">
        <f t="shared" si="3"/>
        <v>5.0199999999999996</v>
      </c>
      <c r="M39" s="298">
        <f t="shared" si="3"/>
        <v>6.38</v>
      </c>
      <c r="N39" s="298">
        <f t="shared" si="3"/>
        <v>21.49</v>
      </c>
      <c r="O39" s="298">
        <f t="shared" si="3"/>
        <v>0.04</v>
      </c>
      <c r="P39" s="298">
        <f t="shared" si="3"/>
        <v>0.42</v>
      </c>
      <c r="Q39" s="301">
        <f t="shared" si="3"/>
        <v>13.14</v>
      </c>
      <c r="R39" s="301">
        <f t="shared" si="3"/>
        <v>13.61</v>
      </c>
      <c r="S39" s="301">
        <f t="shared" si="3"/>
        <v>35.1</v>
      </c>
      <c r="T39" s="1197"/>
      <c r="V39" s="148"/>
    </row>
    <row r="40" spans="2:23" ht="12" hidden="1" customHeight="1">
      <c r="B40" s="130"/>
      <c r="C40" s="308"/>
      <c r="D40" s="308"/>
      <c r="E40" s="308"/>
      <c r="F40" s="1187" t="e">
        <f>H40/#REF!</f>
        <v>#REF!</v>
      </c>
      <c r="G40" s="300">
        <f>ROUNDDOWN(N41,0)</f>
        <v>25</v>
      </c>
      <c r="H40" s="1188"/>
      <c r="I40" s="1190">
        <f>H40/$H$78</f>
        <v>0</v>
      </c>
      <c r="J40" s="302">
        <f>J58</f>
        <v>59.95</v>
      </c>
      <c r="K40" s="302">
        <f>K58</f>
        <v>5.8</v>
      </c>
      <c r="L40" s="302">
        <f>L58</f>
        <v>19.600000000000001</v>
      </c>
      <c r="M40" s="302">
        <f>K40+L40</f>
        <v>25.400000000000002</v>
      </c>
      <c r="N40" s="302">
        <f>M40+J40</f>
        <v>85.350000000000009</v>
      </c>
      <c r="O40" s="302">
        <f>$O$78/$J$78*J40</f>
        <v>0.18115944635819797</v>
      </c>
      <c r="P40" s="302">
        <f>$P$78/$J$78*J40</f>
        <v>1.6959974835248437</v>
      </c>
      <c r="Q40" s="302">
        <f>$Q$78/$J$78*J40</f>
        <v>52.141311850816535</v>
      </c>
      <c r="R40" s="315">
        <f>O40+P40+Q40</f>
        <v>54.018468780699578</v>
      </c>
      <c r="S40" s="302">
        <f>N40+R40</f>
        <v>139.36846878069957</v>
      </c>
      <c r="T40" s="1197"/>
      <c r="V40" s="193"/>
    </row>
    <row r="41" spans="2:23" ht="12" hidden="1" customHeight="1">
      <c r="B41" s="130"/>
      <c r="C41" s="308"/>
      <c r="D41" s="308"/>
      <c r="E41" s="308"/>
      <c r="F41" s="1187"/>
      <c r="G41" s="296">
        <f>ROUNDDOWN(J40,0)</f>
        <v>59</v>
      </c>
      <c r="H41" s="1189"/>
      <c r="I41" s="1191"/>
      <c r="J41" s="298">
        <f t="shared" ref="J41:S41" si="4">ROUNDDOWN(J40*0.3025,2)</f>
        <v>18.13</v>
      </c>
      <c r="K41" s="298">
        <f t="shared" si="4"/>
        <v>1.75</v>
      </c>
      <c r="L41" s="298">
        <f t="shared" si="4"/>
        <v>5.92</v>
      </c>
      <c r="M41" s="298">
        <f t="shared" si="4"/>
        <v>7.68</v>
      </c>
      <c r="N41" s="298">
        <f t="shared" si="4"/>
        <v>25.81</v>
      </c>
      <c r="O41" s="298">
        <f t="shared" si="4"/>
        <v>0.05</v>
      </c>
      <c r="P41" s="298">
        <f t="shared" si="4"/>
        <v>0.51</v>
      </c>
      <c r="Q41" s="301">
        <f t="shared" si="4"/>
        <v>15.77</v>
      </c>
      <c r="R41" s="301">
        <f t="shared" si="4"/>
        <v>16.34</v>
      </c>
      <c r="S41" s="301">
        <f t="shared" si="4"/>
        <v>42.15</v>
      </c>
      <c r="T41" s="1197"/>
      <c r="V41" s="193"/>
    </row>
    <row r="42" spans="2:23" ht="12" customHeight="1">
      <c r="B42" s="130"/>
      <c r="C42" s="308"/>
      <c r="E42" s="1128">
        <f>H42/$H$52</f>
        <v>0.40425531914893614</v>
      </c>
      <c r="F42" s="336"/>
      <c r="G42" s="316">
        <f>ROUNDDOWN(N43,0)</f>
        <v>21</v>
      </c>
      <c r="H42" s="1192">
        <v>190</v>
      </c>
      <c r="I42" s="369">
        <f>H42/$H$78</f>
        <v>3.9608088388576192E-2</v>
      </c>
      <c r="J42" s="364">
        <f>J56</f>
        <v>49.95</v>
      </c>
      <c r="K42" s="364">
        <f>K56</f>
        <v>4.5</v>
      </c>
      <c r="L42" s="364">
        <f>L56</f>
        <v>16.600000000000001</v>
      </c>
      <c r="M42" s="364">
        <f>K42+L42</f>
        <v>21.1</v>
      </c>
      <c r="N42" s="364">
        <f>M42+J42</f>
        <v>71.050000000000011</v>
      </c>
      <c r="O42" s="364">
        <f>$O$78/$J$78*J42</f>
        <v>0.15094102327926587</v>
      </c>
      <c r="P42" s="364">
        <f>$P$78/$J$78*J42</f>
        <v>1.4130954846049366</v>
      </c>
      <c r="Q42" s="364">
        <f>$Q$78/$J$78*J42</f>
        <v>43.443845320238296</v>
      </c>
      <c r="R42" s="364">
        <f>O42+P42+Q42</f>
        <v>45.0078818281225</v>
      </c>
      <c r="S42" s="364">
        <f>N42+R42</f>
        <v>116.0578818281225</v>
      </c>
      <c r="T42" s="1198" t="s">
        <v>159</v>
      </c>
      <c r="V42" s="193"/>
    </row>
    <row r="43" spans="2:23" ht="12" customHeight="1">
      <c r="B43" s="130"/>
      <c r="C43" s="308"/>
      <c r="E43" s="1129"/>
      <c r="F43" s="336"/>
      <c r="G43" s="318">
        <f>ROUNDDOWN(J42,0)</f>
        <v>49</v>
      </c>
      <c r="H43" s="1193"/>
      <c r="I43" s="373">
        <f>H42/$H$52</f>
        <v>0.40425531914893614</v>
      </c>
      <c r="J43" s="319">
        <f t="shared" ref="J43:S43" si="5">ROUNDDOWN(J42*0.3025,2)</f>
        <v>15.1</v>
      </c>
      <c r="K43" s="319">
        <f t="shared" si="5"/>
        <v>1.36</v>
      </c>
      <c r="L43" s="319">
        <f t="shared" si="5"/>
        <v>5.0199999999999996</v>
      </c>
      <c r="M43" s="319">
        <f t="shared" si="5"/>
        <v>6.38</v>
      </c>
      <c r="N43" s="319">
        <f t="shared" si="5"/>
        <v>21.49</v>
      </c>
      <c r="O43" s="319">
        <f t="shared" si="5"/>
        <v>0.04</v>
      </c>
      <c r="P43" s="319">
        <f t="shared" si="5"/>
        <v>0.42</v>
      </c>
      <c r="Q43" s="320">
        <f t="shared" si="5"/>
        <v>13.14</v>
      </c>
      <c r="R43" s="320">
        <f t="shared" si="5"/>
        <v>13.61</v>
      </c>
      <c r="S43" s="320">
        <f t="shared" si="5"/>
        <v>35.1</v>
      </c>
      <c r="T43" s="1198"/>
      <c r="V43" s="193"/>
    </row>
    <row r="44" spans="2:23" ht="12" hidden="1" customHeight="1">
      <c r="B44" s="130"/>
      <c r="C44" s="308"/>
      <c r="E44" s="1130">
        <f>C44/$H$78</f>
        <v>0</v>
      </c>
      <c r="F44" s="336"/>
      <c r="G44" s="316">
        <f>ROUNDDOWN(N43,0)</f>
        <v>21</v>
      </c>
      <c r="H44" s="1192"/>
      <c r="I44" s="1130">
        <f>H44/$H$78</f>
        <v>0</v>
      </c>
      <c r="T44" s="1198"/>
      <c r="V44" s="193"/>
    </row>
    <row r="45" spans="2:23" ht="12" hidden="1" customHeight="1">
      <c r="B45" s="130"/>
      <c r="C45" s="308"/>
      <c r="E45" s="1129"/>
      <c r="F45" s="336"/>
      <c r="G45" s="318">
        <f>ROUNDDOWN(J42,0)</f>
        <v>49</v>
      </c>
      <c r="H45" s="1193"/>
      <c r="I45" s="1129"/>
      <c r="T45" s="1198"/>
      <c r="V45" s="193"/>
    </row>
    <row r="46" spans="2:23" ht="12" customHeight="1">
      <c r="B46" s="1127"/>
      <c r="C46" s="1121"/>
      <c r="E46" s="1128">
        <f>H46/$H$52</f>
        <v>0.40425531914893614</v>
      </c>
      <c r="F46" s="130"/>
      <c r="G46" s="316">
        <f>ROUNDDOWN(N47,0)</f>
        <v>25</v>
      </c>
      <c r="H46" s="1200">
        <v>190</v>
      </c>
      <c r="I46" s="369">
        <f>H46/$H$78</f>
        <v>3.9608088388576192E-2</v>
      </c>
      <c r="J46" s="364">
        <f>J58</f>
        <v>59.95</v>
      </c>
      <c r="K46" s="364">
        <f>K58</f>
        <v>5.8</v>
      </c>
      <c r="L46" s="364">
        <f>L58</f>
        <v>19.600000000000001</v>
      </c>
      <c r="M46" s="364">
        <f>K46+L46</f>
        <v>25.400000000000002</v>
      </c>
      <c r="N46" s="364">
        <f>M46+J46</f>
        <v>85.350000000000009</v>
      </c>
      <c r="O46" s="364">
        <f>$O$78/$J$78*J46</f>
        <v>0.18115944635819797</v>
      </c>
      <c r="P46" s="364">
        <f>$P$78/$J$78*J46</f>
        <v>1.6959974835248437</v>
      </c>
      <c r="Q46" s="364">
        <f>$Q$78/$J$78*J46</f>
        <v>52.141311850816535</v>
      </c>
      <c r="R46" s="364">
        <f>O46+P46+Q46</f>
        <v>54.018468780699578</v>
      </c>
      <c r="S46" s="364">
        <f>N46+R46</f>
        <v>139.36846878069957</v>
      </c>
      <c r="T46" s="1198"/>
      <c r="V46" s="193"/>
    </row>
    <row r="47" spans="2:23" ht="12" customHeight="1">
      <c r="B47" s="1076"/>
      <c r="C47" s="1121"/>
      <c r="E47" s="1129"/>
      <c r="F47" s="130"/>
      <c r="G47" s="318">
        <f>ROUNDDOWN(J46,0)</f>
        <v>59</v>
      </c>
      <c r="H47" s="1193"/>
      <c r="I47" s="373">
        <f>H46/$H$52</f>
        <v>0.40425531914893614</v>
      </c>
      <c r="J47" s="319">
        <f t="shared" ref="J47:S47" si="6">ROUNDDOWN(J46*0.3025,2)</f>
        <v>18.13</v>
      </c>
      <c r="K47" s="319">
        <f t="shared" si="6"/>
        <v>1.75</v>
      </c>
      <c r="L47" s="319">
        <f t="shared" si="6"/>
        <v>5.92</v>
      </c>
      <c r="M47" s="319">
        <f t="shared" si="6"/>
        <v>7.68</v>
      </c>
      <c r="N47" s="319">
        <f t="shared" si="6"/>
        <v>25.81</v>
      </c>
      <c r="O47" s="319">
        <f t="shared" si="6"/>
        <v>0.05</v>
      </c>
      <c r="P47" s="319">
        <f t="shared" si="6"/>
        <v>0.51</v>
      </c>
      <c r="Q47" s="320">
        <f t="shared" si="6"/>
        <v>15.77</v>
      </c>
      <c r="R47" s="320">
        <f t="shared" si="6"/>
        <v>16.34</v>
      </c>
      <c r="S47" s="320">
        <f t="shared" si="6"/>
        <v>42.15</v>
      </c>
      <c r="T47" s="1198"/>
      <c r="V47" s="193"/>
    </row>
    <row r="48" spans="2:23" ht="12" hidden="1" customHeight="1">
      <c r="B48" s="130"/>
      <c r="C48" s="308"/>
      <c r="E48" s="1128">
        <f>C48/$H$78</f>
        <v>0</v>
      </c>
      <c r="F48" s="130"/>
      <c r="G48" s="316">
        <f>ROUNDDOWN(N49,0)</f>
        <v>30</v>
      </c>
      <c r="H48" s="1200"/>
      <c r="I48" s="1128">
        <f>H48/$H$78</f>
        <v>0</v>
      </c>
      <c r="J48" s="317">
        <f>J60</f>
        <v>74</v>
      </c>
      <c r="K48" s="317">
        <f>K60</f>
        <v>7.12</v>
      </c>
      <c r="L48" s="317">
        <f>L60</f>
        <v>18.37</v>
      </c>
      <c r="M48" s="317">
        <f>K48+L48</f>
        <v>25.490000000000002</v>
      </c>
      <c r="N48" s="317">
        <f>M48+J48</f>
        <v>99.490000000000009</v>
      </c>
      <c r="O48" s="317">
        <f>$O$78/$J$78*J48</f>
        <v>0.22361633078409757</v>
      </c>
      <c r="P48" s="317">
        <f>$P$78/$J$78*J48</f>
        <v>2.0934747920073131</v>
      </c>
      <c r="Q48" s="317">
        <f>$Q$78/$J$78*J48</f>
        <v>64.361252326278958</v>
      </c>
      <c r="R48" s="317">
        <f>O48+P48+Q48</f>
        <v>66.678343449070368</v>
      </c>
      <c r="S48" s="317">
        <f>N48+R48</f>
        <v>166.16834344907039</v>
      </c>
      <c r="T48" s="1198"/>
      <c r="V48" s="193"/>
    </row>
    <row r="49" spans="2:22" ht="12" hidden="1" customHeight="1">
      <c r="B49" s="130"/>
      <c r="C49" s="308"/>
      <c r="E49" s="1129"/>
      <c r="F49" s="130"/>
      <c r="G49" s="318">
        <f>ROUNDDOWN(J48,0)</f>
        <v>74</v>
      </c>
      <c r="H49" s="1193"/>
      <c r="I49" s="1129"/>
      <c r="J49" s="319">
        <f t="shared" ref="J49:S49" si="7">ROUNDDOWN(J48*0.3025,2)</f>
        <v>22.38</v>
      </c>
      <c r="K49" s="319">
        <f t="shared" si="7"/>
        <v>2.15</v>
      </c>
      <c r="L49" s="319">
        <f t="shared" si="7"/>
        <v>5.55</v>
      </c>
      <c r="M49" s="319">
        <f t="shared" si="7"/>
        <v>7.71</v>
      </c>
      <c r="N49" s="319">
        <f t="shared" si="7"/>
        <v>30.09</v>
      </c>
      <c r="O49" s="319">
        <f t="shared" si="7"/>
        <v>0.06</v>
      </c>
      <c r="P49" s="319">
        <f t="shared" si="7"/>
        <v>0.63</v>
      </c>
      <c r="Q49" s="320">
        <f t="shared" si="7"/>
        <v>19.46</v>
      </c>
      <c r="R49" s="320">
        <f t="shared" si="7"/>
        <v>20.170000000000002</v>
      </c>
      <c r="S49" s="320">
        <f t="shared" si="7"/>
        <v>50.26</v>
      </c>
      <c r="T49" s="1198"/>
      <c r="V49" s="193"/>
    </row>
    <row r="50" spans="2:22" ht="12" customHeight="1">
      <c r="B50" s="1127"/>
      <c r="C50" s="1121"/>
      <c r="E50" s="1128">
        <f>H50/$H$52</f>
        <v>0.19148936170212766</v>
      </c>
      <c r="F50" s="130"/>
      <c r="G50" s="316">
        <f>ROUNDDOWN(N51,0)</f>
        <v>34</v>
      </c>
      <c r="H50" s="1200">
        <v>90</v>
      </c>
      <c r="I50" s="369">
        <f>H50/$H$78</f>
        <v>1.8761726078799251E-2</v>
      </c>
      <c r="J50" s="364">
        <f>J62</f>
        <v>84.95</v>
      </c>
      <c r="K50" s="364">
        <f>K62</f>
        <v>7.74</v>
      </c>
      <c r="L50" s="364">
        <f>L62</f>
        <v>22.4</v>
      </c>
      <c r="M50" s="364">
        <f>K50+L50</f>
        <v>30.14</v>
      </c>
      <c r="N50" s="364">
        <f>M50+J50</f>
        <v>115.09</v>
      </c>
      <c r="O50" s="364">
        <f>$O$78/$J$78*J50</f>
        <v>0.25670550405552822</v>
      </c>
      <c r="P50" s="364">
        <f>$P$78/$J$78*J50</f>
        <v>2.4032524808246118</v>
      </c>
      <c r="Q50" s="364">
        <f>$Q$78/$J$78*J50</f>
        <v>73.884978177262127</v>
      </c>
      <c r="R50" s="364">
        <f>O50+P50+Q50</f>
        <v>76.544936162142264</v>
      </c>
      <c r="S50" s="364">
        <f>N50+R50</f>
        <v>191.63493616214225</v>
      </c>
      <c r="T50" s="1198"/>
      <c r="V50" s="193"/>
    </row>
    <row r="51" spans="2:22" ht="12" customHeight="1">
      <c r="B51" s="1076"/>
      <c r="C51" s="1121"/>
      <c r="E51" s="1129"/>
      <c r="G51" s="318">
        <f>ROUNDDOWN(J50,0)</f>
        <v>84</v>
      </c>
      <c r="H51" s="1193"/>
      <c r="I51" s="373">
        <f>H50/$H$52</f>
        <v>0.19148936170212766</v>
      </c>
      <c r="J51" s="319">
        <f t="shared" ref="J51:S51" si="8">ROUNDDOWN(J50*0.3025,2)</f>
        <v>25.69</v>
      </c>
      <c r="K51" s="319">
        <f t="shared" si="8"/>
        <v>2.34</v>
      </c>
      <c r="L51" s="319">
        <f t="shared" si="8"/>
        <v>6.77</v>
      </c>
      <c r="M51" s="319">
        <f t="shared" si="8"/>
        <v>9.11</v>
      </c>
      <c r="N51" s="319">
        <f t="shared" si="8"/>
        <v>34.81</v>
      </c>
      <c r="O51" s="319">
        <f t="shared" si="8"/>
        <v>7.0000000000000007E-2</v>
      </c>
      <c r="P51" s="319">
        <f t="shared" si="8"/>
        <v>0.72</v>
      </c>
      <c r="Q51" s="320">
        <f t="shared" si="8"/>
        <v>22.35</v>
      </c>
      <c r="R51" s="320">
        <f t="shared" si="8"/>
        <v>23.15</v>
      </c>
      <c r="S51" s="320">
        <f t="shared" si="8"/>
        <v>57.96</v>
      </c>
      <c r="T51" s="1199"/>
      <c r="V51" s="193"/>
    </row>
    <row r="52" spans="2:22" ht="12" customHeight="1">
      <c r="B52" s="1127"/>
      <c r="C52" s="1121"/>
      <c r="E52" s="1201">
        <f>SUM(E42:E51)</f>
        <v>1</v>
      </c>
      <c r="G52" s="1239" t="s">
        <v>82</v>
      </c>
      <c r="H52" s="1204">
        <f>SUM(H36:H51)</f>
        <v>470</v>
      </c>
      <c r="I52" s="370">
        <f>I42+I46+I50</f>
        <v>9.7977902855951635E-2</v>
      </c>
      <c r="J52" s="365">
        <f>SUMPRODUCT(H36:H51,J36:J51)</f>
        <v>28526.5</v>
      </c>
      <c r="K52" s="365">
        <f>SUMPRODUCT(H36:H51,K36:K51)</f>
        <v>2653.6</v>
      </c>
      <c r="L52" s="365">
        <f>SUMPRODUCT(H36:H51,L36:L51)</f>
        <v>8894</v>
      </c>
      <c r="M52" s="365">
        <f>K52+L52</f>
        <v>11547.6</v>
      </c>
      <c r="N52" s="365">
        <f>J52+M52</f>
        <v>40074.1</v>
      </c>
      <c r="O52" s="365">
        <f>SUMPRODUCT(H36:H51,O36:O51)</f>
        <v>86.20258459611567</v>
      </c>
      <c r="P52" s="365">
        <f>SUMPRODUCT(H36:H51,P36:P51)</f>
        <v>807.02038721887334</v>
      </c>
      <c r="Q52" s="365">
        <f>SUMPRODUCT(H36:H51,Q36:Q51)</f>
        <v>24810.827898454008</v>
      </c>
      <c r="R52" s="365">
        <f>O52+P52+Q52</f>
        <v>25704.050870268999</v>
      </c>
      <c r="S52" s="365">
        <f>N52+R52</f>
        <v>65778.15087026899</v>
      </c>
      <c r="T52" s="1206"/>
    </row>
    <row r="53" spans="2:22" ht="12" customHeight="1">
      <c r="B53" s="1076"/>
      <c r="C53" s="1121"/>
      <c r="E53" s="1132"/>
      <c r="G53" s="1240"/>
      <c r="H53" s="1205"/>
      <c r="I53" s="376">
        <f>I43+I47+I51</f>
        <v>1</v>
      </c>
      <c r="J53" s="292">
        <f t="shared" ref="J53:S53" si="9">ROUNDDOWN(J52*0.3025,2)</f>
        <v>8629.26</v>
      </c>
      <c r="K53" s="292">
        <f t="shared" si="9"/>
        <v>802.71</v>
      </c>
      <c r="L53" s="292">
        <f t="shared" si="9"/>
        <v>2690.43</v>
      </c>
      <c r="M53" s="292">
        <f t="shared" si="9"/>
        <v>3493.14</v>
      </c>
      <c r="N53" s="292">
        <f t="shared" si="9"/>
        <v>12122.41</v>
      </c>
      <c r="O53" s="292">
        <f t="shared" si="9"/>
        <v>26.07</v>
      </c>
      <c r="P53" s="292">
        <f t="shared" si="9"/>
        <v>244.12</v>
      </c>
      <c r="Q53" s="292">
        <f t="shared" si="9"/>
        <v>7505.27</v>
      </c>
      <c r="R53" s="292">
        <f t="shared" si="9"/>
        <v>7775.47</v>
      </c>
      <c r="S53" s="292">
        <f t="shared" si="9"/>
        <v>19897.89</v>
      </c>
      <c r="T53" s="1207"/>
    </row>
    <row r="54" spans="2:22" ht="12" hidden="1" customHeight="1">
      <c r="B54" s="86"/>
      <c r="C54" s="1121"/>
      <c r="E54" s="937">
        <f>C54/$H$78</f>
        <v>0</v>
      </c>
      <c r="F54" s="1075"/>
      <c r="G54" s="86">
        <f>ROUNDDOWN(N55,0)</f>
        <v>17</v>
      </c>
      <c r="H54" s="935"/>
      <c r="I54" s="937">
        <f>H54/$H$78</f>
        <v>0</v>
      </c>
      <c r="J54" s="89">
        <v>39.96</v>
      </c>
      <c r="K54" s="89">
        <v>3.65</v>
      </c>
      <c r="L54" s="89">
        <v>14.8</v>
      </c>
      <c r="M54" s="89">
        <f>K54+L54</f>
        <v>18.45</v>
      </c>
      <c r="N54" s="89">
        <f>J54+M54</f>
        <v>58.41</v>
      </c>
      <c r="O54" s="89">
        <f>$O$78/$J$78*J54</f>
        <v>0.12075281862341269</v>
      </c>
      <c r="P54" s="89">
        <f>$P$78/$J$78*J54</f>
        <v>1.1304763876839492</v>
      </c>
      <c r="Q54" s="89">
        <f>$Q$78/$J$78*J54</f>
        <v>34.755076256190634</v>
      </c>
      <c r="R54" s="89">
        <f>O54+P54+Q54</f>
        <v>36.006305462497998</v>
      </c>
      <c r="S54" s="89">
        <f>N54+R54</f>
        <v>94.416305462498002</v>
      </c>
      <c r="T54" s="898" t="s">
        <v>137</v>
      </c>
    </row>
    <row r="55" spans="2:22" ht="12" hidden="1" customHeight="1">
      <c r="B55" s="87"/>
      <c r="C55" s="1121"/>
      <c r="E55" s="938"/>
      <c r="F55" s="1076"/>
      <c r="G55" s="87">
        <v>39</v>
      </c>
      <c r="H55" s="936"/>
      <c r="I55" s="938"/>
      <c r="J55" s="111">
        <f t="shared" ref="J55:S55" si="10">ROUNDDOWN(J54*0.3025,2)</f>
        <v>12.08</v>
      </c>
      <c r="K55" s="111">
        <f t="shared" si="10"/>
        <v>1.1000000000000001</v>
      </c>
      <c r="L55" s="111">
        <f t="shared" si="10"/>
        <v>4.47</v>
      </c>
      <c r="M55" s="111">
        <f t="shared" si="10"/>
        <v>5.58</v>
      </c>
      <c r="N55" s="111">
        <f t="shared" si="10"/>
        <v>17.66</v>
      </c>
      <c r="O55" s="111">
        <f t="shared" si="10"/>
        <v>0.03</v>
      </c>
      <c r="P55" s="111">
        <f t="shared" si="10"/>
        <v>0.34</v>
      </c>
      <c r="Q55" s="111">
        <f t="shared" si="10"/>
        <v>10.51</v>
      </c>
      <c r="R55" s="111">
        <f t="shared" si="10"/>
        <v>10.89</v>
      </c>
      <c r="S55" s="111">
        <f t="shared" si="10"/>
        <v>28.56</v>
      </c>
      <c r="T55" s="899"/>
    </row>
    <row r="56" spans="2:22" ht="12" customHeight="1">
      <c r="B56" s="88"/>
      <c r="C56" s="1121"/>
      <c r="E56" s="940">
        <f>H56/$H$76</f>
        <v>0.10862029119482321</v>
      </c>
      <c r="F56" s="1075"/>
      <c r="G56" s="88">
        <f>ROUNDDOWN(N57,0)</f>
        <v>21</v>
      </c>
      <c r="H56" s="1085">
        <v>470</v>
      </c>
      <c r="I56" s="372">
        <f>H56/$H$78</f>
        <v>9.7977902855951635E-2</v>
      </c>
      <c r="J56" s="366">
        <v>49.95</v>
      </c>
      <c r="K56" s="366">
        <v>4.5</v>
      </c>
      <c r="L56" s="366">
        <v>16.600000000000001</v>
      </c>
      <c r="M56" s="366">
        <f>K56+L56</f>
        <v>21.1</v>
      </c>
      <c r="N56" s="366">
        <f>M56+J56</f>
        <v>71.050000000000011</v>
      </c>
      <c r="O56" s="366">
        <f>$O$78/$J$78*J56</f>
        <v>0.15094102327926587</v>
      </c>
      <c r="P56" s="366">
        <f>$P$78/$J$78*J56</f>
        <v>1.4130954846049366</v>
      </c>
      <c r="Q56" s="366">
        <f>$Q$78/$J$78*J56</f>
        <v>43.443845320238296</v>
      </c>
      <c r="R56" s="366">
        <f>O56+P56+Q56</f>
        <v>45.0078818281225</v>
      </c>
      <c r="S56" s="366">
        <f>N56+R56</f>
        <v>116.0578818281225</v>
      </c>
      <c r="T56" s="899"/>
    </row>
    <row r="57" spans="2:22" ht="12" customHeight="1">
      <c r="B57" s="87"/>
      <c r="C57" s="1121"/>
      <c r="E57" s="938"/>
      <c r="F57" s="1076"/>
      <c r="G57" s="87">
        <f>ROUNDDOWN(J56,0)</f>
        <v>49</v>
      </c>
      <c r="H57" s="936"/>
      <c r="I57" s="374">
        <f>H56/$H$76</f>
        <v>0.10862029119482321</v>
      </c>
      <c r="J57" s="111">
        <f t="shared" ref="J57:S57" si="11">ROUNDDOWN(J56*0.3025,2)</f>
        <v>15.1</v>
      </c>
      <c r="K57" s="111">
        <f t="shared" si="11"/>
        <v>1.36</v>
      </c>
      <c r="L57" s="111">
        <f t="shared" si="11"/>
        <v>5.0199999999999996</v>
      </c>
      <c r="M57" s="111">
        <f t="shared" si="11"/>
        <v>6.38</v>
      </c>
      <c r="N57" s="111">
        <f t="shared" si="11"/>
        <v>21.49</v>
      </c>
      <c r="O57" s="111">
        <f t="shared" si="11"/>
        <v>0.04</v>
      </c>
      <c r="P57" s="111">
        <f t="shared" si="11"/>
        <v>0.42</v>
      </c>
      <c r="Q57" s="278">
        <f t="shared" si="11"/>
        <v>13.14</v>
      </c>
      <c r="R57" s="278">
        <f t="shared" si="11"/>
        <v>13.61</v>
      </c>
      <c r="S57" s="278">
        <f t="shared" si="11"/>
        <v>35.1</v>
      </c>
      <c r="T57" s="899"/>
    </row>
    <row r="58" spans="2:22" ht="12" customHeight="1">
      <c r="B58" s="88"/>
      <c r="C58" s="1121"/>
      <c r="E58" s="940">
        <f>H58/$H$76</f>
        <v>0.33510515368615668</v>
      </c>
      <c r="F58" s="1075"/>
      <c r="G58" s="88">
        <f>ROUNDDOWN(N59,0)</f>
        <v>25</v>
      </c>
      <c r="H58" s="939">
        <v>1450</v>
      </c>
      <c r="I58" s="372">
        <f>H58/$H$78</f>
        <v>0.30227225349176567</v>
      </c>
      <c r="J58" s="366">
        <v>59.95</v>
      </c>
      <c r="K58" s="366">
        <v>5.8</v>
      </c>
      <c r="L58" s="366">
        <v>19.600000000000001</v>
      </c>
      <c r="M58" s="366">
        <f>K58+L58</f>
        <v>25.400000000000002</v>
      </c>
      <c r="N58" s="366">
        <f>M58+J58</f>
        <v>85.350000000000009</v>
      </c>
      <c r="O58" s="366">
        <f>$O$78/$J$78*J58</f>
        <v>0.18115944635819797</v>
      </c>
      <c r="P58" s="366">
        <f>$P$78/$J$78*J58</f>
        <v>1.6959974835248437</v>
      </c>
      <c r="Q58" s="366">
        <f>$Q$78/$J$78*J58</f>
        <v>52.141311850816535</v>
      </c>
      <c r="R58" s="366">
        <f>O58+P58+Q58</f>
        <v>54.018468780699578</v>
      </c>
      <c r="S58" s="367">
        <f>N58+R58</f>
        <v>139.36846878069957</v>
      </c>
      <c r="T58" s="899"/>
    </row>
    <row r="59" spans="2:22" ht="12" customHeight="1">
      <c r="B59" s="87"/>
      <c r="C59" s="1121"/>
      <c r="E59" s="938"/>
      <c r="F59" s="1076"/>
      <c r="G59" s="87">
        <f>ROUNDDOWN(J58,0)</f>
        <v>59</v>
      </c>
      <c r="H59" s="936"/>
      <c r="I59" s="374">
        <f>H58/$H$76</f>
        <v>0.33510515368615668</v>
      </c>
      <c r="J59" s="111">
        <f t="shared" ref="J59:S59" si="12">ROUNDDOWN(J58*0.3025,2)</f>
        <v>18.13</v>
      </c>
      <c r="K59" s="111">
        <f t="shared" si="12"/>
        <v>1.75</v>
      </c>
      <c r="L59" s="111">
        <f t="shared" si="12"/>
        <v>5.92</v>
      </c>
      <c r="M59" s="111">
        <f t="shared" si="12"/>
        <v>7.68</v>
      </c>
      <c r="N59" s="111">
        <f t="shared" si="12"/>
        <v>25.81</v>
      </c>
      <c r="O59" s="111">
        <f t="shared" si="12"/>
        <v>0.05</v>
      </c>
      <c r="P59" s="111">
        <f t="shared" si="12"/>
        <v>0.51</v>
      </c>
      <c r="Q59" s="111">
        <f t="shared" si="12"/>
        <v>15.77</v>
      </c>
      <c r="R59" s="111">
        <f t="shared" si="12"/>
        <v>16.34</v>
      </c>
      <c r="S59" s="111">
        <f t="shared" si="12"/>
        <v>42.15</v>
      </c>
      <c r="T59" s="899"/>
    </row>
    <row r="60" spans="2:22" ht="12" customHeight="1">
      <c r="B60" s="88"/>
      <c r="C60" s="1121"/>
      <c r="E60" s="940">
        <f>H60/$H$76</f>
        <v>0.11555350127108852</v>
      </c>
      <c r="F60" s="1076"/>
      <c r="G60" s="88">
        <f>ROUNDDOWN(N61,0)</f>
        <v>30</v>
      </c>
      <c r="H60" s="939">
        <v>500</v>
      </c>
      <c r="I60" s="377">
        <f>H60/$H$78</f>
        <v>0.10423181154888472</v>
      </c>
      <c r="J60" s="366">
        <v>74</v>
      </c>
      <c r="K60" s="366">
        <v>7.12</v>
      </c>
      <c r="L60" s="366">
        <v>18.37</v>
      </c>
      <c r="M60" s="366">
        <f>K60+L60</f>
        <v>25.490000000000002</v>
      </c>
      <c r="N60" s="366">
        <f>J60+M60</f>
        <v>99.490000000000009</v>
      </c>
      <c r="O60" s="366">
        <f>$O$78/$J$78*J60</f>
        <v>0.22361633078409757</v>
      </c>
      <c r="P60" s="366">
        <f>$P$78/$J$78*J60</f>
        <v>2.0934747920073131</v>
      </c>
      <c r="Q60" s="366">
        <f>$Q$78/$J$78*J60</f>
        <v>64.361252326278958</v>
      </c>
      <c r="R60" s="366">
        <f>O60+P60+Q60</f>
        <v>66.678343449070368</v>
      </c>
      <c r="S60" s="366">
        <f>N60+R60</f>
        <v>166.16834344907039</v>
      </c>
      <c r="T60" s="899"/>
    </row>
    <row r="61" spans="2:22" ht="12" customHeight="1">
      <c r="B61" s="87"/>
      <c r="C61" s="1121"/>
      <c r="E61" s="938"/>
      <c r="F61" s="1076"/>
      <c r="G61" s="87">
        <f>ROUNDDOWN(J60,0)</f>
        <v>74</v>
      </c>
      <c r="H61" s="936"/>
      <c r="I61" s="374">
        <f>H60/$H$76</f>
        <v>0.11555350127108852</v>
      </c>
      <c r="J61" s="111">
        <f t="shared" ref="J61:S61" si="13">ROUNDDOWN(J60*0.3025,2)</f>
        <v>22.38</v>
      </c>
      <c r="K61" s="111">
        <f t="shared" si="13"/>
        <v>2.15</v>
      </c>
      <c r="L61" s="111">
        <f t="shared" si="13"/>
        <v>5.55</v>
      </c>
      <c r="M61" s="111">
        <f t="shared" si="13"/>
        <v>7.71</v>
      </c>
      <c r="N61" s="111">
        <f t="shared" si="13"/>
        <v>30.09</v>
      </c>
      <c r="O61" s="111">
        <f t="shared" si="13"/>
        <v>0.06</v>
      </c>
      <c r="P61" s="111">
        <f t="shared" si="13"/>
        <v>0.63</v>
      </c>
      <c r="Q61" s="111">
        <f t="shared" si="13"/>
        <v>19.46</v>
      </c>
      <c r="R61" s="111">
        <f t="shared" si="13"/>
        <v>20.170000000000002</v>
      </c>
      <c r="S61" s="111">
        <f t="shared" si="13"/>
        <v>50.26</v>
      </c>
      <c r="T61" s="899"/>
    </row>
    <row r="62" spans="2:22" ht="12" customHeight="1">
      <c r="B62" s="88"/>
      <c r="C62" s="1121"/>
      <c r="E62" s="940">
        <f>H62/$H$76</f>
        <v>0.3794776981742547</v>
      </c>
      <c r="F62" s="1075"/>
      <c r="G62" s="88">
        <f>ROUNDDOWN(N63,0)</f>
        <v>34</v>
      </c>
      <c r="H62" s="939">
        <v>1642</v>
      </c>
      <c r="I62" s="372">
        <f>H62/$H$78</f>
        <v>0.34229726912653741</v>
      </c>
      <c r="J62" s="366">
        <v>84.95</v>
      </c>
      <c r="K62" s="366">
        <v>7.74</v>
      </c>
      <c r="L62" s="366">
        <v>22.4</v>
      </c>
      <c r="M62" s="366">
        <f>K62+L62</f>
        <v>30.14</v>
      </c>
      <c r="N62" s="366">
        <f>J62+M62</f>
        <v>115.09</v>
      </c>
      <c r="O62" s="366">
        <f>$O$78/$J$78*J62</f>
        <v>0.25670550405552822</v>
      </c>
      <c r="P62" s="366">
        <f>$P$78/$J$78*J62</f>
        <v>2.4032524808246118</v>
      </c>
      <c r="Q62" s="366">
        <f>$Q$78/$J$78*J62</f>
        <v>73.884978177262127</v>
      </c>
      <c r="R62" s="366">
        <f>O62+P62+Q62</f>
        <v>76.544936162142264</v>
      </c>
      <c r="S62" s="366">
        <f>N62+R62</f>
        <v>191.63493616214225</v>
      </c>
      <c r="T62" s="899"/>
    </row>
    <row r="63" spans="2:22" ht="12" customHeight="1">
      <c r="B63" s="87"/>
      <c r="C63" s="1121"/>
      <c r="E63" s="938"/>
      <c r="F63" s="1076"/>
      <c r="G63" s="87">
        <f>ROUNDDOWN(J62,0)</f>
        <v>84</v>
      </c>
      <c r="H63" s="936"/>
      <c r="I63" s="374">
        <f>H62/$H$76</f>
        <v>0.3794776981742547</v>
      </c>
      <c r="J63" s="111">
        <f t="shared" ref="J63:S63" si="14">ROUNDDOWN(J62*0.3025,2)</f>
        <v>25.69</v>
      </c>
      <c r="K63" s="111">
        <f t="shared" si="14"/>
        <v>2.34</v>
      </c>
      <c r="L63" s="111">
        <f t="shared" si="14"/>
        <v>6.77</v>
      </c>
      <c r="M63" s="111">
        <f t="shared" si="14"/>
        <v>9.11</v>
      </c>
      <c r="N63" s="111">
        <f t="shared" si="14"/>
        <v>34.81</v>
      </c>
      <c r="O63" s="111">
        <f t="shared" si="14"/>
        <v>7.0000000000000007E-2</v>
      </c>
      <c r="P63" s="111">
        <f t="shared" si="14"/>
        <v>0.72</v>
      </c>
      <c r="Q63" s="111">
        <f t="shared" si="14"/>
        <v>22.35</v>
      </c>
      <c r="R63" s="111">
        <f t="shared" si="14"/>
        <v>23.15</v>
      </c>
      <c r="S63" s="111">
        <f t="shared" si="14"/>
        <v>57.96</v>
      </c>
      <c r="T63" s="899"/>
    </row>
    <row r="64" spans="2:22" ht="12" hidden="1" customHeight="1">
      <c r="B64" s="88"/>
      <c r="C64" s="1121"/>
      <c r="E64" s="940">
        <f>C64/$H$78</f>
        <v>0</v>
      </c>
      <c r="F64" s="1076"/>
      <c r="G64" s="88">
        <f>ROUNDDOWN(N65,0)</f>
        <v>40</v>
      </c>
      <c r="H64" s="939"/>
      <c r="I64" s="1210">
        <f>H64/$H$78</f>
        <v>0</v>
      </c>
      <c r="J64" s="90">
        <v>102.98</v>
      </c>
      <c r="K64" s="90">
        <v>8.7200000000000006</v>
      </c>
      <c r="L64" s="90">
        <v>22.8</v>
      </c>
      <c r="M64" s="90">
        <f>K64+L64</f>
        <v>31.520000000000003</v>
      </c>
      <c r="N64" s="90">
        <f>J64+M64</f>
        <v>134.5</v>
      </c>
      <c r="O64" s="90">
        <f>$O$78/$J$78*J64</f>
        <v>0.31118932086684281</v>
      </c>
      <c r="P64" s="90">
        <f>$P$78/$J$78*J64</f>
        <v>2.9133247848772044</v>
      </c>
      <c r="Q64" s="90">
        <f>$Q$78/$J$78*J64</f>
        <v>89.56651033189469</v>
      </c>
      <c r="R64" s="90">
        <f>O64+P64+Q64</f>
        <v>92.79102443763874</v>
      </c>
      <c r="S64" s="90">
        <f>N64+R64</f>
        <v>227.29102443763873</v>
      </c>
      <c r="T64" s="899"/>
    </row>
    <row r="65" spans="2:22" ht="12" hidden="1" customHeight="1">
      <c r="B65" s="272"/>
      <c r="C65" s="1121"/>
      <c r="E65" s="938"/>
      <c r="F65" s="838"/>
      <c r="G65" s="87">
        <f>ROUNDDOWN(J64,0)</f>
        <v>102</v>
      </c>
      <c r="H65" s="936"/>
      <c r="I65" s="1209"/>
      <c r="J65" s="111">
        <f t="shared" ref="J65:S65" si="15">ROUNDDOWN(J64*0.3025,2)</f>
        <v>31.15</v>
      </c>
      <c r="K65" s="111">
        <f t="shared" si="15"/>
        <v>2.63</v>
      </c>
      <c r="L65" s="111">
        <f t="shared" si="15"/>
        <v>6.89</v>
      </c>
      <c r="M65" s="111">
        <f t="shared" si="15"/>
        <v>9.5299999999999994</v>
      </c>
      <c r="N65" s="111">
        <f t="shared" si="15"/>
        <v>40.68</v>
      </c>
      <c r="O65" s="111">
        <f t="shared" si="15"/>
        <v>0.09</v>
      </c>
      <c r="P65" s="111">
        <f t="shared" si="15"/>
        <v>0.88</v>
      </c>
      <c r="Q65" s="111">
        <f t="shared" si="15"/>
        <v>27.09</v>
      </c>
      <c r="R65" s="111">
        <f t="shared" si="15"/>
        <v>28.06</v>
      </c>
      <c r="S65" s="111">
        <f t="shared" si="15"/>
        <v>68.75</v>
      </c>
      <c r="T65" s="899"/>
    </row>
    <row r="66" spans="2:22" ht="12" customHeight="1">
      <c r="B66" s="323"/>
      <c r="C66" s="308"/>
      <c r="E66" s="940">
        <f>H66/$H$76</f>
        <v>6.1243355673676912E-2</v>
      </c>
      <c r="F66" s="203"/>
      <c r="G66" s="88">
        <f>ROUNDDOWN(N67,0)</f>
        <v>46</v>
      </c>
      <c r="H66" s="939">
        <v>265</v>
      </c>
      <c r="I66" s="372">
        <f>H66/$H$78</f>
        <v>5.5242860120908899E-2</v>
      </c>
      <c r="J66" s="366">
        <v>120.95</v>
      </c>
      <c r="K66" s="366">
        <v>8.5</v>
      </c>
      <c r="L66" s="366">
        <v>25.5</v>
      </c>
      <c r="M66" s="366">
        <f>K66+L66</f>
        <v>34</v>
      </c>
      <c r="N66" s="366">
        <f>J66+M66</f>
        <v>154.94999999999999</v>
      </c>
      <c r="O66" s="366">
        <f>$O$78/$J$78*J66</f>
        <v>0.36549182713968381</v>
      </c>
      <c r="P66" s="366">
        <f>$P$78/$J$78*J66</f>
        <v>3.4216996769362775</v>
      </c>
      <c r="Q66" s="366">
        <f>$Q$78/$J$78*J66</f>
        <v>105.19585768734379</v>
      </c>
      <c r="R66" s="366">
        <f>O66+P66+Q66</f>
        <v>108.98304919141975</v>
      </c>
      <c r="S66" s="366">
        <f>N66+R66</f>
        <v>263.93304919141974</v>
      </c>
      <c r="T66" s="899"/>
    </row>
    <row r="67" spans="2:22" ht="12" customHeight="1">
      <c r="B67" s="323"/>
      <c r="C67" s="308"/>
      <c r="E67" s="938"/>
      <c r="F67" s="203"/>
      <c r="G67" s="87">
        <f>ROUNDDOWN(J66,0)</f>
        <v>120</v>
      </c>
      <c r="H67" s="936"/>
      <c r="I67" s="374">
        <f>H66/$H$76</f>
        <v>6.1243355673676912E-2</v>
      </c>
      <c r="J67" s="111">
        <f t="shared" ref="J67:S67" si="16">ROUNDDOWN(J66*0.3025,2)</f>
        <v>36.58</v>
      </c>
      <c r="K67" s="111">
        <f t="shared" si="16"/>
        <v>2.57</v>
      </c>
      <c r="L67" s="111">
        <f t="shared" si="16"/>
        <v>7.71</v>
      </c>
      <c r="M67" s="111">
        <f t="shared" si="16"/>
        <v>10.28</v>
      </c>
      <c r="N67" s="111">
        <f t="shared" si="16"/>
        <v>46.87</v>
      </c>
      <c r="O67" s="111">
        <f t="shared" si="16"/>
        <v>0.11</v>
      </c>
      <c r="P67" s="111">
        <f t="shared" si="16"/>
        <v>1.03</v>
      </c>
      <c r="Q67" s="111">
        <f t="shared" si="16"/>
        <v>31.82</v>
      </c>
      <c r="R67" s="111">
        <f t="shared" si="16"/>
        <v>32.96</v>
      </c>
      <c r="S67" s="111">
        <f t="shared" si="16"/>
        <v>79.83</v>
      </c>
      <c r="T67" s="899"/>
    </row>
    <row r="68" spans="2:22" ht="12" hidden="1" customHeight="1">
      <c r="B68" s="323"/>
      <c r="C68" s="308"/>
      <c r="E68" s="1084">
        <f>C68/$H$78</f>
        <v>0</v>
      </c>
      <c r="F68" s="203"/>
      <c r="G68" s="88">
        <f>ROUNDDOWN(N69,0)</f>
        <v>47</v>
      </c>
      <c r="H68" s="1085"/>
      <c r="I68" s="1084">
        <f>H68/$H$78</f>
        <v>0</v>
      </c>
      <c r="J68" s="90">
        <v>120.97</v>
      </c>
      <c r="K68" s="90">
        <v>10.72</v>
      </c>
      <c r="L68" s="90">
        <v>24.8</v>
      </c>
      <c r="M68" s="90">
        <f>K68+L68</f>
        <v>35.520000000000003</v>
      </c>
      <c r="N68" s="90">
        <f>J68+M68</f>
        <v>156.49</v>
      </c>
      <c r="O68" s="90">
        <f>$O$78/$J$78*J68</f>
        <v>0.36555226398584167</v>
      </c>
      <c r="P68" s="90">
        <f>$P$78/$J$78*J68</f>
        <v>3.4222654809341173</v>
      </c>
      <c r="Q68" s="90">
        <f>$Q$78/$J$78*J68</f>
        <v>105.21325262040493</v>
      </c>
      <c r="R68" s="90">
        <f>O68+P68+Q68</f>
        <v>109.00107036532489</v>
      </c>
      <c r="S68" s="90">
        <f>N68+R68</f>
        <v>265.4910703653249</v>
      </c>
      <c r="T68" s="899"/>
    </row>
    <row r="69" spans="2:22" ht="12" hidden="1" customHeight="1">
      <c r="B69" s="323"/>
      <c r="C69" s="308"/>
      <c r="E69" s="938"/>
      <c r="F69" s="203"/>
      <c r="G69" s="87">
        <f>ROUNDDOWN(J68,0)</f>
        <v>120</v>
      </c>
      <c r="H69" s="936"/>
      <c r="I69" s="938"/>
      <c r="J69" s="111">
        <f t="shared" ref="J69:S69" si="17">ROUNDDOWN(J68*0.3025,2)</f>
        <v>36.590000000000003</v>
      </c>
      <c r="K69" s="111">
        <f t="shared" si="17"/>
        <v>3.24</v>
      </c>
      <c r="L69" s="111">
        <f t="shared" si="17"/>
        <v>7.5</v>
      </c>
      <c r="M69" s="111">
        <f t="shared" si="17"/>
        <v>10.74</v>
      </c>
      <c r="N69" s="111">
        <f t="shared" si="17"/>
        <v>47.33</v>
      </c>
      <c r="O69" s="111">
        <f t="shared" si="17"/>
        <v>0.11</v>
      </c>
      <c r="P69" s="111">
        <f t="shared" si="17"/>
        <v>1.03</v>
      </c>
      <c r="Q69" s="111">
        <f t="shared" si="17"/>
        <v>31.82</v>
      </c>
      <c r="R69" s="111">
        <f t="shared" si="17"/>
        <v>32.97</v>
      </c>
      <c r="S69" s="111">
        <f t="shared" si="17"/>
        <v>80.31</v>
      </c>
      <c r="T69" s="899"/>
    </row>
    <row r="70" spans="2:22" ht="12" hidden="1" customHeight="1">
      <c r="B70" s="88"/>
      <c r="C70" s="1121"/>
      <c r="E70" s="1084">
        <f>C70/$H$78</f>
        <v>0</v>
      </c>
      <c r="F70" s="1211"/>
      <c r="G70" s="88">
        <f>ROUNDDOWN(N71,0)</f>
        <v>52</v>
      </c>
      <c r="H70" s="1085"/>
      <c r="I70" s="1084">
        <f>H70/$H$78</f>
        <v>0</v>
      </c>
      <c r="J70" s="90">
        <v>137.35</v>
      </c>
      <c r="K70" s="90">
        <v>11.28</v>
      </c>
      <c r="L70" s="90">
        <v>25.54</v>
      </c>
      <c r="M70" s="90">
        <f>K70+L70</f>
        <v>36.82</v>
      </c>
      <c r="N70" s="90">
        <f>J70+M70</f>
        <v>174.17</v>
      </c>
      <c r="O70" s="90">
        <f>$O$78/$J$78*J70</f>
        <v>0.4150500409891324</v>
      </c>
      <c r="P70" s="90">
        <f>$P$78/$J$78*J70</f>
        <v>3.8856589551649252</v>
      </c>
      <c r="Q70" s="90">
        <f>$Q$78/$J$78*J70</f>
        <v>119.45970279749208</v>
      </c>
      <c r="R70" s="90">
        <f>O70+P70+Q70</f>
        <v>123.76041179364614</v>
      </c>
      <c r="S70" s="90">
        <f>N70+R70</f>
        <v>297.93041179364616</v>
      </c>
      <c r="T70" s="899"/>
    </row>
    <row r="71" spans="2:22" ht="12" hidden="1" customHeight="1">
      <c r="B71" s="87"/>
      <c r="C71" s="1121"/>
      <c r="E71" s="938"/>
      <c r="F71" s="838"/>
      <c r="G71" s="87">
        <f>ROUNDDOWN(J70,0)</f>
        <v>137</v>
      </c>
      <c r="H71" s="936"/>
      <c r="I71" s="938"/>
      <c r="J71" s="111">
        <f t="shared" ref="J71:S71" si="18">ROUNDDOWN(J70*0.3025,2)</f>
        <v>41.54</v>
      </c>
      <c r="K71" s="111">
        <f t="shared" si="18"/>
        <v>3.41</v>
      </c>
      <c r="L71" s="111">
        <f t="shared" si="18"/>
        <v>7.72</v>
      </c>
      <c r="M71" s="111">
        <f t="shared" si="18"/>
        <v>11.13</v>
      </c>
      <c r="N71" s="111">
        <f t="shared" si="18"/>
        <v>52.68</v>
      </c>
      <c r="O71" s="111">
        <f t="shared" si="18"/>
        <v>0.12</v>
      </c>
      <c r="P71" s="111">
        <f t="shared" si="18"/>
        <v>1.17</v>
      </c>
      <c r="Q71" s="111">
        <f t="shared" si="18"/>
        <v>36.130000000000003</v>
      </c>
      <c r="R71" s="111">
        <f t="shared" si="18"/>
        <v>37.43</v>
      </c>
      <c r="S71" s="111">
        <f t="shared" si="18"/>
        <v>90.12</v>
      </c>
      <c r="T71" s="899"/>
    </row>
    <row r="72" spans="2:22" ht="12" hidden="1" customHeight="1">
      <c r="B72" s="324"/>
      <c r="C72" s="308"/>
      <c r="E72" s="940" t="e">
        <f>C72/$H$75</f>
        <v>#DIV/0!</v>
      </c>
      <c r="F72" s="203"/>
      <c r="G72" s="88">
        <f>ROUNDDOWN(N73,0)</f>
        <v>62</v>
      </c>
      <c r="H72" s="939"/>
      <c r="I72" s="940" t="e">
        <f>H72/$H$75</f>
        <v>#DIV/0!</v>
      </c>
      <c r="J72" s="90">
        <v>165.89</v>
      </c>
      <c r="K72" s="90">
        <v>13.45</v>
      </c>
      <c r="L72" s="90">
        <v>26.42</v>
      </c>
      <c r="M72" s="90">
        <f>K72+L72</f>
        <v>39.870000000000005</v>
      </c>
      <c r="N72" s="90">
        <f>J72+M72</f>
        <v>205.76</v>
      </c>
      <c r="O72" s="90">
        <f>$O$75/$J$75*J72</f>
        <v>0.48287642233395078</v>
      </c>
      <c r="P72" s="90">
        <f>$P$75/$J$75*J72</f>
        <v>4.6531727970362526</v>
      </c>
      <c r="Q72" s="90">
        <f>$Q$75/$J$75*J72</f>
        <v>144.29225456469962</v>
      </c>
      <c r="R72" s="90">
        <f>O72+P72+Q72</f>
        <v>149.42830378406981</v>
      </c>
      <c r="S72" s="90">
        <f>N72+R72</f>
        <v>355.18830378406983</v>
      </c>
      <c r="T72" s="899"/>
    </row>
    <row r="73" spans="2:22" ht="12" hidden="1" customHeight="1">
      <c r="B73" s="324"/>
      <c r="C73" s="308"/>
      <c r="E73" s="938"/>
      <c r="F73" s="203"/>
      <c r="G73" s="87">
        <f>ROUNDDOWN(J72,0)</f>
        <v>165</v>
      </c>
      <c r="H73" s="936"/>
      <c r="I73" s="938"/>
      <c r="J73" s="111">
        <f t="shared" ref="J73:S73" si="19">ROUNDDOWN(J72*0.3025,2)</f>
        <v>50.18</v>
      </c>
      <c r="K73" s="111">
        <f t="shared" si="19"/>
        <v>4.0599999999999996</v>
      </c>
      <c r="L73" s="111">
        <f t="shared" si="19"/>
        <v>7.99</v>
      </c>
      <c r="M73" s="111">
        <f t="shared" si="19"/>
        <v>12.06</v>
      </c>
      <c r="N73" s="111">
        <f t="shared" si="19"/>
        <v>62.24</v>
      </c>
      <c r="O73" s="111">
        <f t="shared" si="19"/>
        <v>0.14000000000000001</v>
      </c>
      <c r="P73" s="111">
        <f t="shared" si="19"/>
        <v>1.4</v>
      </c>
      <c r="Q73" s="111">
        <f t="shared" si="19"/>
        <v>43.64</v>
      </c>
      <c r="R73" s="111">
        <f t="shared" si="19"/>
        <v>45.2</v>
      </c>
      <c r="S73" s="111">
        <f t="shared" si="19"/>
        <v>107.44</v>
      </c>
      <c r="T73" s="899"/>
    </row>
    <row r="74" spans="2:22" ht="12" hidden="1" customHeight="1">
      <c r="B74" s="88"/>
      <c r="C74" s="1121"/>
      <c r="E74" s="940">
        <f>C74/$H$78</f>
        <v>0</v>
      </c>
      <c r="F74" s="838"/>
      <c r="G74" s="88">
        <f>ROUNDDOWN(N75,0)</f>
        <v>49</v>
      </c>
      <c r="H74" s="939"/>
      <c r="I74" s="940">
        <f>H74/$H$78</f>
        <v>0</v>
      </c>
      <c r="J74" s="90">
        <v>124.94</v>
      </c>
      <c r="K74" s="90">
        <v>11.85</v>
      </c>
      <c r="L74" s="90">
        <v>27.85</v>
      </c>
      <c r="M74" s="90">
        <f>K74+L74</f>
        <v>39.700000000000003</v>
      </c>
      <c r="N74" s="90">
        <f>J74+M74</f>
        <v>164.64</v>
      </c>
      <c r="O74" s="90">
        <f>$O$78/$J$78*J74</f>
        <v>0.37754897794817771</v>
      </c>
      <c r="P74" s="90">
        <f>$P$78/$J$78*J74</f>
        <v>3.5345775745053203</v>
      </c>
      <c r="Q74" s="90">
        <f>$Q$78/$J$78*J74</f>
        <v>108.66614683304449</v>
      </c>
      <c r="R74" s="90">
        <f>O74+P74+Q74</f>
        <v>112.57827338549799</v>
      </c>
      <c r="S74" s="90">
        <f>N74+R74</f>
        <v>277.21827338549798</v>
      </c>
      <c r="T74" s="899"/>
      <c r="V74" s="173">
        <f>N52+N76</f>
        <v>477009.63</v>
      </c>
    </row>
    <row r="75" spans="2:22" ht="12" hidden="1" customHeight="1">
      <c r="B75" s="87"/>
      <c r="C75" s="1121"/>
      <c r="E75" s="938"/>
      <c r="F75" s="838"/>
      <c r="G75" s="273">
        <f>ROUNDDOWN(J74,0)</f>
        <v>124</v>
      </c>
      <c r="H75" s="936"/>
      <c r="I75" s="938"/>
      <c r="J75" s="111">
        <f t="shared" ref="J75:S75" si="20">ROUNDDOWN(J74*0.3025,2)</f>
        <v>37.79</v>
      </c>
      <c r="K75" s="111">
        <f t="shared" si="20"/>
        <v>3.58</v>
      </c>
      <c r="L75" s="111">
        <f t="shared" si="20"/>
        <v>8.42</v>
      </c>
      <c r="M75" s="111">
        <f t="shared" si="20"/>
        <v>12</v>
      </c>
      <c r="N75" s="111">
        <f t="shared" si="20"/>
        <v>49.8</v>
      </c>
      <c r="O75" s="111">
        <f t="shared" si="20"/>
        <v>0.11</v>
      </c>
      <c r="P75" s="111">
        <f t="shared" si="20"/>
        <v>1.06</v>
      </c>
      <c r="Q75" s="111">
        <f t="shared" si="20"/>
        <v>32.869999999999997</v>
      </c>
      <c r="R75" s="111">
        <f t="shared" si="20"/>
        <v>34.049999999999997</v>
      </c>
      <c r="S75" s="111">
        <f t="shared" si="20"/>
        <v>83.85</v>
      </c>
      <c r="T75" s="899"/>
      <c r="V75" s="144">
        <f>R52+R76</f>
        <v>313091</v>
      </c>
    </row>
    <row r="76" spans="2:22" ht="12" customHeight="1">
      <c r="B76" s="130"/>
      <c r="C76" s="130"/>
      <c r="E76" s="1131">
        <f>E56+E58+E60+E62+E66</f>
        <v>1</v>
      </c>
      <c r="F76" s="77"/>
      <c r="G76" s="1239" t="s">
        <v>82</v>
      </c>
      <c r="H76" s="1219">
        <f>SUM(H54:H75)</f>
        <v>4327</v>
      </c>
      <c r="I76" s="371">
        <f>I56+I58+I60+I62+I66</f>
        <v>0.90202209714404846</v>
      </c>
      <c r="J76" s="365">
        <f>SUMPRODUCT(H54:H75,J54:J75)</f>
        <v>318943.65000000002</v>
      </c>
      <c r="K76" s="365">
        <f>SUMPRODUCT(H54:H75,K54:K75)</f>
        <v>29046.58</v>
      </c>
      <c r="L76" s="365">
        <f>SUMPRODUCT(H54:H75,L54:L75)</f>
        <v>88945.3</v>
      </c>
      <c r="M76" s="365">
        <f>K76+L76</f>
        <v>117991.88</v>
      </c>
      <c r="N76" s="365">
        <f>J76+M76</f>
        <v>436935.53</v>
      </c>
      <c r="O76" s="365">
        <f>SUMPRODUCT(H54:H75,O54:O75)</f>
        <v>963.79741540388443</v>
      </c>
      <c r="P76" s="365">
        <f>SUMPRODUCT(H54:H75,P54:P75)</f>
        <v>9022.979612781126</v>
      </c>
      <c r="Q76" s="365">
        <f>SUMPRODUCT(H54:H75,Q54:Q75)</f>
        <v>277400.17210154596</v>
      </c>
      <c r="R76" s="365">
        <f>O76+P76+Q76</f>
        <v>287386.94912973099</v>
      </c>
      <c r="S76" s="365">
        <f>N76+R76</f>
        <v>724322.47912973096</v>
      </c>
      <c r="T76" s="1220"/>
      <c r="V76" s="173">
        <f>S52+S76</f>
        <v>790100.62999999989</v>
      </c>
    </row>
    <row r="77" spans="2:22" ht="12" customHeight="1">
      <c r="E77" s="1132"/>
      <c r="F77" s="77"/>
      <c r="G77" s="1240"/>
      <c r="H77" s="1205"/>
      <c r="I77" s="375">
        <f>H76/$H$76</f>
        <v>1</v>
      </c>
      <c r="J77" s="292">
        <f t="shared" ref="J77:S77" si="21">ROUNDDOWN(J76*0.3025,2)</f>
        <v>96480.45</v>
      </c>
      <c r="K77" s="292">
        <f t="shared" si="21"/>
        <v>8786.59</v>
      </c>
      <c r="L77" s="292">
        <f t="shared" si="21"/>
        <v>26905.95</v>
      </c>
      <c r="M77" s="292">
        <f t="shared" si="21"/>
        <v>35692.54</v>
      </c>
      <c r="N77" s="292">
        <f t="shared" si="21"/>
        <v>132172.99</v>
      </c>
      <c r="O77" s="292">
        <f t="shared" si="21"/>
        <v>291.54000000000002</v>
      </c>
      <c r="P77" s="292">
        <f t="shared" si="21"/>
        <v>2729.45</v>
      </c>
      <c r="Q77" s="292">
        <f t="shared" si="21"/>
        <v>83913.55</v>
      </c>
      <c r="R77" s="292">
        <f t="shared" si="21"/>
        <v>86934.55</v>
      </c>
      <c r="S77" s="292">
        <f t="shared" si="21"/>
        <v>219107.54</v>
      </c>
      <c r="T77" s="1207"/>
    </row>
    <row r="78" spans="2:22" ht="17.25" customHeight="1">
      <c r="C78" s="1212"/>
      <c r="D78" s="940"/>
      <c r="F78" s="77"/>
      <c r="G78" s="1213" t="s">
        <v>69</v>
      </c>
      <c r="H78" s="1215">
        <f>H52+H76</f>
        <v>4797</v>
      </c>
      <c r="I78" s="1217">
        <f>I52+I76</f>
        <v>1</v>
      </c>
      <c r="J78" s="368">
        <f>J52+J76</f>
        <v>347470.15</v>
      </c>
      <c r="K78" s="368">
        <f>K52+K76</f>
        <v>31700.18</v>
      </c>
      <c r="L78" s="368">
        <f>L52+L76</f>
        <v>97839.3</v>
      </c>
      <c r="M78" s="368">
        <f>K78+L78</f>
        <v>129539.48000000001</v>
      </c>
      <c r="N78" s="368">
        <f>J78+M78</f>
        <v>477009.63</v>
      </c>
      <c r="O78" s="368">
        <v>1050</v>
      </c>
      <c r="P78" s="368">
        <f>R6+R7+R8+R9+R10+R11+R12</f>
        <v>9830</v>
      </c>
      <c r="Q78" s="368">
        <f>(R18*V17)</f>
        <v>302211</v>
      </c>
      <c r="R78" s="368">
        <f>O78+P78+Q78</f>
        <v>313091</v>
      </c>
      <c r="S78" s="368">
        <f>N78+R78</f>
        <v>790100.63</v>
      </c>
      <c r="T78" s="358"/>
    </row>
    <row r="79" spans="2:22" ht="17.25" customHeight="1">
      <c r="C79" s="1076"/>
      <c r="D79" s="938"/>
      <c r="F79" s="77"/>
      <c r="G79" s="1214"/>
      <c r="H79" s="1216"/>
      <c r="I79" s="1218"/>
      <c r="J79" s="359">
        <f t="shared" ref="J79:S79" si="22">ROUNDDOWN(J78*0.3025,2)</f>
        <v>105109.72</v>
      </c>
      <c r="K79" s="359">
        <f t="shared" si="22"/>
        <v>9589.2999999999993</v>
      </c>
      <c r="L79" s="359">
        <f t="shared" si="22"/>
        <v>29596.38</v>
      </c>
      <c r="M79" s="359">
        <f t="shared" si="22"/>
        <v>39185.69</v>
      </c>
      <c r="N79" s="359">
        <f t="shared" si="22"/>
        <v>144295.41</v>
      </c>
      <c r="O79" s="359">
        <f t="shared" si="22"/>
        <v>317.62</v>
      </c>
      <c r="P79" s="359">
        <f t="shared" si="22"/>
        <v>2973.57</v>
      </c>
      <c r="Q79" s="359">
        <f t="shared" si="22"/>
        <v>91418.82</v>
      </c>
      <c r="R79" s="359">
        <f t="shared" si="22"/>
        <v>94710.02</v>
      </c>
      <c r="S79" s="359">
        <f t="shared" si="22"/>
        <v>239005.44</v>
      </c>
      <c r="T79" s="360"/>
    </row>
    <row r="80" spans="2:22" ht="6" customHeight="1">
      <c r="F80" s="77"/>
      <c r="G80" s="1046"/>
      <c r="H80" s="1047"/>
      <c r="I80" s="1047"/>
      <c r="J80" s="1047"/>
      <c r="K80" s="1047"/>
      <c r="L80" s="1047"/>
      <c r="M80" s="1047"/>
      <c r="N80" s="1047"/>
      <c r="O80" s="1047"/>
      <c r="P80" s="1047"/>
      <c r="Q80" s="1047"/>
      <c r="R80" s="1047"/>
      <c r="S80" s="1047"/>
      <c r="T80" s="1048"/>
    </row>
    <row r="81" spans="4:43" ht="18" customHeight="1">
      <c r="D81" s="321"/>
      <c r="F81" s="77"/>
      <c r="G81" s="951" t="s">
        <v>87</v>
      </c>
      <c r="H81" s="951"/>
      <c r="I81" s="951"/>
      <c r="J81" s="951"/>
      <c r="K81" s="951"/>
      <c r="L81" s="951"/>
      <c r="M81" s="951"/>
      <c r="N81" s="951"/>
      <c r="O81" s="951"/>
      <c r="P81" s="951"/>
      <c r="Q81" s="951"/>
      <c r="R81" s="951"/>
      <c r="S81" s="951"/>
      <c r="T81" s="952"/>
    </row>
    <row r="82" spans="4:43" s="6" customFormat="1" ht="14.1" customHeight="1">
      <c r="E82" s="322"/>
      <c r="F82" s="79"/>
      <c r="G82" s="984" t="s">
        <v>16</v>
      </c>
      <c r="H82" s="985"/>
      <c r="I82" s="986" t="s">
        <v>7</v>
      </c>
      <c r="J82" s="987"/>
      <c r="K82" s="986" t="s">
        <v>217</v>
      </c>
      <c r="L82" s="987"/>
      <c r="M82" s="986" t="s">
        <v>162</v>
      </c>
      <c r="N82" s="987"/>
      <c r="O82" s="85" t="s">
        <v>218</v>
      </c>
      <c r="P82" s="85" t="s">
        <v>32</v>
      </c>
      <c r="Q82" s="1044" t="s">
        <v>73</v>
      </c>
      <c r="R82" s="1045"/>
      <c r="S82" s="1051" t="s">
        <v>74</v>
      </c>
      <c r="T82" s="1052"/>
    </row>
    <row r="83" spans="4:43" s="6" customFormat="1" ht="14.1" hidden="1" customHeight="1">
      <c r="F83" s="79"/>
      <c r="G83" s="1032" t="s">
        <v>50</v>
      </c>
      <c r="H83" s="1033"/>
      <c r="I83" s="1049">
        <f>M83*0.7</f>
        <v>0</v>
      </c>
      <c r="J83" s="1050"/>
      <c r="K83" s="1049">
        <f>M83*0.3</f>
        <v>0</v>
      </c>
      <c r="L83" s="1050"/>
      <c r="M83" s="1049">
        <v>0</v>
      </c>
      <c r="N83" s="1050"/>
      <c r="O83" s="58">
        <f>M83*0.15</f>
        <v>0</v>
      </c>
      <c r="P83" s="59" t="e">
        <f>#REF!*42</f>
        <v>#REF!</v>
      </c>
      <c r="Q83" s="988" t="e">
        <f>SUM(M83:P83)</f>
        <v>#REF!</v>
      </c>
      <c r="R83" s="989"/>
      <c r="S83" s="990"/>
      <c r="T83" s="991"/>
    </row>
    <row r="84" spans="4:43" s="6" customFormat="1" ht="14.1" hidden="1" customHeight="1">
      <c r="F84" s="79"/>
      <c r="G84" s="1034"/>
      <c r="H84" s="1035"/>
      <c r="I84" s="992">
        <f t="shared" ref="I84:I86" si="23">I83*0.3025</f>
        <v>0</v>
      </c>
      <c r="J84" s="993"/>
      <c r="K84" s="992">
        <f>K83*0.3025</f>
        <v>0</v>
      </c>
      <c r="L84" s="993"/>
      <c r="M84" s="1038">
        <f>M83*0.3025</f>
        <v>0</v>
      </c>
      <c r="N84" s="1039"/>
      <c r="O84" s="9">
        <f t="shared" ref="O84:O90" si="24">O83*0.3025</f>
        <v>0</v>
      </c>
      <c r="P84" s="60" t="e">
        <f>P83*0.3025</f>
        <v>#REF!</v>
      </c>
      <c r="Q84" s="1040" t="e">
        <f>Q83*0.3025</f>
        <v>#REF!</v>
      </c>
      <c r="R84" s="1041"/>
      <c r="S84" s="1042"/>
      <c r="T84" s="1043"/>
    </row>
    <row r="85" spans="4:43" s="6" customFormat="1" ht="14.1" customHeight="1">
      <c r="F85" s="79"/>
      <c r="G85" s="996" t="s">
        <v>38</v>
      </c>
      <c r="H85" s="1001" t="s">
        <v>45</v>
      </c>
      <c r="I85" s="1057">
        <f>M85*0.7</f>
        <v>840</v>
      </c>
      <c r="J85" s="1000"/>
      <c r="K85" s="999">
        <f>M85*0.3</f>
        <v>360</v>
      </c>
      <c r="L85" s="1000"/>
      <c r="M85" s="1058">
        <v>1200</v>
      </c>
      <c r="N85" s="1059"/>
      <c r="O85" s="91">
        <v>0</v>
      </c>
      <c r="P85" s="91">
        <v>0</v>
      </c>
      <c r="Q85" s="1017">
        <f>SUM(M85:P85)</f>
        <v>1200</v>
      </c>
      <c r="R85" s="1018"/>
      <c r="S85" s="1019"/>
      <c r="T85" s="1020"/>
      <c r="U85" s="7"/>
      <c r="V85" s="7"/>
      <c r="W85" s="7"/>
      <c r="X85" s="8"/>
    </row>
    <row r="86" spans="4:43" s="6" customFormat="1" ht="14.1" customHeight="1">
      <c r="F86" s="79"/>
      <c r="G86" s="997"/>
      <c r="H86" s="1002"/>
      <c r="I86" s="1021">
        <f t="shared" si="23"/>
        <v>254.1</v>
      </c>
      <c r="J86" s="1022"/>
      <c r="K86" s="1023">
        <f>K85*0.3025</f>
        <v>108.89999999999999</v>
      </c>
      <c r="L86" s="1022"/>
      <c r="M86" s="1024">
        <f>M85*0.3025</f>
        <v>363</v>
      </c>
      <c r="N86" s="1025"/>
      <c r="O86" s="92">
        <f>O85*0.3025</f>
        <v>0</v>
      </c>
      <c r="P86" s="92">
        <f>P85*0.3025</f>
        <v>0</v>
      </c>
      <c r="Q86" s="1024">
        <f>Q85*0.3025</f>
        <v>363</v>
      </c>
      <c r="R86" s="1025"/>
      <c r="S86" s="1026"/>
      <c r="T86" s="1027"/>
      <c r="U86" s="7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spans="4:43" s="6" customFormat="1" ht="14.1" customHeight="1">
      <c r="F87" s="79"/>
      <c r="G87" s="997"/>
      <c r="H87" s="1077" t="s">
        <v>46</v>
      </c>
      <c r="I87" s="1057">
        <f>M87*0.7</f>
        <v>2800</v>
      </c>
      <c r="J87" s="1000"/>
      <c r="K87" s="999">
        <f>M87*0.3</f>
        <v>1200</v>
      </c>
      <c r="L87" s="1000"/>
      <c r="M87" s="1058">
        <v>4000</v>
      </c>
      <c r="N87" s="1059"/>
      <c r="O87" s="93">
        <f>O89</f>
        <v>900</v>
      </c>
      <c r="P87" s="97">
        <f>R24*V17</f>
        <v>2310</v>
      </c>
      <c r="Q87" s="1058">
        <f>SUM(M87:P87)</f>
        <v>7210</v>
      </c>
      <c r="R87" s="1059"/>
      <c r="S87" s="1060"/>
      <c r="T87" s="1061"/>
      <c r="U87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spans="4:43" ht="14.1" customHeight="1">
      <c r="F88" s="77"/>
      <c r="G88" s="998"/>
      <c r="H88" s="1078"/>
      <c r="I88" s="1062">
        <f t="shared" ref="I88" si="25">I87*0.3025</f>
        <v>847</v>
      </c>
      <c r="J88" s="1063"/>
      <c r="K88" s="1064">
        <f>K87*0.3025</f>
        <v>363</v>
      </c>
      <c r="L88" s="1063"/>
      <c r="M88" s="1065">
        <f>M87*0.3025</f>
        <v>1210</v>
      </c>
      <c r="N88" s="1066"/>
      <c r="O88" s="94">
        <f>O87*0.3025</f>
        <v>272.25</v>
      </c>
      <c r="P88" s="98">
        <f>P87*0.3025</f>
        <v>698.77499999999998</v>
      </c>
      <c r="Q88" s="1065">
        <f>Q87*0.3025</f>
        <v>2181.0250000000001</v>
      </c>
      <c r="R88" s="1066"/>
      <c r="S88" s="1067"/>
      <c r="T88" s="1068"/>
      <c r="U88"/>
      <c r="AQ88" s="6"/>
    </row>
    <row r="89" spans="4:43" ht="14.1" customHeight="1">
      <c r="F89" s="77"/>
      <c r="G89" s="1225" t="s">
        <v>69</v>
      </c>
      <c r="H89" s="1226"/>
      <c r="I89" s="1229">
        <f>M89*0.7</f>
        <v>3639.9999999999995</v>
      </c>
      <c r="J89" s="1230"/>
      <c r="K89" s="1231">
        <f>M89*0.3</f>
        <v>1560</v>
      </c>
      <c r="L89" s="1230"/>
      <c r="M89" s="1231">
        <f>M85+M87</f>
        <v>5200</v>
      </c>
      <c r="N89" s="1230"/>
      <c r="O89" s="293">
        <v>900</v>
      </c>
      <c r="P89" s="293">
        <f>P87</f>
        <v>2310</v>
      </c>
      <c r="Q89" s="1232">
        <f>SUM(M89:P89)</f>
        <v>8410</v>
      </c>
      <c r="R89" s="1233"/>
      <c r="S89" s="1234"/>
      <c r="T89" s="1235"/>
      <c r="U89" s="6"/>
      <c r="AQ89" s="6"/>
    </row>
    <row r="90" spans="4:43" ht="14.1" customHeight="1">
      <c r="F90" s="77"/>
      <c r="G90" s="1227"/>
      <c r="H90" s="1228"/>
      <c r="I90" s="1236">
        <f t="shared" ref="I90" si="26">I89*0.3025</f>
        <v>1101.0999999999999</v>
      </c>
      <c r="J90" s="1237"/>
      <c r="K90" s="1238">
        <f>K89*0.3025</f>
        <v>471.9</v>
      </c>
      <c r="L90" s="1237"/>
      <c r="M90" s="1221">
        <f>M89*0.3025</f>
        <v>1573</v>
      </c>
      <c r="N90" s="1222"/>
      <c r="O90" s="294">
        <f t="shared" si="24"/>
        <v>272.25</v>
      </c>
      <c r="P90" s="295">
        <f>P89*0.3025</f>
        <v>698.77499999999998</v>
      </c>
      <c r="Q90" s="1221">
        <f>Q89*0.3025</f>
        <v>2544.0250000000001</v>
      </c>
      <c r="R90" s="1222"/>
      <c r="S90" s="1223"/>
      <c r="T90" s="1224"/>
      <c r="U90" s="7"/>
      <c r="AQ90" s="6"/>
    </row>
    <row r="91" spans="4:43" ht="14.1" customHeight="1">
      <c r="Q91" s="5"/>
      <c r="R91" s="5"/>
      <c r="S91" s="5"/>
      <c r="T91" s="6"/>
      <c r="U91" s="6"/>
      <c r="AQ91" s="6"/>
    </row>
    <row r="92" spans="4:43" ht="14.1" customHeight="1">
      <c r="J92" s="2">
        <f>H56*J56+J58*H58+H60*J60+J62*H62+H66*J66</f>
        <v>318943.65000000002</v>
      </c>
      <c r="K92" s="2">
        <f>H56*K56+K58*H58+H60*K60+K62*H62+H66*K66</f>
        <v>29046.58</v>
      </c>
      <c r="T92" s="6"/>
      <c r="U92" s="6"/>
      <c r="AQ92" s="6"/>
    </row>
    <row r="93" spans="4:43" ht="14.1" customHeight="1">
      <c r="T93" s="6"/>
      <c r="U93" s="6"/>
      <c r="AQ93" s="6"/>
    </row>
    <row r="94" spans="4:43" ht="14.1" customHeight="1">
      <c r="T94" s="6"/>
      <c r="U94" s="6"/>
      <c r="AQ94" s="6"/>
    </row>
    <row r="95" spans="4:43" ht="14.1" customHeight="1">
      <c r="H95" s="11">
        <f>H38+H58</f>
        <v>1450</v>
      </c>
      <c r="I95" s="145">
        <f>I38+I58</f>
        <v>0.30227225349176567</v>
      </c>
      <c r="M95" s="144">
        <f t="shared" ref="M95:S95" si="27">M52+M76</f>
        <v>129539.48000000001</v>
      </c>
      <c r="N95" s="144">
        <f t="shared" si="27"/>
        <v>477009.63</v>
      </c>
      <c r="O95" s="144">
        <f t="shared" si="27"/>
        <v>1050</v>
      </c>
      <c r="P95" s="144">
        <f t="shared" si="27"/>
        <v>9830</v>
      </c>
      <c r="Q95" s="144">
        <f t="shared" si="27"/>
        <v>302211</v>
      </c>
      <c r="R95" s="144">
        <f t="shared" si="27"/>
        <v>313091</v>
      </c>
      <c r="S95" s="144">
        <f t="shared" si="27"/>
        <v>790100.62999999989</v>
      </c>
      <c r="T95" s="6"/>
      <c r="U95" s="6"/>
      <c r="AQ95" s="6"/>
    </row>
    <row r="96" spans="4:43" ht="14.1" customHeight="1">
      <c r="H96" s="11">
        <f>H58+H60+H64</f>
        <v>1950</v>
      </c>
      <c r="AQ96" s="6"/>
    </row>
    <row r="97" spans="7:43" ht="14.1" customHeight="1">
      <c r="AQ97" s="6"/>
    </row>
    <row r="98" spans="7:43" ht="14.1" customHeight="1">
      <c r="AQ98" s="6"/>
    </row>
    <row r="99" spans="7:43" ht="14.1" customHeight="1">
      <c r="AQ99" s="6"/>
    </row>
    <row r="100" spans="7:43" ht="14.1" customHeight="1">
      <c r="AQ100" s="6"/>
    </row>
    <row r="101" spans="7:43" ht="14.1" customHeight="1" thickBot="1">
      <c r="G101" s="1"/>
      <c r="K101" s="3"/>
      <c r="M101" s="1007" t="s">
        <v>89</v>
      </c>
      <c r="N101" s="1007"/>
      <c r="O101" s="1007"/>
      <c r="P101" s="112"/>
      <c r="Q101" s="113"/>
      <c r="R101" s="112"/>
      <c r="S101" s="6"/>
      <c r="AQ101" s="6"/>
    </row>
    <row r="102" spans="7:43" ht="14.1" customHeight="1">
      <c r="G102" s="34"/>
      <c r="H102" s="35"/>
      <c r="I102" s="36"/>
      <c r="J102" s="36"/>
      <c r="K102" s="37"/>
      <c r="M102" s="114"/>
      <c r="N102" s="115">
        <v>0</v>
      </c>
      <c r="O102" s="116">
        <v>300</v>
      </c>
      <c r="P102" s="117">
        <v>500</v>
      </c>
      <c r="Q102" s="118">
        <v>1000</v>
      </c>
      <c r="R102" s="117">
        <v>2000</v>
      </c>
      <c r="S102" s="6"/>
      <c r="AQ102" s="6"/>
    </row>
    <row r="103" spans="7:43" ht="14.1" customHeight="1">
      <c r="G103" s="38"/>
      <c r="H103" s="39"/>
      <c r="I103" s="40"/>
      <c r="J103" s="40"/>
      <c r="K103" s="41"/>
      <c r="M103" s="119"/>
      <c r="N103" s="120" t="s">
        <v>219</v>
      </c>
      <c r="O103" s="120" t="s">
        <v>91</v>
      </c>
      <c r="P103" s="120" t="s">
        <v>220</v>
      </c>
      <c r="Q103" s="120" t="s">
        <v>221</v>
      </c>
      <c r="R103" s="120" t="s">
        <v>94</v>
      </c>
      <c r="S103" s="6"/>
      <c r="AQ103" s="6"/>
    </row>
    <row r="104" spans="7:43" ht="14.1" customHeight="1">
      <c r="G104" s="980"/>
      <c r="H104" s="106"/>
      <c r="I104" s="106"/>
      <c r="J104" s="106"/>
      <c r="K104" s="42"/>
      <c r="M104" s="119" t="s">
        <v>168</v>
      </c>
      <c r="N104" s="121">
        <v>6</v>
      </c>
      <c r="O104" s="121">
        <v>8</v>
      </c>
      <c r="P104" s="121">
        <v>12</v>
      </c>
      <c r="Q104" s="122">
        <v>15</v>
      </c>
      <c r="R104" s="121">
        <v>20</v>
      </c>
      <c r="S104" s="6"/>
      <c r="AQ104" s="6"/>
    </row>
    <row r="105" spans="7:43" ht="14.1" customHeight="1">
      <c r="G105" s="981"/>
      <c r="H105" s="107"/>
      <c r="I105" s="107"/>
      <c r="J105" s="108"/>
      <c r="K105" s="43"/>
      <c r="M105" s="114"/>
      <c r="N105" s="112"/>
      <c r="O105" s="112"/>
      <c r="P105" s="112"/>
      <c r="Q105" s="113"/>
      <c r="R105" s="112"/>
      <c r="S105" s="6"/>
      <c r="AQ105" s="6"/>
    </row>
    <row r="106" spans="7:43" ht="14.1" customHeight="1">
      <c r="G106" s="994"/>
      <c r="H106" s="106"/>
      <c r="I106" s="106"/>
      <c r="J106" s="106"/>
      <c r="K106" s="42"/>
      <c r="M106" s="114"/>
      <c r="N106" s="112"/>
      <c r="O106" s="112"/>
      <c r="P106" s="112"/>
      <c r="Q106" s="113"/>
      <c r="R106" s="112"/>
      <c r="S106" s="6"/>
      <c r="AQ106" s="6"/>
    </row>
    <row r="107" spans="7:43" ht="14.1" customHeight="1">
      <c r="G107" s="995"/>
      <c r="H107" s="107"/>
      <c r="I107" s="107"/>
      <c r="J107" s="108"/>
      <c r="K107" s="43"/>
      <c r="M107" s="1007" t="s">
        <v>95</v>
      </c>
      <c r="N107" s="1007"/>
      <c r="O107" s="1007"/>
      <c r="P107" s="112"/>
      <c r="Q107" s="113"/>
      <c r="R107" s="112"/>
      <c r="S107" s="6"/>
      <c r="AQ107" s="6"/>
    </row>
    <row r="108" spans="7:43" ht="20.25" customHeight="1">
      <c r="G108" s="994"/>
      <c r="H108" s="106"/>
      <c r="I108" s="106"/>
      <c r="J108" s="106"/>
      <c r="K108" s="42"/>
      <c r="M108" s="123"/>
      <c r="N108" s="123">
        <v>0</v>
      </c>
      <c r="O108" s="142">
        <v>150</v>
      </c>
      <c r="P108" s="142">
        <v>300</v>
      </c>
      <c r="Q108" s="142">
        <v>500</v>
      </c>
      <c r="R108" s="142">
        <v>1000</v>
      </c>
      <c r="S108" s="142">
        <v>1500</v>
      </c>
      <c r="AQ108" s="6"/>
    </row>
    <row r="109" spans="7:43" ht="20.25" customHeight="1">
      <c r="G109" s="981"/>
      <c r="H109" s="107"/>
      <c r="I109" s="107"/>
      <c r="J109" s="108"/>
      <c r="K109" s="43"/>
      <c r="M109" s="125"/>
      <c r="N109" s="125" t="s">
        <v>222</v>
      </c>
      <c r="O109" s="125" t="s">
        <v>97</v>
      </c>
      <c r="P109" s="125" t="s">
        <v>91</v>
      </c>
      <c r="Q109" s="125" t="s">
        <v>220</v>
      </c>
      <c r="R109" s="125" t="s">
        <v>98</v>
      </c>
      <c r="S109" s="125" t="s">
        <v>99</v>
      </c>
    </row>
    <row r="110" spans="7:43" ht="14.1" customHeight="1">
      <c r="G110" s="980"/>
      <c r="H110" s="106"/>
      <c r="I110" s="106"/>
      <c r="J110" s="106"/>
      <c r="M110" s="126" t="s">
        <v>100</v>
      </c>
      <c r="N110" s="124">
        <v>0</v>
      </c>
      <c r="O110" s="127">
        <f>50+(H78*0.1)</f>
        <v>529.70000000000005</v>
      </c>
      <c r="P110" s="127">
        <v>155</v>
      </c>
      <c r="Q110" s="127">
        <v>225</v>
      </c>
      <c r="R110" s="127">
        <v>375</v>
      </c>
      <c r="S110" s="128">
        <v>500</v>
      </c>
    </row>
    <row r="111" spans="7:43" ht="14.1" customHeight="1">
      <c r="G111" s="981"/>
      <c r="H111" s="108"/>
      <c r="I111" s="107"/>
      <c r="J111" s="108"/>
      <c r="M111" s="126" t="s">
        <v>174</v>
      </c>
      <c r="N111" s="124">
        <v>0</v>
      </c>
      <c r="O111" s="123">
        <v>0</v>
      </c>
      <c r="P111" s="127">
        <v>198</v>
      </c>
      <c r="Q111" s="127">
        <v>330</v>
      </c>
      <c r="R111" s="127">
        <v>580</v>
      </c>
      <c r="S111" s="127">
        <v>725</v>
      </c>
    </row>
    <row r="112" spans="7:43" ht="14.1" customHeight="1">
      <c r="G112" s="980"/>
      <c r="H112" s="106"/>
      <c r="I112" s="106"/>
      <c r="J112" s="106"/>
      <c r="K112" s="42"/>
      <c r="M112" s="126" t="s">
        <v>35</v>
      </c>
      <c r="N112" s="124">
        <v>0</v>
      </c>
      <c r="O112" s="123">
        <v>0</v>
      </c>
      <c r="P112" s="129">
        <v>108</v>
      </c>
      <c r="Q112" s="129">
        <v>158</v>
      </c>
      <c r="R112" s="129">
        <v>203</v>
      </c>
      <c r="S112" s="129">
        <v>298</v>
      </c>
    </row>
    <row r="113" spans="7:19" ht="14.1" customHeight="1">
      <c r="G113" s="981"/>
      <c r="H113" s="107"/>
      <c r="I113" s="107"/>
      <c r="J113" s="108"/>
      <c r="K113" s="43"/>
      <c r="S113" s="6"/>
    </row>
    <row r="114" spans="7:19" ht="14.1" customHeight="1">
      <c r="G114" s="81"/>
      <c r="H114" s="106"/>
      <c r="I114" s="106"/>
      <c r="J114" s="106"/>
      <c r="K114" s="42"/>
      <c r="M114" s="1007" t="s">
        <v>101</v>
      </c>
      <c r="N114" s="1007"/>
      <c r="O114" s="1007"/>
      <c r="S114" s="6"/>
    </row>
    <row r="115" spans="7:19" ht="14.1" customHeight="1" thickBot="1">
      <c r="G115" s="44"/>
      <c r="H115" s="109"/>
      <c r="I115" s="109"/>
      <c r="J115" s="110"/>
      <c r="K115" s="45"/>
      <c r="N115" s="130">
        <v>0</v>
      </c>
      <c r="O115" s="130">
        <v>500</v>
      </c>
      <c r="P115" s="130">
        <v>1000</v>
      </c>
      <c r="Q115" s="130">
        <v>1500</v>
      </c>
      <c r="R115" s="6"/>
      <c r="S115" s="6"/>
    </row>
    <row r="116" spans="7:19" ht="14.1" customHeight="1">
      <c r="M116" s="131"/>
      <c r="N116" s="132" t="s">
        <v>102</v>
      </c>
      <c r="O116" s="132" t="s">
        <v>103</v>
      </c>
      <c r="P116" s="132" t="s">
        <v>104</v>
      </c>
      <c r="Q116" s="125" t="s">
        <v>99</v>
      </c>
      <c r="R116" s="6"/>
      <c r="S116" s="6"/>
    </row>
    <row r="117" spans="7:19" ht="14.1" customHeight="1">
      <c r="M117" s="133" t="s">
        <v>105</v>
      </c>
      <c r="N117" s="134">
        <v>90</v>
      </c>
      <c r="O117" s="134">
        <v>90</v>
      </c>
      <c r="P117" s="134">
        <v>108</v>
      </c>
      <c r="Q117" s="135">
        <v>138</v>
      </c>
      <c r="R117" s="6"/>
      <c r="S117" s="6"/>
    </row>
    <row r="118" spans="7:19" ht="14.1" customHeight="1">
      <c r="M118" s="133" t="s">
        <v>106</v>
      </c>
      <c r="N118" s="134">
        <v>188</v>
      </c>
      <c r="O118" s="134">
        <v>188</v>
      </c>
      <c r="P118" s="134">
        <v>324</v>
      </c>
      <c r="Q118" s="135">
        <v>454</v>
      </c>
    </row>
    <row r="119" spans="7:19" ht="14.1" customHeight="1">
      <c r="M119" s="136" t="s">
        <v>228</v>
      </c>
      <c r="N119" s="135">
        <v>146</v>
      </c>
      <c r="O119" s="134">
        <v>158</v>
      </c>
      <c r="P119" s="135">
        <v>184</v>
      </c>
      <c r="Q119" s="135">
        <v>210</v>
      </c>
    </row>
    <row r="120" spans="7:19" ht="14.1" customHeight="1">
      <c r="M120" s="133" t="s">
        <v>108</v>
      </c>
      <c r="N120" s="135">
        <v>60</v>
      </c>
      <c r="O120" s="134">
        <v>80</v>
      </c>
      <c r="P120" s="135">
        <v>100</v>
      </c>
      <c r="Q120" s="135">
        <v>150</v>
      </c>
    </row>
    <row r="121" spans="7:19" ht="14.1" customHeight="1">
      <c r="M121" s="137" t="s">
        <v>116</v>
      </c>
      <c r="N121" s="135">
        <f>SUM(N117:N120)</f>
        <v>484</v>
      </c>
      <c r="O121" s="135">
        <f t="shared" ref="O121:Q121" si="28">SUM(O117:O120)</f>
        <v>516</v>
      </c>
      <c r="P121" s="135">
        <f t="shared" si="28"/>
        <v>716</v>
      </c>
      <c r="Q121" s="135">
        <f t="shared" si="28"/>
        <v>952</v>
      </c>
    </row>
    <row r="122" spans="7:19" ht="14.1" customHeight="1">
      <c r="M122" s="1007" t="s">
        <v>109</v>
      </c>
      <c r="N122" s="1007"/>
      <c r="O122" s="1007"/>
    </row>
    <row r="123" spans="7:19" ht="14.1" customHeight="1">
      <c r="N123" s="130">
        <v>0</v>
      </c>
      <c r="O123" s="130">
        <v>500</v>
      </c>
      <c r="P123" s="130">
        <v>1000</v>
      </c>
      <c r="Q123" s="130">
        <v>1500</v>
      </c>
    </row>
    <row r="124" spans="7:19" ht="14.1" customHeight="1">
      <c r="M124" s="131"/>
      <c r="N124" s="132" t="s">
        <v>102</v>
      </c>
      <c r="O124" s="132" t="s">
        <v>103</v>
      </c>
      <c r="P124" s="132" t="s">
        <v>104</v>
      </c>
      <c r="Q124" s="125" t="s">
        <v>99</v>
      </c>
    </row>
    <row r="125" spans="7:19" ht="14.1" customHeight="1">
      <c r="M125" s="133" t="s">
        <v>114</v>
      </c>
      <c r="N125" s="138">
        <v>36</v>
      </c>
      <c r="O125" s="138">
        <v>48</v>
      </c>
      <c r="P125" s="138">
        <v>56</v>
      </c>
      <c r="Q125" s="139">
        <v>63</v>
      </c>
    </row>
    <row r="126" spans="7:19" ht="14.1" customHeight="1">
      <c r="M126" s="133" t="s">
        <v>115</v>
      </c>
      <c r="N126" s="138">
        <v>12</v>
      </c>
      <c r="O126" s="138">
        <v>18</v>
      </c>
      <c r="P126" s="138">
        <v>22</v>
      </c>
      <c r="Q126" s="139">
        <v>34</v>
      </c>
    </row>
    <row r="127" spans="7:19" ht="14.1" customHeight="1">
      <c r="M127" s="137" t="s">
        <v>116</v>
      </c>
      <c r="N127" s="140">
        <f>SUM(N125:N126)</f>
        <v>48</v>
      </c>
      <c r="O127" s="141">
        <f>SUM(O125:O126)</f>
        <v>66</v>
      </c>
      <c r="P127" s="140">
        <f>SUM(P125:P126)</f>
        <v>78</v>
      </c>
      <c r="Q127" s="140">
        <f>SUM(Q125:Q126)</f>
        <v>97</v>
      </c>
    </row>
  </sheetData>
  <mergeCells count="242">
    <mergeCell ref="G2:L2"/>
    <mergeCell ref="N2:T2"/>
    <mergeCell ref="H3:L3"/>
    <mergeCell ref="S3:T3"/>
    <mergeCell ref="H4:L4"/>
    <mergeCell ref="O4:Q4"/>
    <mergeCell ref="G8:G14"/>
    <mergeCell ref="H8:I8"/>
    <mergeCell ref="O8:O14"/>
    <mergeCell ref="P8:P10"/>
    <mergeCell ref="H9:H13"/>
    <mergeCell ref="S12:T12"/>
    <mergeCell ref="H14:I14"/>
    <mergeCell ref="S14:T14"/>
    <mergeCell ref="H5:L5"/>
    <mergeCell ref="O5:Q5"/>
    <mergeCell ref="O6:P6"/>
    <mergeCell ref="S6:T6"/>
    <mergeCell ref="H7:L7"/>
    <mergeCell ref="S7:T7"/>
    <mergeCell ref="G15:G24"/>
    <mergeCell ref="H15:I15"/>
    <mergeCell ref="J15:K15"/>
    <mergeCell ref="O15:P15"/>
    <mergeCell ref="S15:T15"/>
    <mergeCell ref="X15:AE16"/>
    <mergeCell ref="H16:H18"/>
    <mergeCell ref="L16:L18"/>
    <mergeCell ref="O16:P16"/>
    <mergeCell ref="S16:T16"/>
    <mergeCell ref="O17:P17"/>
    <mergeCell ref="S17:T17"/>
    <mergeCell ref="Y17:Z17"/>
    <mergeCell ref="AA17:AD17"/>
    <mergeCell ref="N18:N25"/>
    <mergeCell ref="O18:O20"/>
    <mergeCell ref="R18:R23"/>
    <mergeCell ref="S18:T23"/>
    <mergeCell ref="Y18:Z18"/>
    <mergeCell ref="AA18:AD18"/>
    <mergeCell ref="H19:H21"/>
    <mergeCell ref="L19:L21"/>
    <mergeCell ref="Y19:Z19"/>
    <mergeCell ref="AA19:AD19"/>
    <mergeCell ref="O21:O23"/>
    <mergeCell ref="H22:H24"/>
    <mergeCell ref="L22:L24"/>
    <mergeCell ref="S24:T24"/>
    <mergeCell ref="X24:X31"/>
    <mergeCell ref="AC24:AD24"/>
    <mergeCell ref="H25:I25"/>
    <mergeCell ref="O25:P25"/>
    <mergeCell ref="AC25:AD28"/>
    <mergeCell ref="H26:J26"/>
    <mergeCell ref="L26:L27"/>
    <mergeCell ref="N26:T26"/>
    <mergeCell ref="H27:K27"/>
    <mergeCell ref="N27:N31"/>
    <mergeCell ref="S27:S28"/>
    <mergeCell ref="T27:T31"/>
    <mergeCell ref="H28:J28"/>
    <mergeCell ref="L28:L29"/>
    <mergeCell ref="H29:K29"/>
    <mergeCell ref="S29:S31"/>
    <mergeCell ref="AC29:AC31"/>
    <mergeCell ref="AD29:AD31"/>
    <mergeCell ref="H30:K30"/>
    <mergeCell ref="V30:V31"/>
    <mergeCell ref="H31:J31"/>
    <mergeCell ref="G33:T33"/>
    <mergeCell ref="B34:B35"/>
    <mergeCell ref="C34:C35"/>
    <mergeCell ref="D34:D35"/>
    <mergeCell ref="E34:E35"/>
    <mergeCell ref="G34:G35"/>
    <mergeCell ref="H34:H35"/>
    <mergeCell ref="I34:I35"/>
    <mergeCell ref="J34:J35"/>
    <mergeCell ref="K34:M34"/>
    <mergeCell ref="N34:N35"/>
    <mergeCell ref="O34:Q34"/>
    <mergeCell ref="R34:R35"/>
    <mergeCell ref="S34:S35"/>
    <mergeCell ref="T34:T35"/>
    <mergeCell ref="B36:B37"/>
    <mergeCell ref="C36:C37"/>
    <mergeCell ref="D36:D37"/>
    <mergeCell ref="E36:E37"/>
    <mergeCell ref="F36:F37"/>
    <mergeCell ref="H36:H37"/>
    <mergeCell ref="I36:I37"/>
    <mergeCell ref="T36:T41"/>
    <mergeCell ref="V36:V37"/>
    <mergeCell ref="B38:B39"/>
    <mergeCell ref="C38:C39"/>
    <mergeCell ref="D38:D39"/>
    <mergeCell ref="E38:E39"/>
    <mergeCell ref="F38:F39"/>
    <mergeCell ref="H38:H39"/>
    <mergeCell ref="T42:T51"/>
    <mergeCell ref="H44:H45"/>
    <mergeCell ref="I44:I45"/>
    <mergeCell ref="B46:B47"/>
    <mergeCell ref="C46:C47"/>
    <mergeCell ref="E46:E47"/>
    <mergeCell ref="H46:H47"/>
    <mergeCell ref="H48:H49"/>
    <mergeCell ref="I38:I39"/>
    <mergeCell ref="F40:F41"/>
    <mergeCell ref="H40:H41"/>
    <mergeCell ref="I40:I41"/>
    <mergeCell ref="H42:H43"/>
    <mergeCell ref="B52:B53"/>
    <mergeCell ref="C52:C53"/>
    <mergeCell ref="E52:E53"/>
    <mergeCell ref="G52:G53"/>
    <mergeCell ref="H52:H53"/>
    <mergeCell ref="I48:I49"/>
    <mergeCell ref="B50:B51"/>
    <mergeCell ref="C50:C51"/>
    <mergeCell ref="E50:E51"/>
    <mergeCell ref="H50:H51"/>
    <mergeCell ref="E56:E57"/>
    <mergeCell ref="F56:F57"/>
    <mergeCell ref="H56:H57"/>
    <mergeCell ref="C58:C59"/>
    <mergeCell ref="E58:E59"/>
    <mergeCell ref="F58:F59"/>
    <mergeCell ref="H58:H59"/>
    <mergeCell ref="T52:T53"/>
    <mergeCell ref="C54:C55"/>
    <mergeCell ref="E54:E55"/>
    <mergeCell ref="F54:F55"/>
    <mergeCell ref="H54:H55"/>
    <mergeCell ref="I54:I55"/>
    <mergeCell ref="T54:T75"/>
    <mergeCell ref="C56:C57"/>
    <mergeCell ref="C62:C63"/>
    <mergeCell ref="E62:E63"/>
    <mergeCell ref="F62:F63"/>
    <mergeCell ref="H62:H63"/>
    <mergeCell ref="C64:C65"/>
    <mergeCell ref="E64:E65"/>
    <mergeCell ref="F64:F65"/>
    <mergeCell ref="H64:H65"/>
    <mergeCell ref="C60:C61"/>
    <mergeCell ref="E60:E61"/>
    <mergeCell ref="F60:F61"/>
    <mergeCell ref="H60:H61"/>
    <mergeCell ref="I70:I71"/>
    <mergeCell ref="H72:H73"/>
    <mergeCell ref="I72:I73"/>
    <mergeCell ref="C74:C75"/>
    <mergeCell ref="E74:E75"/>
    <mergeCell ref="F74:F75"/>
    <mergeCell ref="H74:H75"/>
    <mergeCell ref="I74:I75"/>
    <mergeCell ref="I64:I65"/>
    <mergeCell ref="H66:H67"/>
    <mergeCell ref="H68:H69"/>
    <mergeCell ref="I68:I69"/>
    <mergeCell ref="C70:C71"/>
    <mergeCell ref="E70:E71"/>
    <mergeCell ref="F70:F71"/>
    <mergeCell ref="H70:H71"/>
    <mergeCell ref="Q82:R82"/>
    <mergeCell ref="S82:T82"/>
    <mergeCell ref="E76:E77"/>
    <mergeCell ref="G76:G77"/>
    <mergeCell ref="H76:H77"/>
    <mergeCell ref="T76:T77"/>
    <mergeCell ref="C78:C79"/>
    <mergeCell ref="D78:D79"/>
    <mergeCell ref="G78:G79"/>
    <mergeCell ref="H78:H79"/>
    <mergeCell ref="I78:I79"/>
    <mergeCell ref="G80:T80"/>
    <mergeCell ref="G81:T81"/>
    <mergeCell ref="G82:H82"/>
    <mergeCell ref="I82:J82"/>
    <mergeCell ref="K82:L82"/>
    <mergeCell ref="M82:N82"/>
    <mergeCell ref="S84:T84"/>
    <mergeCell ref="G85:G88"/>
    <mergeCell ref="H85:H86"/>
    <mergeCell ref="I85:J85"/>
    <mergeCell ref="K85:L85"/>
    <mergeCell ref="M85:N85"/>
    <mergeCell ref="Q85:R85"/>
    <mergeCell ref="S85:T85"/>
    <mergeCell ref="I86:J86"/>
    <mergeCell ref="K86:L86"/>
    <mergeCell ref="G83:H84"/>
    <mergeCell ref="I83:J83"/>
    <mergeCell ref="K83:L83"/>
    <mergeCell ref="M83:N83"/>
    <mergeCell ref="Q83:R83"/>
    <mergeCell ref="S83:T83"/>
    <mergeCell ref="I84:J84"/>
    <mergeCell ref="K84:L84"/>
    <mergeCell ref="M84:N84"/>
    <mergeCell ref="Q84:R84"/>
    <mergeCell ref="Q86:R86"/>
    <mergeCell ref="S86:T86"/>
    <mergeCell ref="H87:H88"/>
    <mergeCell ref="I87:J87"/>
    <mergeCell ref="K87:L87"/>
    <mergeCell ref="M87:N87"/>
    <mergeCell ref="Q87:R87"/>
    <mergeCell ref="S87:T87"/>
    <mergeCell ref="I88:J88"/>
    <mergeCell ref="Q90:R90"/>
    <mergeCell ref="S90:T90"/>
    <mergeCell ref="M101:O101"/>
    <mergeCell ref="K88:L88"/>
    <mergeCell ref="M88:N88"/>
    <mergeCell ref="Q88:R88"/>
    <mergeCell ref="S88:T88"/>
    <mergeCell ref="G89:H90"/>
    <mergeCell ref="I89:J89"/>
    <mergeCell ref="K89:L89"/>
    <mergeCell ref="M89:N89"/>
    <mergeCell ref="Q89:R89"/>
    <mergeCell ref="S89:T89"/>
    <mergeCell ref="M114:O114"/>
    <mergeCell ref="M122:O122"/>
    <mergeCell ref="E42:E43"/>
    <mergeCell ref="E44:E45"/>
    <mergeCell ref="E48:E49"/>
    <mergeCell ref="E66:E67"/>
    <mergeCell ref="E68:E69"/>
    <mergeCell ref="E72:E73"/>
    <mergeCell ref="G104:G105"/>
    <mergeCell ref="G106:G107"/>
    <mergeCell ref="M107:O107"/>
    <mergeCell ref="G108:G109"/>
    <mergeCell ref="G110:G111"/>
    <mergeCell ref="G112:G113"/>
    <mergeCell ref="I90:J90"/>
    <mergeCell ref="K90:L90"/>
    <mergeCell ref="M90:N90"/>
    <mergeCell ref="M86:N86"/>
  </mergeCells>
  <phoneticPr fontId="2" type="noConversion"/>
  <printOptions horizontalCentered="1"/>
  <pageMargins left="0.7" right="0.7" top="0.75" bottom="0.75" header="0.3" footer="0.3"/>
  <pageSetup paperSize="8" scale="75" orientation="landscape" r:id="rId1"/>
  <headerFooter alignWithMargins="0"/>
  <rowBreaks count="1" manualBreakCount="1">
    <brk id="86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F81BD"/>
    <pageSetUpPr autoPageBreaks="0" fitToPage="1"/>
  </sheetPr>
  <dimension ref="B1:AQ127"/>
  <sheetViews>
    <sheetView topLeftCell="F13" zoomScaleNormal="100" zoomScaleSheetLayoutView="100" workbookViewId="0">
      <selection activeCell="S2" sqref="S2:T2"/>
    </sheetView>
  </sheetViews>
  <sheetFormatPr defaultColWidth="8.77734375" defaultRowHeight="14.1" customHeight="1"/>
  <cols>
    <col min="1" max="2" width="8.77734375" style="2"/>
    <col min="3" max="3" width="10.21875" style="2" bestFit="1" customWidth="1"/>
    <col min="4" max="4" width="7.6640625" style="2" customWidth="1"/>
    <col min="5" max="5" width="9.77734375" style="2" bestFit="1" customWidth="1"/>
    <col min="6" max="6" width="8.77734375" style="2"/>
    <col min="7" max="7" width="13.21875" style="2" customWidth="1"/>
    <col min="8" max="9" width="9.21875" style="2" customWidth="1"/>
    <col min="10" max="13" width="11.6640625" style="2" customWidth="1"/>
    <col min="14" max="14" width="12.21875" style="2" bestFit="1" customWidth="1"/>
    <col min="15" max="15" width="14.44140625" style="2" customWidth="1"/>
    <col min="16" max="16" width="14.88671875" style="2" customWidth="1"/>
    <col min="17" max="17" width="13.5546875" style="2" customWidth="1"/>
    <col min="18" max="18" width="12.33203125" style="2" customWidth="1"/>
    <col min="19" max="19" width="11.109375" style="2" customWidth="1"/>
    <col min="20" max="20" width="14" style="2" customWidth="1"/>
    <col min="21" max="21" width="4.5546875" style="2" customWidth="1"/>
    <col min="22" max="22" width="10.77734375" style="2" customWidth="1"/>
    <col min="23" max="23" width="15.21875" style="2" bestFit="1" customWidth="1"/>
    <col min="24" max="24" width="10.33203125" style="2" bestFit="1" customWidth="1"/>
    <col min="25" max="25" width="10.6640625" style="2" bestFit="1" customWidth="1"/>
    <col min="26" max="26" width="18.33203125" style="2" customWidth="1"/>
    <col min="27" max="27" width="8.77734375" style="2" customWidth="1"/>
    <col min="28" max="28" width="11.77734375" style="2" customWidth="1"/>
    <col min="29" max="29" width="8.6640625" style="2" customWidth="1"/>
    <col min="30" max="30" width="9.6640625" style="2" customWidth="1"/>
    <col min="31" max="31" width="15.77734375" style="2" customWidth="1"/>
    <col min="32" max="32" width="13.5546875" style="2" bestFit="1" customWidth="1"/>
    <col min="33" max="33" width="14.44140625" style="2" bestFit="1" customWidth="1"/>
    <col min="34" max="34" width="15.44140625" style="2" bestFit="1" customWidth="1"/>
    <col min="35" max="35" width="10.5546875" style="2" bestFit="1" customWidth="1"/>
    <col min="36" max="16384" width="8.77734375" style="2"/>
  </cols>
  <sheetData>
    <row r="1" spans="3:31" ht="14.1" customHeight="1"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</row>
    <row r="2" spans="3:31" ht="18" customHeight="1" thickBot="1">
      <c r="F2" s="77"/>
      <c r="G2" s="839" t="s">
        <v>248</v>
      </c>
      <c r="H2" s="839"/>
      <c r="I2" s="839"/>
      <c r="J2" s="839"/>
      <c r="K2" s="839"/>
      <c r="L2" s="840"/>
      <c r="M2" s="70"/>
      <c r="N2" s="380" t="s">
        <v>33</v>
      </c>
      <c r="O2" s="381"/>
      <c r="P2" s="381"/>
      <c r="Q2" s="381"/>
      <c r="R2" s="381"/>
      <c r="S2" s="1245">
        <v>44762</v>
      </c>
      <c r="T2" s="1246"/>
    </row>
    <row r="3" spans="3:31" ht="17.100000000000001" customHeight="1">
      <c r="E3" s="310">
        <v>0.7</v>
      </c>
      <c r="F3" s="77"/>
      <c r="G3" s="72" t="s">
        <v>163</v>
      </c>
      <c r="H3" s="844" t="s">
        <v>229</v>
      </c>
      <c r="I3" s="845"/>
      <c r="J3" s="845"/>
      <c r="K3" s="845"/>
      <c r="L3" s="846"/>
      <c r="M3" s="51"/>
      <c r="N3" s="53" t="s">
        <v>164</v>
      </c>
      <c r="O3" s="29"/>
      <c r="P3" s="84" t="s">
        <v>61</v>
      </c>
      <c r="Q3" s="30"/>
      <c r="R3" s="31" t="s">
        <v>166</v>
      </c>
      <c r="S3" s="847" t="s">
        <v>167</v>
      </c>
      <c r="T3" s="848"/>
    </row>
    <row r="4" spans="3:31" ht="17.100000000000001" customHeight="1" thickBot="1">
      <c r="E4" s="311">
        <f>J23/(J14*E3)</f>
        <v>2.6878451402076067</v>
      </c>
      <c r="F4" s="77"/>
      <c r="G4" s="73" t="s">
        <v>11</v>
      </c>
      <c r="H4" s="849" t="s">
        <v>230</v>
      </c>
      <c r="I4" s="850"/>
      <c r="J4" s="850"/>
      <c r="K4" s="850"/>
      <c r="L4" s="851"/>
      <c r="M4" s="51"/>
      <c r="N4" s="279" t="s">
        <v>168</v>
      </c>
      <c r="O4" s="852" t="str">
        <f>INDEX($N$103:$R$103,MATCH($H$78,$N$102:$R$102,1))</f>
        <v>2000세대 이상</v>
      </c>
      <c r="P4" s="852"/>
      <c r="Q4" s="853"/>
      <c r="R4" s="32">
        <f>INDEX($N$104:$R$104,MATCH($H$78,$N$102:$R$102,1))</f>
        <v>20</v>
      </c>
      <c r="S4" s="21"/>
      <c r="T4" s="67"/>
    </row>
    <row r="5" spans="3:31" ht="17.100000000000001" customHeight="1">
      <c r="F5" s="77"/>
      <c r="G5" s="73" t="s">
        <v>169</v>
      </c>
      <c r="H5" s="849" t="s">
        <v>231</v>
      </c>
      <c r="I5" s="850"/>
      <c r="J5" s="850"/>
      <c r="K5" s="850"/>
      <c r="L5" s="851"/>
      <c r="M5" s="51"/>
      <c r="N5" s="280" t="s">
        <v>5</v>
      </c>
      <c r="O5" s="857" t="s">
        <v>170</v>
      </c>
      <c r="P5" s="857"/>
      <c r="Q5" s="861"/>
      <c r="R5" s="33" t="s">
        <v>12</v>
      </c>
      <c r="S5" s="22"/>
      <c r="T5" s="68"/>
    </row>
    <row r="6" spans="3:31" ht="17.100000000000001" customHeight="1">
      <c r="F6" s="77"/>
      <c r="G6" s="73" t="s">
        <v>157</v>
      </c>
      <c r="H6" s="50" t="s">
        <v>235</v>
      </c>
      <c r="I6" s="185">
        <f>ROUNDUP(E4,0)</f>
        <v>3</v>
      </c>
      <c r="J6" s="186"/>
      <c r="K6" s="186"/>
      <c r="L6" s="186"/>
      <c r="M6" s="51"/>
      <c r="N6" s="280" t="s">
        <v>161</v>
      </c>
      <c r="O6" s="862">
        <f>H78</f>
        <v>4802</v>
      </c>
      <c r="P6" s="862"/>
      <c r="Q6" s="23">
        <f>IF(H78&gt;=50, ROUNDUP((10+(H78-50)*0.05),2), "해당없음")</f>
        <v>247.6</v>
      </c>
      <c r="R6" s="277">
        <v>280</v>
      </c>
      <c r="S6" s="1143" t="s">
        <v>13</v>
      </c>
      <c r="T6" s="858"/>
    </row>
    <row r="7" spans="3:31" ht="17.100000000000001" customHeight="1">
      <c r="F7" s="77"/>
      <c r="G7" s="74" t="s">
        <v>40</v>
      </c>
      <c r="H7" s="863" t="s">
        <v>78</v>
      </c>
      <c r="I7" s="864"/>
      <c r="J7" s="864"/>
      <c r="K7" s="864"/>
      <c r="L7" s="865"/>
      <c r="M7" s="51"/>
      <c r="N7" s="281" t="s">
        <v>172</v>
      </c>
      <c r="O7" s="24"/>
      <c r="P7" s="63"/>
      <c r="Q7" s="25"/>
      <c r="R7" s="363">
        <v>280</v>
      </c>
      <c r="S7" s="1143"/>
      <c r="T7" s="858"/>
    </row>
    <row r="8" spans="3:31" ht="17.100000000000001" customHeight="1">
      <c r="F8" s="77"/>
      <c r="G8" s="1134" t="s">
        <v>171</v>
      </c>
      <c r="H8" s="884" t="s">
        <v>3</v>
      </c>
      <c r="I8" s="885"/>
      <c r="J8" s="325">
        <v>182618.4</v>
      </c>
      <c r="K8" s="331">
        <f t="shared" ref="K8" si="0">ROUNDDOWN(J8*0.3025,2)</f>
        <v>55242.06</v>
      </c>
      <c r="L8" s="105">
        <f>J8/$J$8</f>
        <v>1</v>
      </c>
      <c r="M8" s="51"/>
      <c r="N8" s="279" t="s">
        <v>173</v>
      </c>
      <c r="O8" s="1092" t="s">
        <v>237</v>
      </c>
      <c r="P8" s="868" t="s">
        <v>146</v>
      </c>
      <c r="Q8" s="26">
        <v>500</v>
      </c>
      <c r="R8" s="361">
        <v>1100</v>
      </c>
      <c r="S8" s="1241" t="s">
        <v>247</v>
      </c>
      <c r="T8" s="1242"/>
      <c r="Y8" s="173"/>
    </row>
    <row r="9" spans="3:31" ht="17.100000000000001" customHeight="1">
      <c r="F9" s="77"/>
      <c r="G9" s="1135"/>
      <c r="H9" s="1137" t="s">
        <v>14</v>
      </c>
      <c r="I9" s="65" t="s">
        <v>232</v>
      </c>
      <c r="J9" s="326">
        <v>6830.9</v>
      </c>
      <c r="K9" s="332">
        <f>ROUNDDOWN(J9*0.3025,2)</f>
        <v>2066.34</v>
      </c>
      <c r="L9" s="15">
        <f>J9/$J$8</f>
        <v>3.7405321698142133E-2</v>
      </c>
      <c r="M9" s="189"/>
      <c r="N9" s="280" t="s">
        <v>174</v>
      </c>
      <c r="O9" s="1093"/>
      <c r="P9" s="869"/>
      <c r="Q9" s="26">
        <v>725</v>
      </c>
      <c r="R9" s="362">
        <v>1400</v>
      </c>
      <c r="S9" s="1241" t="s">
        <v>247</v>
      </c>
      <c r="T9" s="1242"/>
    </row>
    <row r="10" spans="3:31" ht="17.100000000000001" customHeight="1">
      <c r="C10" s="130" t="s">
        <v>158</v>
      </c>
      <c r="D10" s="289">
        <v>3</v>
      </c>
      <c r="E10" s="312">
        <f>$H$78*D10</f>
        <v>14406</v>
      </c>
      <c r="F10" s="77"/>
      <c r="G10" s="1135"/>
      <c r="H10" s="1138"/>
      <c r="I10" s="65" t="s">
        <v>233</v>
      </c>
      <c r="J10" s="326">
        <v>1000</v>
      </c>
      <c r="K10" s="332">
        <f>ROUNDDOWN(J10*0.3025,2)</f>
        <v>302.5</v>
      </c>
      <c r="L10" s="15">
        <f>J10/$J$8</f>
        <v>5.4758994712471474E-3</v>
      </c>
      <c r="M10" s="51"/>
      <c r="N10" s="280" t="s">
        <v>175</v>
      </c>
      <c r="O10" s="1093"/>
      <c r="P10" s="870"/>
      <c r="Q10" s="26">
        <v>298</v>
      </c>
      <c r="R10" s="277">
        <v>650</v>
      </c>
      <c r="S10" s="28"/>
      <c r="T10" s="68"/>
      <c r="W10" s="130"/>
      <c r="X10" s="149"/>
    </row>
    <row r="11" spans="3:31" ht="17.100000000000001" customHeight="1">
      <c r="F11" s="77"/>
      <c r="G11" s="1135"/>
      <c r="H11" s="1138"/>
      <c r="I11" s="65" t="s">
        <v>234</v>
      </c>
      <c r="J11" s="326">
        <f>(H78*3)+30</f>
        <v>14436</v>
      </c>
      <c r="K11" s="332">
        <f>ROUNDDOWN(J11*0.3025,2)</f>
        <v>4366.8900000000003</v>
      </c>
      <c r="L11" s="15">
        <f>J11/$J$8</f>
        <v>7.9050084766923823E-2</v>
      </c>
      <c r="M11" s="51"/>
      <c r="N11" s="55" t="s">
        <v>88</v>
      </c>
      <c r="O11" s="1093"/>
      <c r="P11" s="147" t="str">
        <f>IF(H78&gt;=500,"500세대이상 의무설치", "해당없음")</f>
        <v>500세대이상 의무설치</v>
      </c>
      <c r="Q11" s="26" t="str">
        <f>IF(H78&gt;=500,"66㎡ 이상", "해당없음")</f>
        <v>66㎡ 이상</v>
      </c>
      <c r="R11" s="250">
        <v>600</v>
      </c>
      <c r="S11" s="28"/>
      <c r="T11" s="68"/>
    </row>
    <row r="12" spans="3:31" ht="17.100000000000001" customHeight="1">
      <c r="F12" s="77"/>
      <c r="G12" s="1135"/>
      <c r="H12" s="1138"/>
      <c r="I12" s="65"/>
      <c r="J12" s="326"/>
      <c r="K12" s="332"/>
      <c r="L12" s="15"/>
      <c r="M12" s="51"/>
      <c r="N12" s="55" t="s">
        <v>178</v>
      </c>
      <c r="O12" s="1093"/>
      <c r="P12" s="61"/>
      <c r="Q12" s="47"/>
      <c r="R12" s="277">
        <v>5500</v>
      </c>
      <c r="S12" s="1140"/>
      <c r="T12" s="1141"/>
    </row>
    <row r="13" spans="3:31" ht="16.5" customHeight="1">
      <c r="F13" s="77"/>
      <c r="G13" s="1135"/>
      <c r="H13" s="1139"/>
      <c r="I13" s="65" t="s">
        <v>177</v>
      </c>
      <c r="J13" s="327">
        <f>SUM(J9:J12)</f>
        <v>22266.9</v>
      </c>
      <c r="K13" s="333">
        <f>ROUNDDOWN(J13*0.3025,2)</f>
        <v>6735.73</v>
      </c>
      <c r="L13" s="102">
        <f>J13/$J$8</f>
        <v>0.12193130593631311</v>
      </c>
      <c r="M13" s="51"/>
      <c r="N13" s="55" t="s">
        <v>76</v>
      </c>
      <c r="O13" s="1093"/>
      <c r="P13" s="202" t="str">
        <f>IF(H78&gt;=500,"500세대이상 의무설치", "해당없음")</f>
        <v>500세대이상 의무설치</v>
      </c>
      <c r="Q13" s="47"/>
      <c r="R13" s="277">
        <v>3800</v>
      </c>
      <c r="S13" s="22"/>
      <c r="T13" s="68"/>
      <c r="W13" s="130"/>
      <c r="X13" s="177"/>
    </row>
    <row r="14" spans="3:31" ht="17.100000000000001" customHeight="1">
      <c r="F14" s="77"/>
      <c r="G14" s="1136"/>
      <c r="H14" s="1115" t="s">
        <v>179</v>
      </c>
      <c r="I14" s="1116"/>
      <c r="J14" s="328">
        <f>J8-J13</f>
        <v>160351.5</v>
      </c>
      <c r="K14" s="334">
        <f>ROUNDDOWN(J14*0.3025,2)</f>
        <v>48506.32</v>
      </c>
      <c r="L14" s="18">
        <f>J14/$J$8</f>
        <v>0.87806869406368693</v>
      </c>
      <c r="M14" s="51"/>
      <c r="N14" s="55" t="s">
        <v>184</v>
      </c>
      <c r="O14" s="1094"/>
      <c r="P14" s="202" t="str">
        <f>IF(H78&lt;100,"해당없음",IF(H78&lt;300,"지역여건에 맞게 설치",IF(H78&lt;1000,"200㎡+세대당 1㎡",IF(H78&gt;1000,"500㎡+세대당 0.7㎡"))))</f>
        <v>500㎡+세대당 0.7㎡</v>
      </c>
      <c r="Q14" s="26">
        <f>500+(H78*0.7)</f>
        <v>3861.3999999999996</v>
      </c>
      <c r="R14" s="283">
        <v>3700</v>
      </c>
      <c r="S14" s="1095"/>
      <c r="T14" s="1142"/>
      <c r="W14" s="177"/>
    </row>
    <row r="15" spans="3:31" ht="17.100000000000001" customHeight="1">
      <c r="C15" s="2">
        <v>120698</v>
      </c>
      <c r="F15" s="77"/>
      <c r="G15" s="881" t="s">
        <v>180</v>
      </c>
      <c r="H15" s="1145" t="s">
        <v>181</v>
      </c>
      <c r="I15" s="1082"/>
      <c r="J15" s="1146" t="s">
        <v>182</v>
      </c>
      <c r="K15" s="1147"/>
      <c r="L15" s="335" t="s">
        <v>183</v>
      </c>
      <c r="M15" s="51"/>
      <c r="N15" s="282" t="s">
        <v>186</v>
      </c>
      <c r="O15" s="892" t="s">
        <v>238</v>
      </c>
      <c r="P15" s="893"/>
      <c r="Q15" s="198">
        <f>500+($H$78*2)*1.25</f>
        <v>12505</v>
      </c>
      <c r="R15" s="254">
        <f>R8+R9+R10+R11+R12+R13+R14</f>
        <v>16750</v>
      </c>
      <c r="S15" s="894" t="s">
        <v>187</v>
      </c>
      <c r="T15" s="895"/>
      <c r="W15" s="177"/>
      <c r="X15" s="889"/>
      <c r="Y15" s="889"/>
      <c r="Z15" s="889"/>
      <c r="AA15" s="889"/>
      <c r="AB15" s="889"/>
      <c r="AC15" s="889"/>
      <c r="AD15" s="889"/>
      <c r="AE15" s="889"/>
    </row>
    <row r="16" spans="3:31" ht="17.100000000000001" customHeight="1">
      <c r="C16" s="2">
        <v>93504.3</v>
      </c>
      <c r="D16" s="145">
        <f>C16/C15</f>
        <v>0.77469634956668709</v>
      </c>
      <c r="F16" s="77"/>
      <c r="G16" s="882"/>
      <c r="H16" s="1112" t="s">
        <v>185</v>
      </c>
      <c r="I16" s="66" t="s">
        <v>45</v>
      </c>
      <c r="J16" s="329">
        <f>N78+R8+R9+R7</f>
        <v>479863.6</v>
      </c>
      <c r="K16" s="332">
        <f t="shared" ref="K16:K24" si="1">ROUNDDOWN(J16*0.3025,2)</f>
        <v>145158.73000000001</v>
      </c>
      <c r="L16" s="1148">
        <f>J16/$J$22</f>
        <v>0.9925537310358008</v>
      </c>
      <c r="M16" s="51"/>
      <c r="N16" s="279" t="s">
        <v>190</v>
      </c>
      <c r="O16" s="1151" t="s">
        <v>191</v>
      </c>
      <c r="P16" s="1152"/>
      <c r="Q16" s="199">
        <f>J14*0.15</f>
        <v>24052.724999999999</v>
      </c>
      <c r="R16" s="200">
        <f>ROUNDUP(Q16,-2)+100</f>
        <v>24200</v>
      </c>
      <c r="S16" s="1153"/>
      <c r="T16" s="1154"/>
      <c r="V16" s="337" t="s">
        <v>188</v>
      </c>
      <c r="X16" s="889"/>
      <c r="Y16" s="889"/>
      <c r="Z16" s="889"/>
      <c r="AA16" s="889"/>
      <c r="AB16" s="889"/>
      <c r="AC16" s="889"/>
      <c r="AD16" s="889"/>
      <c r="AE16" s="889"/>
    </row>
    <row r="17" spans="6:30" ht="17.100000000000001" customHeight="1">
      <c r="F17" s="77"/>
      <c r="G17" s="882"/>
      <c r="H17" s="1113"/>
      <c r="I17" s="66" t="s">
        <v>189</v>
      </c>
      <c r="J17" s="329">
        <f>O78+Q78+R6+R10+R12+R11</f>
        <v>296200</v>
      </c>
      <c r="K17" s="332">
        <f t="shared" si="1"/>
        <v>89600.5</v>
      </c>
      <c r="L17" s="1149"/>
      <c r="M17" s="51"/>
      <c r="N17" s="279" t="s">
        <v>233</v>
      </c>
      <c r="O17" s="1151"/>
      <c r="P17" s="1152"/>
      <c r="Q17" s="199"/>
      <c r="R17" s="200">
        <v>1000</v>
      </c>
      <c r="S17" s="1153" t="s">
        <v>246</v>
      </c>
      <c r="T17" s="1154"/>
      <c r="V17" s="338">
        <v>40</v>
      </c>
      <c r="X17" s="174"/>
      <c r="Y17" s="890"/>
      <c r="Z17" s="891"/>
      <c r="AA17" s="907"/>
      <c r="AB17" s="891"/>
      <c r="AC17" s="891"/>
      <c r="AD17" s="891"/>
    </row>
    <row r="18" spans="6:30" ht="17.100000000000001" customHeight="1">
      <c r="F18" s="77"/>
      <c r="G18" s="882"/>
      <c r="H18" s="1114"/>
      <c r="I18" s="66" t="s">
        <v>177</v>
      </c>
      <c r="J18" s="329">
        <f>SUM(J16:J17)</f>
        <v>776063.6</v>
      </c>
      <c r="K18" s="332">
        <f t="shared" si="1"/>
        <v>234759.23</v>
      </c>
      <c r="L18" s="1150"/>
      <c r="M18" s="51"/>
      <c r="N18" s="1155" t="s">
        <v>192</v>
      </c>
      <c r="O18" s="874" t="s">
        <v>193</v>
      </c>
      <c r="P18" s="197" t="s">
        <v>242</v>
      </c>
      <c r="Q18" s="284">
        <f>ROUNDUP((SUMPRODUCT(H36:H51,J36:J51)+SUMPRODUCT(H56:H63,J56:J63))/75,0)</f>
        <v>4335</v>
      </c>
      <c r="R18" s="1158">
        <f>H78*S18</f>
        <v>7203</v>
      </c>
      <c r="S18" s="968">
        <v>1.5</v>
      </c>
      <c r="T18" s="969"/>
      <c r="X18" s="175"/>
      <c r="Y18" s="908"/>
      <c r="Z18" s="909"/>
      <c r="AA18" s="910"/>
      <c r="AB18" s="911"/>
      <c r="AC18" s="911"/>
      <c r="AD18" s="911"/>
    </row>
    <row r="19" spans="6:30" ht="17.100000000000001" customHeight="1">
      <c r="F19" s="77"/>
      <c r="G19" s="882"/>
      <c r="H19" s="1161" t="s">
        <v>38</v>
      </c>
      <c r="I19" s="65" t="s">
        <v>194</v>
      </c>
      <c r="J19" s="329">
        <f>M85</f>
        <v>3600</v>
      </c>
      <c r="K19" s="332">
        <f t="shared" si="1"/>
        <v>1089</v>
      </c>
      <c r="L19" s="1148">
        <f>J19/$J$22</f>
        <v>7.4462689641991665E-3</v>
      </c>
      <c r="M19" s="51"/>
      <c r="N19" s="1156"/>
      <c r="O19" s="875"/>
      <c r="P19" s="150" t="s">
        <v>123</v>
      </c>
      <c r="Q19" s="286">
        <f>ROUNDUP((SUMPRODUCT(H64:H75,J64:J75))/65,0)</f>
        <v>475</v>
      </c>
      <c r="R19" s="1159"/>
      <c r="S19" s="970"/>
      <c r="T19" s="971"/>
      <c r="X19" s="176"/>
      <c r="Y19" s="908"/>
      <c r="Z19" s="909"/>
      <c r="AA19" s="910"/>
      <c r="AB19" s="911"/>
      <c r="AC19" s="911"/>
      <c r="AD19" s="911"/>
    </row>
    <row r="20" spans="6:30" ht="17.100000000000001" customHeight="1">
      <c r="F20" s="77"/>
      <c r="G20" s="882"/>
      <c r="H20" s="1162"/>
      <c r="I20" s="65" t="s">
        <v>46</v>
      </c>
      <c r="J20" s="329">
        <f>M87+O89+P89</f>
        <v>5500</v>
      </c>
      <c r="K20" s="332">
        <f t="shared" si="1"/>
        <v>1663.75</v>
      </c>
      <c r="L20" s="1149"/>
      <c r="M20" s="51"/>
      <c r="N20" s="1156"/>
      <c r="O20" s="876"/>
      <c r="P20" s="151" t="s">
        <v>118</v>
      </c>
      <c r="Q20" s="285">
        <f>SUM(Q18:Q19)</f>
        <v>4810</v>
      </c>
      <c r="R20" s="1159"/>
      <c r="S20" s="970"/>
      <c r="T20" s="971"/>
    </row>
    <row r="21" spans="6:30" ht="17.100000000000001" customHeight="1">
      <c r="F21" s="77"/>
      <c r="G21" s="882"/>
      <c r="H21" s="1163"/>
      <c r="I21" s="65" t="s">
        <v>177</v>
      </c>
      <c r="J21" s="329">
        <f>J19+J20</f>
        <v>9100</v>
      </c>
      <c r="K21" s="332">
        <f t="shared" si="1"/>
        <v>2752.75</v>
      </c>
      <c r="L21" s="1150"/>
      <c r="M21" s="51"/>
      <c r="N21" s="1156"/>
      <c r="O21" s="874" t="s">
        <v>86</v>
      </c>
      <c r="P21" s="159" t="s">
        <v>240</v>
      </c>
      <c r="Q21" s="284">
        <f>(SUM(H36:H47)+SUM(H56:H59))*0.8</f>
        <v>1577.6000000000001</v>
      </c>
      <c r="R21" s="1159"/>
      <c r="S21" s="970"/>
      <c r="T21" s="971"/>
      <c r="U21"/>
      <c r="V21"/>
    </row>
    <row r="22" spans="6:30" ht="17.100000000000001" customHeight="1">
      <c r="F22" s="77"/>
      <c r="G22" s="882"/>
      <c r="H22" s="1161" t="s">
        <v>116</v>
      </c>
      <c r="I22" s="65" t="s">
        <v>194</v>
      </c>
      <c r="J22" s="326">
        <f>J16+J19</f>
        <v>483463.6</v>
      </c>
      <c r="K22" s="332">
        <f t="shared" si="1"/>
        <v>146247.73000000001</v>
      </c>
      <c r="L22" s="1148">
        <f>J22/$J$22</f>
        <v>1</v>
      </c>
      <c r="M22" s="276"/>
      <c r="N22" s="1156"/>
      <c r="O22" s="875"/>
      <c r="P22" s="160" t="s">
        <v>241</v>
      </c>
      <c r="Q22" s="286">
        <f>(SUM(H48:H51)+SUM(H60:H75))*1</f>
        <v>2830</v>
      </c>
      <c r="R22" s="1159"/>
      <c r="S22" s="970"/>
      <c r="T22" s="971"/>
      <c r="U22"/>
      <c r="V22"/>
    </row>
    <row r="23" spans="6:30" ht="17.100000000000001" customHeight="1">
      <c r="F23" s="77"/>
      <c r="G23" s="882"/>
      <c r="H23" s="1162"/>
      <c r="I23" s="65" t="s">
        <v>46</v>
      </c>
      <c r="J23" s="326">
        <f>J17+J20</f>
        <v>301700</v>
      </c>
      <c r="K23" s="332">
        <f t="shared" si="1"/>
        <v>91264.25</v>
      </c>
      <c r="L23" s="1149"/>
      <c r="M23" s="51"/>
      <c r="N23" s="1156"/>
      <c r="O23" s="876"/>
      <c r="P23" s="152" t="s">
        <v>239</v>
      </c>
      <c r="Q23" s="285">
        <f>SUM(Q21:Q22)</f>
        <v>4407.6000000000004</v>
      </c>
      <c r="R23" s="1160"/>
      <c r="S23" s="972"/>
      <c r="T23" s="973"/>
      <c r="U23"/>
      <c r="V23"/>
    </row>
    <row r="24" spans="6:30" ht="17.100000000000001" customHeight="1">
      <c r="F24" s="77"/>
      <c r="G24" s="1144"/>
      <c r="H24" s="1164"/>
      <c r="I24" s="263" t="s">
        <v>116</v>
      </c>
      <c r="J24" s="330">
        <f>J18+J21</f>
        <v>785163.6</v>
      </c>
      <c r="K24" s="334">
        <f t="shared" si="1"/>
        <v>237511.98</v>
      </c>
      <c r="L24" s="1165"/>
      <c r="M24" s="51"/>
      <c r="N24" s="1156"/>
      <c r="O24" s="153" t="s">
        <v>199</v>
      </c>
      <c r="P24" s="154">
        <v>134</v>
      </c>
      <c r="Q24" s="287">
        <f>(M89+O89)/P24</f>
        <v>50</v>
      </c>
      <c r="R24" s="290">
        <f>ROUNDUP(Q24*S24,0)</f>
        <v>60</v>
      </c>
      <c r="S24" s="1243">
        <v>1.2</v>
      </c>
      <c r="T24" s="1244"/>
      <c r="U24"/>
      <c r="V24"/>
      <c r="X24" s="918"/>
      <c r="Y24" s="161"/>
      <c r="Z24" s="162"/>
      <c r="AA24" s="162"/>
      <c r="AB24" s="163"/>
      <c r="AC24" s="921"/>
      <c r="AD24" s="922"/>
    </row>
    <row r="25" spans="6:30" ht="17.100000000000001" customHeight="1">
      <c r="F25" s="77"/>
      <c r="G25" s="309"/>
      <c r="H25" s="1168"/>
      <c r="I25" s="1169"/>
      <c r="J25" s="303"/>
      <c r="K25" s="304"/>
      <c r="M25" s="51"/>
      <c r="N25" s="1157"/>
      <c r="O25" s="912" t="s">
        <v>200</v>
      </c>
      <c r="P25" s="913"/>
      <c r="Q25" s="288">
        <f>Q20+Q24</f>
        <v>4860</v>
      </c>
      <c r="R25" s="291">
        <f>SUM(R18+R24)</f>
        <v>7263</v>
      </c>
      <c r="S25" s="306"/>
      <c r="T25" s="307"/>
      <c r="U25"/>
      <c r="V25" s="313"/>
      <c r="X25" s="919"/>
      <c r="Y25" s="165"/>
      <c r="Z25" s="157"/>
      <c r="AA25" s="171"/>
      <c r="AB25" s="157"/>
      <c r="AC25" s="923"/>
      <c r="AD25" s="924"/>
    </row>
    <row r="26" spans="6:30" ht="17.100000000000001" customHeight="1">
      <c r="F26" s="77"/>
      <c r="G26" s="72" t="s">
        <v>48</v>
      </c>
      <c r="H26" s="1105">
        <f>J14*0.2842</f>
        <v>45571.8963</v>
      </c>
      <c r="I26" s="1106"/>
      <c r="J26" s="1107"/>
      <c r="K26" s="12">
        <f>ROUNDDOWN(H26*0.3025,2)</f>
        <v>13785.49</v>
      </c>
      <c r="L26" s="1170">
        <v>50</v>
      </c>
      <c r="M26" s="51"/>
      <c r="N26" s="1172"/>
      <c r="O26" s="1173"/>
      <c r="P26" s="1173"/>
      <c r="Q26" s="1173"/>
      <c r="R26" s="1173"/>
      <c r="S26" s="1173"/>
      <c r="T26" s="1173"/>
      <c r="U26"/>
      <c r="V26" s="313"/>
      <c r="X26" s="919"/>
      <c r="Y26" s="165"/>
      <c r="Z26" s="157"/>
      <c r="AA26" s="314"/>
      <c r="AB26" s="157"/>
      <c r="AC26" s="925"/>
      <c r="AD26" s="926"/>
    </row>
    <row r="27" spans="6:30" ht="17.100000000000001" customHeight="1">
      <c r="F27" s="77"/>
      <c r="G27" s="74" t="s">
        <v>0</v>
      </c>
      <c r="H27" s="1108">
        <f>H26/J14</f>
        <v>0.28420000000000001</v>
      </c>
      <c r="I27" s="1109"/>
      <c r="J27" s="1109"/>
      <c r="K27" s="1110"/>
      <c r="L27" s="1171"/>
      <c r="M27" s="51"/>
      <c r="N27" s="879" t="s">
        <v>236</v>
      </c>
      <c r="O27" s="339">
        <f>H29</f>
        <v>2.999433120363701</v>
      </c>
      <c r="P27" s="340">
        <v>2.5</v>
      </c>
      <c r="Q27" s="341">
        <v>2</v>
      </c>
      <c r="R27" s="342">
        <f>(O27-P27)/Q27</f>
        <v>0.24971656018185051</v>
      </c>
      <c r="S27" s="1175">
        <f>R28</f>
        <v>40042.425000000003</v>
      </c>
      <c r="T27" s="1177">
        <f>P29+P30+P31</f>
        <v>483</v>
      </c>
      <c r="U27"/>
      <c r="V27" s="313"/>
      <c r="X27" s="919"/>
      <c r="Y27" s="165"/>
      <c r="Z27" s="157"/>
      <c r="AA27" s="314"/>
      <c r="AB27" s="157"/>
      <c r="AC27" s="925"/>
      <c r="AD27" s="926"/>
    </row>
    <row r="28" spans="6:30" ht="17.100000000000001" customHeight="1">
      <c r="F28" s="77"/>
      <c r="G28" s="75" t="s">
        <v>64</v>
      </c>
      <c r="H28" s="1105">
        <f>J22-R8-R9</f>
        <v>480963.6</v>
      </c>
      <c r="I28" s="1106"/>
      <c r="J28" s="1107"/>
      <c r="K28" s="12">
        <f>ROUNDDOWN(H28*0.3025,2)</f>
        <v>145491.48000000001</v>
      </c>
      <c r="L28" s="1180" t="s">
        <v>201</v>
      </c>
      <c r="M28" s="51"/>
      <c r="N28" s="1174"/>
      <c r="O28" s="343"/>
      <c r="P28" s="344">
        <f>J14</f>
        <v>160351.5</v>
      </c>
      <c r="Q28" s="345">
        <f>R27</f>
        <v>0.24971656018185051</v>
      </c>
      <c r="R28" s="346">
        <f>P28*Q28</f>
        <v>40042.425000000003</v>
      </c>
      <c r="S28" s="1176"/>
      <c r="T28" s="1178"/>
      <c r="U28" s="274"/>
      <c r="V28" s="275"/>
      <c r="X28" s="919"/>
      <c r="Y28" s="167"/>
      <c r="Z28" s="168"/>
      <c r="AA28" s="172"/>
      <c r="AB28" s="168"/>
      <c r="AC28" s="925"/>
      <c r="AD28" s="926"/>
    </row>
    <row r="29" spans="6:30" ht="17.100000000000001" customHeight="1">
      <c r="F29" s="77"/>
      <c r="G29" s="74" t="s">
        <v>62</v>
      </c>
      <c r="H29" s="854">
        <f>H28/J14</f>
        <v>2.999433120363701</v>
      </c>
      <c r="I29" s="855"/>
      <c r="J29" s="855"/>
      <c r="K29" s="856"/>
      <c r="L29" s="1181"/>
      <c r="M29" s="51"/>
      <c r="N29" s="1174"/>
      <c r="O29" s="347">
        <f>G45</f>
        <v>49</v>
      </c>
      <c r="P29" s="348">
        <f>H42</f>
        <v>193</v>
      </c>
      <c r="Q29" s="349">
        <f>N42</f>
        <v>68.25</v>
      </c>
      <c r="R29" s="350">
        <f>P29*Q29</f>
        <v>13172.25</v>
      </c>
      <c r="S29" s="1182">
        <f>R29+R30+R31</f>
        <v>40075.75</v>
      </c>
      <c r="T29" s="1178"/>
      <c r="U29" s="274"/>
      <c r="V29" s="378">
        <f>S29-S27</f>
        <v>33.32499999999709</v>
      </c>
      <c r="W29" s="169"/>
      <c r="X29" s="919"/>
      <c r="Y29" s="165"/>
      <c r="Z29" s="157"/>
      <c r="AA29" s="170"/>
      <c r="AB29" s="157"/>
      <c r="AC29" s="927"/>
      <c r="AD29" s="929"/>
    </row>
    <row r="30" spans="6:30" ht="17.100000000000001" customHeight="1">
      <c r="F30" s="77"/>
      <c r="G30" s="72" t="s">
        <v>63</v>
      </c>
      <c r="H30" s="1088">
        <f>H78</f>
        <v>4802</v>
      </c>
      <c r="I30" s="1089"/>
      <c r="J30" s="1089"/>
      <c r="K30" s="1090"/>
      <c r="L30" s="20"/>
      <c r="M30" s="51"/>
      <c r="N30" s="1174"/>
      <c r="O30" s="351">
        <f>G47</f>
        <v>59</v>
      </c>
      <c r="P30" s="352">
        <f>H46</f>
        <v>190</v>
      </c>
      <c r="Q30" s="353">
        <f>N46</f>
        <v>82.15</v>
      </c>
      <c r="R30" s="354">
        <f>P30*Q30</f>
        <v>15608.500000000002</v>
      </c>
      <c r="S30" s="1183"/>
      <c r="T30" s="1178"/>
      <c r="U30"/>
      <c r="V30" s="1185"/>
      <c r="W30" s="169"/>
      <c r="X30" s="919"/>
      <c r="Y30" s="230"/>
      <c r="Z30" s="231"/>
      <c r="AA30" s="232"/>
      <c r="AB30" s="231"/>
      <c r="AC30" s="927"/>
      <c r="AD30" s="929"/>
    </row>
    <row r="31" spans="6:30" ht="17.100000000000001" customHeight="1">
      <c r="F31" s="77"/>
      <c r="G31" s="74" t="s">
        <v>37</v>
      </c>
      <c r="H31" s="949">
        <f>R25</f>
        <v>7263</v>
      </c>
      <c r="I31" s="950"/>
      <c r="J31" s="950"/>
      <c r="K31" s="164"/>
      <c r="L31" s="62">
        <f>$R$18/$H$78</f>
        <v>1.5</v>
      </c>
      <c r="M31" s="51"/>
      <c r="N31" s="1174"/>
      <c r="O31" s="355">
        <f>G51</f>
        <v>84</v>
      </c>
      <c r="P31" s="356">
        <f>H50</f>
        <v>100</v>
      </c>
      <c r="Q31" s="357">
        <f>N50</f>
        <v>112.95</v>
      </c>
      <c r="R31" s="346">
        <f>P31*Q31</f>
        <v>11295</v>
      </c>
      <c r="S31" s="1184"/>
      <c r="T31" s="1179"/>
      <c r="U31"/>
      <c r="V31" s="1186"/>
      <c r="X31" s="920"/>
      <c r="Y31" s="166"/>
      <c r="Z31" s="158"/>
      <c r="AA31" s="166"/>
      <c r="AB31" s="158"/>
      <c r="AC31" s="928"/>
      <c r="AD31" s="930"/>
    </row>
    <row r="32" spans="6:30" ht="6.75" customHeight="1">
      <c r="F32" s="77"/>
      <c r="G32" s="76"/>
      <c r="H32" s="57"/>
      <c r="I32" s="57"/>
      <c r="J32" s="57"/>
      <c r="K32" s="57"/>
      <c r="L32" s="57"/>
      <c r="M32" s="52"/>
      <c r="N32" s="57"/>
      <c r="O32" s="57"/>
      <c r="P32" s="57"/>
      <c r="Q32" s="57"/>
      <c r="R32" s="57"/>
      <c r="S32" s="57"/>
      <c r="T32" s="57"/>
      <c r="U32"/>
      <c r="V32" s="10"/>
    </row>
    <row r="33" spans="2:23" ht="17.25">
      <c r="F33" s="77"/>
      <c r="G33" s="951" t="s">
        <v>202</v>
      </c>
      <c r="H33" s="951"/>
      <c r="I33" s="951"/>
      <c r="J33" s="951"/>
      <c r="K33" s="951"/>
      <c r="L33" s="951"/>
      <c r="M33" s="951"/>
      <c r="N33" s="951"/>
      <c r="O33" s="951"/>
      <c r="P33" s="951"/>
      <c r="Q33" s="951"/>
      <c r="R33" s="951"/>
      <c r="S33" s="951"/>
      <c r="T33" s="952"/>
      <c r="W33" s="4"/>
    </row>
    <row r="34" spans="2:23" s="4" customFormat="1" ht="15.75" customHeight="1">
      <c r="B34" s="1122"/>
      <c r="C34" s="1122"/>
      <c r="D34" s="1122"/>
      <c r="E34" s="1122"/>
      <c r="F34" s="78"/>
      <c r="G34" s="957" t="s">
        <v>203</v>
      </c>
      <c r="H34" s="877" t="s">
        <v>139</v>
      </c>
      <c r="I34" s="877" t="s">
        <v>205</v>
      </c>
      <c r="J34" s="877" t="s">
        <v>206</v>
      </c>
      <c r="K34" s="877" t="s">
        <v>207</v>
      </c>
      <c r="L34" s="877"/>
      <c r="M34" s="877"/>
      <c r="N34" s="877" t="s">
        <v>208</v>
      </c>
      <c r="O34" s="877" t="s">
        <v>209</v>
      </c>
      <c r="P34" s="877"/>
      <c r="Q34" s="877"/>
      <c r="R34" s="877" t="s">
        <v>210</v>
      </c>
      <c r="S34" s="877" t="s">
        <v>211</v>
      </c>
      <c r="T34" s="956" t="s">
        <v>212</v>
      </c>
    </row>
    <row r="35" spans="2:23" s="4" customFormat="1" ht="15.75" customHeight="1">
      <c r="B35" s="1122"/>
      <c r="C35" s="1122"/>
      <c r="D35" s="1122"/>
      <c r="E35" s="1122"/>
      <c r="F35" s="78"/>
      <c r="G35" s="958"/>
      <c r="H35" s="878"/>
      <c r="I35" s="878"/>
      <c r="J35" s="878"/>
      <c r="K35" s="80" t="s">
        <v>21</v>
      </c>
      <c r="L35" s="80" t="s">
        <v>142</v>
      </c>
      <c r="M35" s="80" t="s">
        <v>132</v>
      </c>
      <c r="N35" s="878"/>
      <c r="O35" s="80" t="s">
        <v>214</v>
      </c>
      <c r="P35" s="80" t="s">
        <v>15</v>
      </c>
      <c r="Q35" s="80" t="s">
        <v>215</v>
      </c>
      <c r="R35" s="878"/>
      <c r="S35" s="878"/>
      <c r="T35" s="878"/>
      <c r="W35" s="2"/>
    </row>
    <row r="36" spans="2:23" ht="11.25" hidden="1" customHeight="1">
      <c r="B36" s="1127"/>
      <c r="C36" s="1121"/>
      <c r="D36" s="1121"/>
      <c r="E36" s="1121">
        <f>ROUNDUP(H78*0.05,0)</f>
        <v>241</v>
      </c>
      <c r="F36" s="1187" t="e">
        <f>H36/#REF!</f>
        <v>#REF!</v>
      </c>
      <c r="G36" s="297">
        <f>ROUNDDOWN(N37,0)</f>
        <v>17</v>
      </c>
      <c r="H36" s="1194"/>
      <c r="I36" s="1195">
        <f>H36/$H$78</f>
        <v>0</v>
      </c>
      <c r="J36" s="299">
        <f>J54</f>
        <v>39.96</v>
      </c>
      <c r="K36" s="299">
        <f>K54</f>
        <v>3.65</v>
      </c>
      <c r="L36" s="299">
        <f>L54</f>
        <v>14.8</v>
      </c>
      <c r="M36" s="299">
        <f>K36+L36</f>
        <v>18.45</v>
      </c>
      <c r="N36" s="299">
        <f>J36+M36</f>
        <v>58.41</v>
      </c>
      <c r="O36" s="299">
        <f>$O$78/$J$78*J36</f>
        <v>0.11787055953961993</v>
      </c>
      <c r="P36" s="299">
        <f>$P$78/$J$78*J36</f>
        <v>1.1012477991273062</v>
      </c>
      <c r="Q36" s="299">
        <f>$Q$78/$J$78*J36</f>
        <v>32.343681537671706</v>
      </c>
      <c r="R36" s="299">
        <f>O36+P36+Q36</f>
        <v>33.562799896338632</v>
      </c>
      <c r="S36" s="299">
        <f>N36+R36</f>
        <v>91.972799896338628</v>
      </c>
      <c r="T36" s="1196" t="s">
        <v>216</v>
      </c>
      <c r="V36" s="905"/>
    </row>
    <row r="37" spans="2:23" ht="11.25" hidden="1" customHeight="1">
      <c r="B37" s="1076"/>
      <c r="C37" s="1121"/>
      <c r="D37" s="1121"/>
      <c r="E37" s="1121"/>
      <c r="F37" s="1187"/>
      <c r="G37" s="296">
        <v>39</v>
      </c>
      <c r="H37" s="1189"/>
      <c r="I37" s="1191"/>
      <c r="J37" s="298">
        <f t="shared" ref="J37:S37" si="2">ROUNDDOWN(J36*0.3025,2)</f>
        <v>12.08</v>
      </c>
      <c r="K37" s="298">
        <f t="shared" si="2"/>
        <v>1.1000000000000001</v>
      </c>
      <c r="L37" s="298">
        <f t="shared" si="2"/>
        <v>4.47</v>
      </c>
      <c r="M37" s="298">
        <f t="shared" si="2"/>
        <v>5.58</v>
      </c>
      <c r="N37" s="298">
        <f t="shared" si="2"/>
        <v>17.66</v>
      </c>
      <c r="O37" s="298">
        <f t="shared" si="2"/>
        <v>0.03</v>
      </c>
      <c r="P37" s="298">
        <f t="shared" si="2"/>
        <v>0.33</v>
      </c>
      <c r="Q37" s="298">
        <f t="shared" si="2"/>
        <v>9.7799999999999994</v>
      </c>
      <c r="R37" s="298">
        <f t="shared" si="2"/>
        <v>10.15</v>
      </c>
      <c r="S37" s="298">
        <f t="shared" si="2"/>
        <v>27.82</v>
      </c>
      <c r="T37" s="1197"/>
      <c r="V37" s="906"/>
    </row>
    <row r="38" spans="2:23" ht="12" hidden="1" customHeight="1">
      <c r="B38" s="1127"/>
      <c r="C38" s="1121"/>
      <c r="D38" s="1121"/>
      <c r="E38" s="1121"/>
      <c r="F38" s="1187" t="e">
        <f>H38/#REF!</f>
        <v>#REF!</v>
      </c>
      <c r="G38" s="300">
        <f>ROUNDDOWN(N39,0)</f>
        <v>20</v>
      </c>
      <c r="H38" s="1188"/>
      <c r="I38" s="1190">
        <f>H38/$H$78</f>
        <v>0</v>
      </c>
      <c r="J38" s="302">
        <f>J56</f>
        <v>49.9</v>
      </c>
      <c r="K38" s="302">
        <f>K56</f>
        <v>3.85</v>
      </c>
      <c r="L38" s="302">
        <f>L56</f>
        <v>14.9</v>
      </c>
      <c r="M38" s="302">
        <f>K38+L38</f>
        <v>18.75</v>
      </c>
      <c r="N38" s="302">
        <f>M38+J38</f>
        <v>68.650000000000006</v>
      </c>
      <c r="O38" s="302">
        <f>$O$78/$J$78*J38</f>
        <v>0.14719071373941528</v>
      </c>
      <c r="P38" s="302">
        <f>$P$78/$J$78*J38</f>
        <v>1.3751818112225369</v>
      </c>
      <c r="Q38" s="302">
        <f>$Q$78/$J$78*J38</f>
        <v>40.389131850095552</v>
      </c>
      <c r="R38" s="315">
        <f>O38+P38+Q38</f>
        <v>41.911504375057504</v>
      </c>
      <c r="S38" s="302">
        <f>N38+R38</f>
        <v>110.56150437505751</v>
      </c>
      <c r="T38" s="1197"/>
      <c r="V38" s="130"/>
    </row>
    <row r="39" spans="2:23" ht="12" hidden="1" customHeight="1">
      <c r="B39" s="1076"/>
      <c r="C39" s="1121"/>
      <c r="D39" s="1121"/>
      <c r="E39" s="1121"/>
      <c r="F39" s="1187"/>
      <c r="G39" s="296">
        <f>ROUNDDOWN(J38,0)</f>
        <v>49</v>
      </c>
      <c r="H39" s="1189"/>
      <c r="I39" s="1191"/>
      <c r="J39" s="298">
        <f t="shared" ref="J39:S39" si="3">ROUNDDOWN(J38*0.3025,2)</f>
        <v>15.09</v>
      </c>
      <c r="K39" s="298">
        <f t="shared" si="3"/>
        <v>1.1599999999999999</v>
      </c>
      <c r="L39" s="298">
        <f t="shared" si="3"/>
        <v>4.5</v>
      </c>
      <c r="M39" s="298">
        <f t="shared" si="3"/>
        <v>5.67</v>
      </c>
      <c r="N39" s="298">
        <f t="shared" si="3"/>
        <v>20.76</v>
      </c>
      <c r="O39" s="298">
        <f t="shared" si="3"/>
        <v>0.04</v>
      </c>
      <c r="P39" s="298">
        <f t="shared" si="3"/>
        <v>0.41</v>
      </c>
      <c r="Q39" s="301">
        <f t="shared" si="3"/>
        <v>12.21</v>
      </c>
      <c r="R39" s="301">
        <f t="shared" si="3"/>
        <v>12.67</v>
      </c>
      <c r="S39" s="301">
        <f t="shared" si="3"/>
        <v>33.44</v>
      </c>
      <c r="T39" s="1197"/>
      <c r="V39" s="148"/>
    </row>
    <row r="40" spans="2:23" ht="12" hidden="1" customHeight="1">
      <c r="B40" s="130"/>
      <c r="C40" s="308"/>
      <c r="D40" s="308"/>
      <c r="E40" s="308"/>
      <c r="F40" s="1187" t="e">
        <f>H40/#REF!</f>
        <v>#REF!</v>
      </c>
      <c r="G40" s="300">
        <f>ROUNDDOWN(N41,0)</f>
        <v>24</v>
      </c>
      <c r="H40" s="1188"/>
      <c r="I40" s="1190">
        <f>H40/$H$78</f>
        <v>0</v>
      </c>
      <c r="J40" s="302">
        <f>J58</f>
        <v>59.95</v>
      </c>
      <c r="K40" s="302">
        <f>K58</f>
        <v>5.8</v>
      </c>
      <c r="L40" s="302">
        <f>L58</f>
        <v>16.399999999999999</v>
      </c>
      <c r="M40" s="302">
        <f>K40+L40</f>
        <v>22.2</v>
      </c>
      <c r="N40" s="302">
        <f>M40+J40</f>
        <v>82.15</v>
      </c>
      <c r="O40" s="302">
        <f>$O$78/$J$78*J40</f>
        <v>0.17683533644645183</v>
      </c>
      <c r="P40" s="302">
        <f>$P$78/$J$78*J40</f>
        <v>1.6521472862282784</v>
      </c>
      <c r="Q40" s="302">
        <f>$Q$78/$J$78*J40</f>
        <v>48.523616320906378</v>
      </c>
      <c r="R40" s="315">
        <f>O40+P40+Q40</f>
        <v>50.352598943581107</v>
      </c>
      <c r="S40" s="302">
        <f>N40+R40</f>
        <v>132.50259894358112</v>
      </c>
      <c r="T40" s="1197"/>
      <c r="V40" s="193"/>
    </row>
    <row r="41" spans="2:23" ht="12" hidden="1" customHeight="1">
      <c r="B41" s="130"/>
      <c r="C41" s="308"/>
      <c r="D41" s="308"/>
      <c r="E41" s="308"/>
      <c r="F41" s="1187"/>
      <c r="G41" s="296">
        <f>ROUNDDOWN(J40,0)</f>
        <v>59</v>
      </c>
      <c r="H41" s="1189"/>
      <c r="I41" s="1191"/>
      <c r="J41" s="298">
        <f t="shared" ref="J41:S41" si="4">ROUNDDOWN(J40*0.3025,2)</f>
        <v>18.13</v>
      </c>
      <c r="K41" s="298">
        <f t="shared" si="4"/>
        <v>1.75</v>
      </c>
      <c r="L41" s="298">
        <f t="shared" si="4"/>
        <v>4.96</v>
      </c>
      <c r="M41" s="298">
        <f t="shared" si="4"/>
        <v>6.71</v>
      </c>
      <c r="N41" s="298">
        <f t="shared" si="4"/>
        <v>24.85</v>
      </c>
      <c r="O41" s="298">
        <f t="shared" si="4"/>
        <v>0.05</v>
      </c>
      <c r="P41" s="298">
        <f t="shared" si="4"/>
        <v>0.49</v>
      </c>
      <c r="Q41" s="301">
        <f t="shared" si="4"/>
        <v>14.67</v>
      </c>
      <c r="R41" s="301">
        <f t="shared" si="4"/>
        <v>15.23</v>
      </c>
      <c r="S41" s="301">
        <f t="shared" si="4"/>
        <v>40.08</v>
      </c>
      <c r="T41" s="1197"/>
      <c r="V41" s="193"/>
    </row>
    <row r="42" spans="2:23" ht="12" customHeight="1">
      <c r="B42" s="130"/>
      <c r="C42" s="308"/>
      <c r="D42" s="308"/>
      <c r="E42" s="1128">
        <f>H42/$H$52</f>
        <v>0.39958592132505177</v>
      </c>
      <c r="F42" s="336"/>
      <c r="G42" s="316">
        <f>ROUNDDOWN(N43,0)</f>
        <v>20</v>
      </c>
      <c r="H42" s="1192">
        <v>193</v>
      </c>
      <c r="I42" s="369">
        <f>H42/$H$78</f>
        <v>4.0191586838817163E-2</v>
      </c>
      <c r="J42" s="364">
        <v>49.9</v>
      </c>
      <c r="K42" s="364">
        <v>3.85</v>
      </c>
      <c r="L42" s="364">
        <v>14.5</v>
      </c>
      <c r="M42" s="364">
        <f>K42+L42</f>
        <v>18.350000000000001</v>
      </c>
      <c r="N42" s="364">
        <f>M42+J42</f>
        <v>68.25</v>
      </c>
      <c r="O42" s="364">
        <f>$O$78/$J$78*J42</f>
        <v>0.14719071373941528</v>
      </c>
      <c r="P42" s="364">
        <f>$P$78/$J$78*J42</f>
        <v>1.3751818112225369</v>
      </c>
      <c r="Q42" s="364">
        <f>$Q$78/$J$78*J42</f>
        <v>40.389131850095552</v>
      </c>
      <c r="R42" s="364">
        <f>O42+P42+Q42</f>
        <v>41.911504375057504</v>
      </c>
      <c r="S42" s="364">
        <f>N42+R42</f>
        <v>110.1615043750575</v>
      </c>
      <c r="T42" s="1198" t="s">
        <v>159</v>
      </c>
      <c r="U42" s="173">
        <f>J42/N42</f>
        <v>0.73113553113553109</v>
      </c>
      <c r="V42" s="193"/>
    </row>
    <row r="43" spans="2:23" ht="12" customHeight="1">
      <c r="B43" s="130"/>
      <c r="C43" s="308"/>
      <c r="D43" s="308"/>
      <c r="E43" s="1129"/>
      <c r="F43" s="336"/>
      <c r="G43" s="318">
        <f>ROUNDDOWN(J42,0)</f>
        <v>49</v>
      </c>
      <c r="H43" s="1193"/>
      <c r="I43" s="373">
        <f>H42/$H$52</f>
        <v>0.39958592132505177</v>
      </c>
      <c r="J43" s="319">
        <f t="shared" ref="J43:S43" si="5">ROUNDDOWN(J42*0.3025,2)</f>
        <v>15.09</v>
      </c>
      <c r="K43" s="319">
        <f t="shared" si="5"/>
        <v>1.1599999999999999</v>
      </c>
      <c r="L43" s="319">
        <f t="shared" si="5"/>
        <v>4.38</v>
      </c>
      <c r="M43" s="319">
        <f t="shared" si="5"/>
        <v>5.55</v>
      </c>
      <c r="N43" s="319">
        <f t="shared" si="5"/>
        <v>20.64</v>
      </c>
      <c r="O43" s="319">
        <f t="shared" si="5"/>
        <v>0.04</v>
      </c>
      <c r="P43" s="319">
        <f t="shared" si="5"/>
        <v>0.41</v>
      </c>
      <c r="Q43" s="320">
        <f t="shared" si="5"/>
        <v>12.21</v>
      </c>
      <c r="R43" s="320">
        <f t="shared" si="5"/>
        <v>12.67</v>
      </c>
      <c r="S43" s="320">
        <f t="shared" si="5"/>
        <v>33.32</v>
      </c>
      <c r="T43" s="1198"/>
      <c r="U43" s="173"/>
      <c r="V43" s="193"/>
    </row>
    <row r="44" spans="2:23" ht="12" hidden="1" customHeight="1">
      <c r="B44" s="130"/>
      <c r="C44" s="308"/>
      <c r="D44" s="308"/>
      <c r="E44" s="1130">
        <f>C44/$H$78</f>
        <v>0</v>
      </c>
      <c r="F44" s="336"/>
      <c r="G44" s="316">
        <f>ROUNDDOWN(N43,0)</f>
        <v>20</v>
      </c>
      <c r="H44" s="1192"/>
      <c r="I44" s="1130">
        <f>H44/$H$78</f>
        <v>0</v>
      </c>
      <c r="T44" s="1198"/>
      <c r="U44" s="173"/>
      <c r="V44" s="193"/>
    </row>
    <row r="45" spans="2:23" ht="12" hidden="1" customHeight="1">
      <c r="B45" s="130"/>
      <c r="C45" s="308"/>
      <c r="D45" s="308"/>
      <c r="E45" s="1129"/>
      <c r="F45" s="336"/>
      <c r="G45" s="318">
        <f>ROUNDDOWN(J42,0)</f>
        <v>49</v>
      </c>
      <c r="H45" s="1193"/>
      <c r="I45" s="1129"/>
      <c r="T45" s="1198"/>
      <c r="U45" s="173"/>
      <c r="V45" s="193"/>
    </row>
    <row r="46" spans="2:23" ht="12" customHeight="1">
      <c r="B46" s="1127"/>
      <c r="C46" s="1121"/>
      <c r="D46" s="1121"/>
      <c r="E46" s="1128">
        <f>H46/$H$52</f>
        <v>0.39337474120082816</v>
      </c>
      <c r="F46" s="130"/>
      <c r="G46" s="316">
        <f>ROUNDDOWN(N47,0)</f>
        <v>24</v>
      </c>
      <c r="H46" s="1200">
        <v>190</v>
      </c>
      <c r="I46" s="369">
        <f>H46/$H$78</f>
        <v>3.9566847147022077E-2</v>
      </c>
      <c r="J46" s="364">
        <f>J58</f>
        <v>59.95</v>
      </c>
      <c r="K46" s="364">
        <f>K58</f>
        <v>5.8</v>
      </c>
      <c r="L46" s="364">
        <v>16.399999999999999</v>
      </c>
      <c r="M46" s="364">
        <f>K46+L46</f>
        <v>22.2</v>
      </c>
      <c r="N46" s="364">
        <f>M46+J46</f>
        <v>82.15</v>
      </c>
      <c r="O46" s="364">
        <f>$O$78/$J$78*J46</f>
        <v>0.17683533644645183</v>
      </c>
      <c r="P46" s="364">
        <f>$P$78/$J$78*J46</f>
        <v>1.6521472862282784</v>
      </c>
      <c r="Q46" s="364">
        <f>$Q$78/$J$78*J46</f>
        <v>48.523616320906378</v>
      </c>
      <c r="R46" s="364">
        <f>O46+P46+Q46</f>
        <v>50.352598943581107</v>
      </c>
      <c r="S46" s="364">
        <f>N46+R46</f>
        <v>132.50259894358112</v>
      </c>
      <c r="T46" s="1198"/>
      <c r="U46" s="173">
        <f>J46/N46</f>
        <v>0.72976262933657943</v>
      </c>
      <c r="V46" s="193"/>
    </row>
    <row r="47" spans="2:23" ht="12" customHeight="1">
      <c r="B47" s="1076"/>
      <c r="C47" s="1121"/>
      <c r="D47" s="1121"/>
      <c r="E47" s="1129"/>
      <c r="F47" s="130"/>
      <c r="G47" s="318">
        <f>ROUNDDOWN(J46,0)</f>
        <v>59</v>
      </c>
      <c r="H47" s="1193"/>
      <c r="I47" s="373">
        <f>H46/$H$52</f>
        <v>0.39337474120082816</v>
      </c>
      <c r="J47" s="319">
        <f t="shared" ref="J47:S47" si="6">ROUNDDOWN(J46*0.3025,2)</f>
        <v>18.13</v>
      </c>
      <c r="K47" s="319">
        <f t="shared" si="6"/>
        <v>1.75</v>
      </c>
      <c r="L47" s="319">
        <f t="shared" si="6"/>
        <v>4.96</v>
      </c>
      <c r="M47" s="319">
        <f t="shared" si="6"/>
        <v>6.71</v>
      </c>
      <c r="N47" s="319">
        <f t="shared" si="6"/>
        <v>24.85</v>
      </c>
      <c r="O47" s="319">
        <f t="shared" si="6"/>
        <v>0.05</v>
      </c>
      <c r="P47" s="319">
        <f t="shared" si="6"/>
        <v>0.49</v>
      </c>
      <c r="Q47" s="320">
        <f t="shared" si="6"/>
        <v>14.67</v>
      </c>
      <c r="R47" s="320">
        <f t="shared" si="6"/>
        <v>15.23</v>
      </c>
      <c r="S47" s="320">
        <f t="shared" si="6"/>
        <v>40.08</v>
      </c>
      <c r="T47" s="1198"/>
      <c r="U47" s="173"/>
      <c r="V47" s="193"/>
    </row>
    <row r="48" spans="2:23" ht="12" hidden="1" customHeight="1">
      <c r="B48" s="130"/>
      <c r="C48" s="308"/>
      <c r="D48" s="308"/>
      <c r="E48" s="1128">
        <f>C48/$H$78</f>
        <v>0</v>
      </c>
      <c r="F48" s="130"/>
      <c r="G48" s="316">
        <f>ROUNDDOWN(N49,0)</f>
        <v>30</v>
      </c>
      <c r="H48" s="1200"/>
      <c r="I48" s="1128">
        <f>H48/$H$78</f>
        <v>0</v>
      </c>
      <c r="J48" s="317">
        <f>J60</f>
        <v>74</v>
      </c>
      <c r="K48" s="317">
        <f>K60</f>
        <v>6.8</v>
      </c>
      <c r="L48" s="317">
        <f>L60</f>
        <v>18.5</v>
      </c>
      <c r="M48" s="317">
        <f>K48+L48</f>
        <v>25.3</v>
      </c>
      <c r="N48" s="317">
        <f>M48+J48</f>
        <v>99.3</v>
      </c>
      <c r="O48" s="317">
        <f>$O$78/$J$78*J48</f>
        <v>0.21827881396225912</v>
      </c>
      <c r="P48" s="317">
        <f>$P$78/$J$78*J48</f>
        <v>2.0393477761616783</v>
      </c>
      <c r="Q48" s="317">
        <f>$Q$78/$J$78*J48</f>
        <v>59.895706551243904</v>
      </c>
      <c r="R48" s="317">
        <f>O48+P48+Q48</f>
        <v>62.153333141367838</v>
      </c>
      <c r="S48" s="317">
        <f>N48+R48</f>
        <v>161.45333314136784</v>
      </c>
      <c r="T48" s="1198"/>
      <c r="U48" s="173"/>
      <c r="V48" s="193"/>
    </row>
    <row r="49" spans="2:22" ht="12" hidden="1" customHeight="1">
      <c r="B49" s="130"/>
      <c r="C49" s="308"/>
      <c r="D49" s="308"/>
      <c r="E49" s="1129"/>
      <c r="F49" s="130"/>
      <c r="G49" s="318">
        <f>ROUNDDOWN(J48,0)</f>
        <v>74</v>
      </c>
      <c r="H49" s="1193"/>
      <c r="I49" s="1129"/>
      <c r="J49" s="319">
        <f t="shared" ref="J49:S49" si="7">ROUNDDOWN(J48*0.3025,2)</f>
        <v>22.38</v>
      </c>
      <c r="K49" s="319">
        <f t="shared" si="7"/>
        <v>2.0499999999999998</v>
      </c>
      <c r="L49" s="319">
        <f t="shared" si="7"/>
        <v>5.59</v>
      </c>
      <c r="M49" s="319">
        <f t="shared" si="7"/>
        <v>7.65</v>
      </c>
      <c r="N49" s="319">
        <f t="shared" si="7"/>
        <v>30.03</v>
      </c>
      <c r="O49" s="319">
        <f t="shared" si="7"/>
        <v>0.06</v>
      </c>
      <c r="P49" s="319">
        <f t="shared" si="7"/>
        <v>0.61</v>
      </c>
      <c r="Q49" s="320">
        <f t="shared" si="7"/>
        <v>18.11</v>
      </c>
      <c r="R49" s="320">
        <f t="shared" si="7"/>
        <v>18.8</v>
      </c>
      <c r="S49" s="320">
        <f t="shared" si="7"/>
        <v>48.83</v>
      </c>
      <c r="T49" s="1198"/>
      <c r="U49" s="173"/>
      <c r="V49" s="193"/>
    </row>
    <row r="50" spans="2:22" ht="12" customHeight="1">
      <c r="B50" s="1127"/>
      <c r="C50" s="1121"/>
      <c r="D50" s="1121"/>
      <c r="E50" s="1128">
        <f>H50/$H$52</f>
        <v>0.20703933747412009</v>
      </c>
      <c r="F50" s="130"/>
      <c r="G50" s="316">
        <f>ROUNDDOWN(N51,0)</f>
        <v>34</v>
      </c>
      <c r="H50" s="1200">
        <v>100</v>
      </c>
      <c r="I50" s="369">
        <f>H50/$H$78</f>
        <v>2.0824656393169511E-2</v>
      </c>
      <c r="J50" s="364">
        <f>J62</f>
        <v>84.95</v>
      </c>
      <c r="K50" s="364">
        <v>7.5</v>
      </c>
      <c r="L50" s="364">
        <v>20.5</v>
      </c>
      <c r="M50" s="364">
        <f>K50+L50</f>
        <v>28</v>
      </c>
      <c r="N50" s="364">
        <f>M50+J50</f>
        <v>112.95</v>
      </c>
      <c r="O50" s="364">
        <f>$O$78/$J$78*J50</f>
        <v>0.25057817900126911</v>
      </c>
      <c r="P50" s="364">
        <f>$P$78/$J$78*J50</f>
        <v>2.3411161295261427</v>
      </c>
      <c r="Q50" s="364">
        <f>$Q$78/$J$78*J50</f>
        <v>68.758652317948233</v>
      </c>
      <c r="R50" s="364">
        <f>O50+P50+Q50</f>
        <v>71.350346626475641</v>
      </c>
      <c r="S50" s="364">
        <f>N50+R50</f>
        <v>184.30034662647563</v>
      </c>
      <c r="T50" s="1198"/>
      <c r="U50" s="173">
        <f>J50/N50</f>
        <v>0.75210270030987159</v>
      </c>
      <c r="V50" s="193"/>
    </row>
    <row r="51" spans="2:22" ht="12" customHeight="1">
      <c r="B51" s="1076"/>
      <c r="C51" s="1121"/>
      <c r="D51" s="1121"/>
      <c r="E51" s="1129"/>
      <c r="G51" s="318">
        <f>ROUNDDOWN(J50,0)</f>
        <v>84</v>
      </c>
      <c r="H51" s="1193"/>
      <c r="I51" s="373">
        <f>H50/$H$52</f>
        <v>0.20703933747412009</v>
      </c>
      <c r="J51" s="319">
        <f t="shared" ref="J51:S51" si="8">ROUNDDOWN(J50*0.3025,2)</f>
        <v>25.69</v>
      </c>
      <c r="K51" s="319">
        <f t="shared" si="8"/>
        <v>2.2599999999999998</v>
      </c>
      <c r="L51" s="319">
        <f t="shared" si="8"/>
        <v>6.2</v>
      </c>
      <c r="M51" s="319">
        <f t="shared" si="8"/>
        <v>8.4700000000000006</v>
      </c>
      <c r="N51" s="319">
        <f t="shared" si="8"/>
        <v>34.159999999999997</v>
      </c>
      <c r="O51" s="319">
        <f t="shared" si="8"/>
        <v>7.0000000000000007E-2</v>
      </c>
      <c r="P51" s="319">
        <f t="shared" si="8"/>
        <v>0.7</v>
      </c>
      <c r="Q51" s="320">
        <f t="shared" si="8"/>
        <v>20.79</v>
      </c>
      <c r="R51" s="320">
        <f t="shared" si="8"/>
        <v>21.58</v>
      </c>
      <c r="S51" s="320">
        <f t="shared" si="8"/>
        <v>55.75</v>
      </c>
      <c r="T51" s="1199"/>
      <c r="U51" s="173"/>
      <c r="V51" s="193"/>
    </row>
    <row r="52" spans="2:22" ht="12" customHeight="1">
      <c r="B52" s="1127"/>
      <c r="C52" s="1121"/>
      <c r="D52" s="1121"/>
      <c r="E52" s="1201">
        <f>SUM(E42:E51)</f>
        <v>1</v>
      </c>
      <c r="G52" s="1202" t="s">
        <v>82</v>
      </c>
      <c r="H52" s="1204">
        <f>SUM(H36:H51)</f>
        <v>483</v>
      </c>
      <c r="I52" s="370">
        <f>I42+I46+I50</f>
        <v>0.10058309037900874</v>
      </c>
      <c r="J52" s="365">
        <f>SUMPRODUCT(H36:H51,J36:J51)</f>
        <v>29516.199999999997</v>
      </c>
      <c r="K52" s="365">
        <f>SUMPRODUCT(H36:H51,K36:K51)</f>
        <v>2595.0500000000002</v>
      </c>
      <c r="L52" s="365">
        <f>SUMPRODUCT(H36:H51,L36:L51)</f>
        <v>7964.5</v>
      </c>
      <c r="M52" s="365">
        <f>K52+L52</f>
        <v>10559.55</v>
      </c>
      <c r="N52" s="365">
        <f>J52+M52</f>
        <v>40075.75</v>
      </c>
      <c r="O52" s="365">
        <f>SUMPRODUCT(H36:H51,O36:O51)</f>
        <v>87.064339576659904</v>
      </c>
      <c r="P52" s="365">
        <f>SUMPRODUCT(H36:H51,P36:P51)</f>
        <v>813.42968690193675</v>
      </c>
      <c r="Q52" s="365">
        <f>SUMPRODUCT(H36:H51,Q36:Q51)</f>
        <v>23890.454779835476</v>
      </c>
      <c r="R52" s="365">
        <f>O52+P52+Q52</f>
        <v>24790.948806314074</v>
      </c>
      <c r="S52" s="365">
        <f>N52+R52</f>
        <v>64866.698806314074</v>
      </c>
      <c r="T52" s="1206"/>
      <c r="U52" s="173"/>
    </row>
    <row r="53" spans="2:22" ht="12" customHeight="1">
      <c r="B53" s="1076"/>
      <c r="C53" s="1121"/>
      <c r="D53" s="1121"/>
      <c r="E53" s="1132"/>
      <c r="G53" s="1203"/>
      <c r="H53" s="1205"/>
      <c r="I53" s="376">
        <f>I43+I47+I51</f>
        <v>1</v>
      </c>
      <c r="J53" s="292">
        <f t="shared" ref="J53:S53" si="9">ROUNDDOWN(J52*0.3025,2)</f>
        <v>8928.65</v>
      </c>
      <c r="K53" s="292">
        <f t="shared" si="9"/>
        <v>785</v>
      </c>
      <c r="L53" s="292">
        <f t="shared" si="9"/>
        <v>2409.2600000000002</v>
      </c>
      <c r="M53" s="292">
        <f t="shared" si="9"/>
        <v>3194.26</v>
      </c>
      <c r="N53" s="292">
        <f t="shared" si="9"/>
        <v>12122.91</v>
      </c>
      <c r="O53" s="292">
        <f t="shared" si="9"/>
        <v>26.33</v>
      </c>
      <c r="P53" s="292">
        <f t="shared" si="9"/>
        <v>246.06</v>
      </c>
      <c r="Q53" s="292">
        <f t="shared" si="9"/>
        <v>7226.86</v>
      </c>
      <c r="R53" s="292">
        <f t="shared" si="9"/>
        <v>7499.26</v>
      </c>
      <c r="S53" s="292">
        <f t="shared" si="9"/>
        <v>19622.169999999998</v>
      </c>
      <c r="T53" s="1207"/>
      <c r="U53" s="173"/>
    </row>
    <row r="54" spans="2:22" ht="12" hidden="1" customHeight="1">
      <c r="B54" s="86"/>
      <c r="C54" s="1121"/>
      <c r="D54" s="937"/>
      <c r="E54" s="937">
        <f>C54/$H$78</f>
        <v>0</v>
      </c>
      <c r="F54" s="1075"/>
      <c r="G54" s="86">
        <f>ROUNDDOWN(N55,0)</f>
        <v>17</v>
      </c>
      <c r="H54" s="935"/>
      <c r="I54" s="937">
        <f>H54/$H$78</f>
        <v>0</v>
      </c>
      <c r="J54" s="89">
        <v>39.96</v>
      </c>
      <c r="K54" s="89">
        <v>3.65</v>
      </c>
      <c r="L54" s="89">
        <v>14.8</v>
      </c>
      <c r="M54" s="89">
        <f>K54+L54</f>
        <v>18.45</v>
      </c>
      <c r="N54" s="89">
        <f>J54+M54</f>
        <v>58.41</v>
      </c>
      <c r="O54" s="89">
        <f>$O$78/$J$78*J54</f>
        <v>0.11787055953961993</v>
      </c>
      <c r="P54" s="89">
        <f>$P$78/$J$78*J54</f>
        <v>1.1012477991273062</v>
      </c>
      <c r="Q54" s="89">
        <f>$Q$78/$J$78*J54</f>
        <v>32.343681537671706</v>
      </c>
      <c r="R54" s="89">
        <f>O54+P54+Q54</f>
        <v>33.562799896338632</v>
      </c>
      <c r="S54" s="89">
        <f>N54+R54</f>
        <v>91.972799896338628</v>
      </c>
      <c r="T54" s="898" t="s">
        <v>137</v>
      </c>
      <c r="U54" s="173"/>
    </row>
    <row r="55" spans="2:22" ht="12" hidden="1" customHeight="1">
      <c r="B55" s="87"/>
      <c r="C55" s="1121"/>
      <c r="D55" s="938"/>
      <c r="E55" s="938"/>
      <c r="F55" s="1076"/>
      <c r="G55" s="87">
        <v>39</v>
      </c>
      <c r="H55" s="936"/>
      <c r="I55" s="938"/>
      <c r="J55" s="111">
        <f t="shared" ref="J55:S55" si="10">ROUNDDOWN(J54*0.3025,2)</f>
        <v>12.08</v>
      </c>
      <c r="K55" s="111">
        <f t="shared" si="10"/>
        <v>1.1000000000000001</v>
      </c>
      <c r="L55" s="111">
        <f t="shared" si="10"/>
        <v>4.47</v>
      </c>
      <c r="M55" s="111">
        <f t="shared" si="10"/>
        <v>5.58</v>
      </c>
      <c r="N55" s="111">
        <f t="shared" si="10"/>
        <v>17.66</v>
      </c>
      <c r="O55" s="111">
        <f t="shared" si="10"/>
        <v>0.03</v>
      </c>
      <c r="P55" s="111">
        <f t="shared" si="10"/>
        <v>0.33</v>
      </c>
      <c r="Q55" s="111">
        <f t="shared" si="10"/>
        <v>9.7799999999999994</v>
      </c>
      <c r="R55" s="111">
        <f t="shared" si="10"/>
        <v>10.15</v>
      </c>
      <c r="S55" s="111">
        <f t="shared" si="10"/>
        <v>27.82</v>
      </c>
      <c r="T55" s="899"/>
      <c r="U55" s="173"/>
    </row>
    <row r="56" spans="2:22" ht="12" customHeight="1">
      <c r="B56" s="88"/>
      <c r="C56" s="1121"/>
      <c r="D56" s="940"/>
      <c r="E56" s="940">
        <f>H56/$H$76</f>
        <v>0.10419078490391294</v>
      </c>
      <c r="F56" s="1075"/>
      <c r="G56" s="88">
        <f>ROUNDDOWN(N57,0)</f>
        <v>20</v>
      </c>
      <c r="H56" s="1085">
        <v>450</v>
      </c>
      <c r="I56" s="372">
        <f>H56/$H$78</f>
        <v>9.3710953769262806E-2</v>
      </c>
      <c r="J56" s="366">
        <v>49.9</v>
      </c>
      <c r="K56" s="366">
        <v>3.85</v>
      </c>
      <c r="L56" s="366">
        <v>14.9</v>
      </c>
      <c r="M56" s="366">
        <f>K56+L56</f>
        <v>18.75</v>
      </c>
      <c r="N56" s="366">
        <f>M56+J56</f>
        <v>68.650000000000006</v>
      </c>
      <c r="O56" s="366">
        <f>$O$78/$J$78*J56</f>
        <v>0.14719071373941528</v>
      </c>
      <c r="P56" s="366">
        <f>$P$78/$J$78*J56</f>
        <v>1.3751818112225369</v>
      </c>
      <c r="Q56" s="366">
        <f>$Q$78/$J$78*J56</f>
        <v>40.389131850095552</v>
      </c>
      <c r="R56" s="366">
        <f>O56+P56+Q56</f>
        <v>41.911504375057504</v>
      </c>
      <c r="S56" s="366">
        <f>N56+R56</f>
        <v>110.56150437505751</v>
      </c>
      <c r="T56" s="899"/>
      <c r="U56" s="173">
        <f>J56/N56</f>
        <v>0.72687545520757457</v>
      </c>
    </row>
    <row r="57" spans="2:22" ht="12" customHeight="1">
      <c r="B57" s="87"/>
      <c r="C57" s="1121"/>
      <c r="D57" s="938"/>
      <c r="E57" s="938"/>
      <c r="F57" s="1076"/>
      <c r="G57" s="87">
        <f>ROUNDDOWN(J56,0)</f>
        <v>49</v>
      </c>
      <c r="H57" s="936"/>
      <c r="I57" s="374">
        <f>H56/$H$76</f>
        <v>0.10419078490391294</v>
      </c>
      <c r="J57" s="111">
        <f t="shared" ref="J57:S57" si="11">ROUNDDOWN(J56*0.3025,2)</f>
        <v>15.09</v>
      </c>
      <c r="K57" s="111">
        <f t="shared" si="11"/>
        <v>1.1599999999999999</v>
      </c>
      <c r="L57" s="111">
        <f t="shared" si="11"/>
        <v>4.5</v>
      </c>
      <c r="M57" s="111">
        <f t="shared" si="11"/>
        <v>5.67</v>
      </c>
      <c r="N57" s="111">
        <f t="shared" si="11"/>
        <v>20.76</v>
      </c>
      <c r="O57" s="111">
        <f t="shared" si="11"/>
        <v>0.04</v>
      </c>
      <c r="P57" s="111">
        <f t="shared" si="11"/>
        <v>0.41</v>
      </c>
      <c r="Q57" s="278">
        <f t="shared" si="11"/>
        <v>12.21</v>
      </c>
      <c r="R57" s="278">
        <f t="shared" si="11"/>
        <v>12.67</v>
      </c>
      <c r="S57" s="278">
        <f t="shared" si="11"/>
        <v>33.44</v>
      </c>
      <c r="T57" s="899"/>
      <c r="U57" s="173"/>
    </row>
    <row r="58" spans="2:22" ht="12" customHeight="1">
      <c r="B58" s="88"/>
      <c r="C58" s="1121"/>
      <c r="D58" s="940"/>
      <c r="E58" s="940">
        <f>H58/$H$76</f>
        <v>0.26371845334568189</v>
      </c>
      <c r="F58" s="1075"/>
      <c r="G58" s="88">
        <f>ROUNDDOWN(N59,0)</f>
        <v>24</v>
      </c>
      <c r="H58" s="939">
        <v>1139</v>
      </c>
      <c r="I58" s="372">
        <f>H58/$H$78</f>
        <v>0.23719283631820076</v>
      </c>
      <c r="J58" s="366">
        <v>59.95</v>
      </c>
      <c r="K58" s="366">
        <v>5.8</v>
      </c>
      <c r="L58" s="366">
        <v>16.399999999999999</v>
      </c>
      <c r="M58" s="366">
        <f>K58+L58</f>
        <v>22.2</v>
      </c>
      <c r="N58" s="366">
        <f>M58+J58</f>
        <v>82.15</v>
      </c>
      <c r="O58" s="366">
        <f>$O$78/$J$78*J58</f>
        <v>0.17683533644645183</v>
      </c>
      <c r="P58" s="366">
        <f>$P$78/$J$78*J58</f>
        <v>1.6521472862282784</v>
      </c>
      <c r="Q58" s="366">
        <f>$Q$78/$J$78*J58</f>
        <v>48.523616320906378</v>
      </c>
      <c r="R58" s="366">
        <f>O58+P58+Q58</f>
        <v>50.352598943581107</v>
      </c>
      <c r="S58" s="367">
        <f>N58+R58</f>
        <v>132.50259894358112</v>
      </c>
      <c r="T58" s="899"/>
      <c r="U58" s="173">
        <f>J58/N58</f>
        <v>0.72976262933657943</v>
      </c>
    </row>
    <row r="59" spans="2:22" ht="12" customHeight="1">
      <c r="B59" s="87"/>
      <c r="C59" s="1121"/>
      <c r="D59" s="938"/>
      <c r="E59" s="938"/>
      <c r="F59" s="1076"/>
      <c r="G59" s="87">
        <f>ROUNDDOWN(J58,0)</f>
        <v>59</v>
      </c>
      <c r="H59" s="936"/>
      <c r="I59" s="374">
        <f>H58/$H$76</f>
        <v>0.26371845334568189</v>
      </c>
      <c r="J59" s="111">
        <f t="shared" ref="J59:S59" si="12">ROUNDDOWN(J58*0.3025,2)</f>
        <v>18.13</v>
      </c>
      <c r="K59" s="111">
        <f t="shared" si="12"/>
        <v>1.75</v>
      </c>
      <c r="L59" s="111">
        <f t="shared" si="12"/>
        <v>4.96</v>
      </c>
      <c r="M59" s="111">
        <f t="shared" si="12"/>
        <v>6.71</v>
      </c>
      <c r="N59" s="111">
        <f t="shared" si="12"/>
        <v>24.85</v>
      </c>
      <c r="O59" s="111">
        <f t="shared" si="12"/>
        <v>0.05</v>
      </c>
      <c r="P59" s="111">
        <f t="shared" si="12"/>
        <v>0.49</v>
      </c>
      <c r="Q59" s="111">
        <f t="shared" si="12"/>
        <v>14.67</v>
      </c>
      <c r="R59" s="111">
        <f t="shared" si="12"/>
        <v>15.23</v>
      </c>
      <c r="S59" s="111">
        <f t="shared" si="12"/>
        <v>40.08</v>
      </c>
      <c r="T59" s="899"/>
      <c r="U59" s="173"/>
    </row>
    <row r="60" spans="2:22" ht="12" customHeight="1">
      <c r="B60" s="88"/>
      <c r="C60" s="1121"/>
      <c r="D60" s="940"/>
      <c r="E60" s="940">
        <f>H60/$H$76</f>
        <v>6.9460523269275293E-2</v>
      </c>
      <c r="F60" s="1076"/>
      <c r="G60" s="88">
        <f>ROUNDDOWN(N61,0)</f>
        <v>30</v>
      </c>
      <c r="H60" s="939">
        <v>300</v>
      </c>
      <c r="I60" s="377">
        <f>H60/$H$78</f>
        <v>6.2473969179508537E-2</v>
      </c>
      <c r="J60" s="366">
        <v>74</v>
      </c>
      <c r="K60" s="366">
        <v>6.8</v>
      </c>
      <c r="L60" s="366">
        <v>18.5</v>
      </c>
      <c r="M60" s="366">
        <f>K60+L60</f>
        <v>25.3</v>
      </c>
      <c r="N60" s="366">
        <f>J60+M60</f>
        <v>99.3</v>
      </c>
      <c r="O60" s="366">
        <f>$O$78/$J$78*J60</f>
        <v>0.21827881396225912</v>
      </c>
      <c r="P60" s="366">
        <f>$P$78/$J$78*J60</f>
        <v>2.0393477761616783</v>
      </c>
      <c r="Q60" s="366">
        <f>$Q$78/$J$78*J60</f>
        <v>59.895706551243904</v>
      </c>
      <c r="R60" s="366">
        <f>O60+P60+Q60</f>
        <v>62.153333141367838</v>
      </c>
      <c r="S60" s="366">
        <f>N60+R60</f>
        <v>161.45333314136784</v>
      </c>
      <c r="T60" s="899"/>
      <c r="U60" s="173">
        <f>J60/N60</f>
        <v>0.74521651560926483</v>
      </c>
    </row>
    <row r="61" spans="2:22" ht="12" customHeight="1">
      <c r="B61" s="87"/>
      <c r="C61" s="1121"/>
      <c r="D61" s="938"/>
      <c r="E61" s="938"/>
      <c r="F61" s="1076"/>
      <c r="G61" s="87">
        <f>ROUNDDOWN(J60,0)</f>
        <v>74</v>
      </c>
      <c r="H61" s="936"/>
      <c r="I61" s="374">
        <f>H60/$H$76</f>
        <v>6.9460523269275293E-2</v>
      </c>
      <c r="J61" s="111">
        <f t="shared" ref="J61:S61" si="13">ROUNDDOWN(J60*0.3025,2)</f>
        <v>22.38</v>
      </c>
      <c r="K61" s="111">
        <f t="shared" si="13"/>
        <v>2.0499999999999998</v>
      </c>
      <c r="L61" s="111">
        <f t="shared" si="13"/>
        <v>5.59</v>
      </c>
      <c r="M61" s="111">
        <f t="shared" si="13"/>
        <v>7.65</v>
      </c>
      <c r="N61" s="111">
        <f t="shared" si="13"/>
        <v>30.03</v>
      </c>
      <c r="O61" s="111">
        <f t="shared" si="13"/>
        <v>0.06</v>
      </c>
      <c r="P61" s="111">
        <f t="shared" si="13"/>
        <v>0.61</v>
      </c>
      <c r="Q61" s="111">
        <f t="shared" si="13"/>
        <v>18.11</v>
      </c>
      <c r="R61" s="111">
        <f t="shared" si="13"/>
        <v>18.8</v>
      </c>
      <c r="S61" s="111">
        <f t="shared" si="13"/>
        <v>48.83</v>
      </c>
      <c r="T61" s="899"/>
      <c r="U61" s="173"/>
    </row>
    <row r="62" spans="2:22" ht="12" customHeight="1">
      <c r="B62" s="88"/>
      <c r="C62" s="1121"/>
      <c r="D62" s="940"/>
      <c r="E62" s="940">
        <f>H62/$H$76</f>
        <v>0.49780041676313963</v>
      </c>
      <c r="F62" s="1075"/>
      <c r="G62" s="88">
        <f>ROUNDDOWN(N63,0)</f>
        <v>34</v>
      </c>
      <c r="H62" s="939">
        <v>2150</v>
      </c>
      <c r="I62" s="372">
        <f>H62/$H$78</f>
        <v>0.44773011245314454</v>
      </c>
      <c r="J62" s="366">
        <v>84.95</v>
      </c>
      <c r="K62" s="366">
        <v>7.5</v>
      </c>
      <c r="L62" s="366">
        <v>20.5</v>
      </c>
      <c r="M62" s="366">
        <f>K62+L62</f>
        <v>28</v>
      </c>
      <c r="N62" s="366">
        <f>J62+M62</f>
        <v>112.95</v>
      </c>
      <c r="O62" s="366">
        <f>$O$78/$J$78*J62</f>
        <v>0.25057817900126911</v>
      </c>
      <c r="P62" s="366">
        <f>$P$78/$J$78*J62</f>
        <v>2.3411161295261427</v>
      </c>
      <c r="Q62" s="366">
        <f>$Q$78/$J$78*J62</f>
        <v>68.758652317948233</v>
      </c>
      <c r="R62" s="366">
        <f>O62+P62+Q62</f>
        <v>71.350346626475641</v>
      </c>
      <c r="S62" s="366">
        <f>N62+R62</f>
        <v>184.30034662647563</v>
      </c>
      <c r="T62" s="899"/>
      <c r="U62" s="173">
        <f>J62/N62</f>
        <v>0.75210270030987159</v>
      </c>
    </row>
    <row r="63" spans="2:22" ht="12" customHeight="1">
      <c r="B63" s="87"/>
      <c r="C63" s="1121"/>
      <c r="D63" s="938"/>
      <c r="E63" s="938"/>
      <c r="F63" s="1076"/>
      <c r="G63" s="87">
        <f>ROUNDDOWN(J62,0)</f>
        <v>84</v>
      </c>
      <c r="H63" s="936"/>
      <c r="I63" s="374">
        <f>H62/$H$76</f>
        <v>0.49780041676313963</v>
      </c>
      <c r="J63" s="111">
        <f t="shared" ref="J63:S63" si="14">ROUNDDOWN(J62*0.3025,2)</f>
        <v>25.69</v>
      </c>
      <c r="K63" s="111">
        <f t="shared" si="14"/>
        <v>2.2599999999999998</v>
      </c>
      <c r="L63" s="111">
        <f t="shared" si="14"/>
        <v>6.2</v>
      </c>
      <c r="M63" s="111">
        <f t="shared" si="14"/>
        <v>8.4700000000000006</v>
      </c>
      <c r="N63" s="111">
        <f t="shared" si="14"/>
        <v>34.159999999999997</v>
      </c>
      <c r="O63" s="111">
        <f t="shared" si="14"/>
        <v>7.0000000000000007E-2</v>
      </c>
      <c r="P63" s="111">
        <f t="shared" si="14"/>
        <v>0.7</v>
      </c>
      <c r="Q63" s="111">
        <f t="shared" si="14"/>
        <v>20.79</v>
      </c>
      <c r="R63" s="111">
        <f t="shared" si="14"/>
        <v>21.58</v>
      </c>
      <c r="S63" s="111">
        <f t="shared" si="14"/>
        <v>55.75</v>
      </c>
      <c r="T63" s="899"/>
      <c r="U63" s="173"/>
    </row>
    <row r="64" spans="2:22" ht="12" hidden="1" customHeight="1">
      <c r="B64" s="88"/>
      <c r="C64" s="1121"/>
      <c r="D64" s="940"/>
      <c r="E64" s="940">
        <f>C64/$H$78</f>
        <v>0</v>
      </c>
      <c r="F64" s="1076"/>
      <c r="G64" s="88">
        <f>ROUNDDOWN(N65,0)</f>
        <v>40</v>
      </c>
      <c r="H64" s="939"/>
      <c r="I64" s="1210">
        <f>H64/$H$78</f>
        <v>0</v>
      </c>
      <c r="J64" s="90">
        <v>102.98</v>
      </c>
      <c r="K64" s="90">
        <v>8.7200000000000006</v>
      </c>
      <c r="L64" s="90">
        <v>22.8</v>
      </c>
      <c r="M64" s="90">
        <f>K64+L64</f>
        <v>31.520000000000003</v>
      </c>
      <c r="N64" s="90">
        <f>J64+M64</f>
        <v>134.5</v>
      </c>
      <c r="O64" s="90">
        <f>$O$78/$J$78*J64</f>
        <v>0.30376151705180332</v>
      </c>
      <c r="P64" s="90">
        <f>$P$78/$J$78*J64</f>
        <v>2.8380004593125623</v>
      </c>
      <c r="Q64" s="90">
        <f>$Q$78/$J$78*J64</f>
        <v>83.352160279014825</v>
      </c>
      <c r="R64" s="90">
        <f>O64+P64+Q64</f>
        <v>86.493922255379189</v>
      </c>
      <c r="S64" s="90">
        <f>N64+R64</f>
        <v>220.99392225537918</v>
      </c>
      <c r="T64" s="899"/>
      <c r="U64" s="173"/>
    </row>
    <row r="65" spans="2:22" ht="12" hidden="1" customHeight="1">
      <c r="B65" s="272"/>
      <c r="C65" s="1121"/>
      <c r="D65" s="938"/>
      <c r="E65" s="938"/>
      <c r="F65" s="838"/>
      <c r="G65" s="87">
        <f>ROUNDDOWN(J64,0)</f>
        <v>102</v>
      </c>
      <c r="H65" s="936"/>
      <c r="I65" s="1209"/>
      <c r="J65" s="111">
        <f t="shared" ref="J65:S65" si="15">ROUNDDOWN(J64*0.3025,2)</f>
        <v>31.15</v>
      </c>
      <c r="K65" s="111">
        <f t="shared" si="15"/>
        <v>2.63</v>
      </c>
      <c r="L65" s="111">
        <f t="shared" si="15"/>
        <v>6.89</v>
      </c>
      <c r="M65" s="111">
        <f t="shared" si="15"/>
        <v>9.5299999999999994</v>
      </c>
      <c r="N65" s="111">
        <f t="shared" si="15"/>
        <v>40.68</v>
      </c>
      <c r="O65" s="111">
        <f t="shared" si="15"/>
        <v>0.09</v>
      </c>
      <c r="P65" s="111">
        <f t="shared" si="15"/>
        <v>0.85</v>
      </c>
      <c r="Q65" s="111">
        <f t="shared" si="15"/>
        <v>25.21</v>
      </c>
      <c r="R65" s="111">
        <f t="shared" si="15"/>
        <v>26.16</v>
      </c>
      <c r="S65" s="111">
        <f t="shared" si="15"/>
        <v>66.849999999999994</v>
      </c>
      <c r="T65" s="899"/>
      <c r="U65" s="173"/>
    </row>
    <row r="66" spans="2:22" ht="12" customHeight="1">
      <c r="B66" s="323"/>
      <c r="C66" s="308"/>
      <c r="D66" s="305"/>
      <c r="E66" s="940">
        <f>H66/$H$76</f>
        <v>6.4829821717990274E-2</v>
      </c>
      <c r="F66" s="203"/>
      <c r="G66" s="88">
        <f>ROUNDDOWN(N67,0)</f>
        <v>43</v>
      </c>
      <c r="H66" s="939">
        <v>280</v>
      </c>
      <c r="I66" s="372">
        <f>H66/$H$78</f>
        <v>5.8309037900874633E-2</v>
      </c>
      <c r="J66" s="366">
        <v>110.25</v>
      </c>
      <c r="K66" s="366">
        <v>8.3000000000000007</v>
      </c>
      <c r="L66" s="366">
        <v>24</v>
      </c>
      <c r="M66" s="366">
        <f>K66+L66</f>
        <v>32.299999999999997</v>
      </c>
      <c r="N66" s="366">
        <f>J66+M66</f>
        <v>142.55000000000001</v>
      </c>
      <c r="O66" s="366">
        <f>$O$78/$J$78*J66</f>
        <v>0.32520593566674416</v>
      </c>
      <c r="P66" s="366">
        <f>$P$78/$J$78*J66</f>
        <v>3.0383525989435811</v>
      </c>
      <c r="Q66" s="366">
        <f>$Q$78/$J$78*J66</f>
        <v>89.236508746954598</v>
      </c>
      <c r="R66" s="366">
        <f>O66+P66+Q66</f>
        <v>92.600067281564918</v>
      </c>
      <c r="S66" s="366">
        <f>N66+R66</f>
        <v>235.15006728156493</v>
      </c>
      <c r="T66" s="899"/>
      <c r="U66" s="173">
        <f>J66/N66</f>
        <v>0.77341283760084178</v>
      </c>
    </row>
    <row r="67" spans="2:22" ht="12" customHeight="1">
      <c r="B67" s="323"/>
      <c r="C67" s="308"/>
      <c r="D67" s="305"/>
      <c r="E67" s="938"/>
      <c r="F67" s="203"/>
      <c r="G67" s="87">
        <f>ROUNDDOWN(J66,0)</f>
        <v>110</v>
      </c>
      <c r="H67" s="936"/>
      <c r="I67" s="374">
        <f>H66/$H$76</f>
        <v>6.4829821717990274E-2</v>
      </c>
      <c r="J67" s="111">
        <f t="shared" ref="J67:S67" si="16">ROUNDDOWN(J66*0.3025,2)</f>
        <v>33.35</v>
      </c>
      <c r="K67" s="111">
        <f t="shared" si="16"/>
        <v>2.5099999999999998</v>
      </c>
      <c r="L67" s="111">
        <f t="shared" si="16"/>
        <v>7.26</v>
      </c>
      <c r="M67" s="111">
        <f t="shared" si="16"/>
        <v>9.77</v>
      </c>
      <c r="N67" s="111">
        <f t="shared" si="16"/>
        <v>43.12</v>
      </c>
      <c r="O67" s="111">
        <f t="shared" si="16"/>
        <v>0.09</v>
      </c>
      <c r="P67" s="111">
        <f t="shared" si="16"/>
        <v>0.91</v>
      </c>
      <c r="Q67" s="111">
        <f t="shared" si="16"/>
        <v>26.99</v>
      </c>
      <c r="R67" s="111">
        <f t="shared" si="16"/>
        <v>28.01</v>
      </c>
      <c r="S67" s="111">
        <f t="shared" si="16"/>
        <v>71.13</v>
      </c>
      <c r="T67" s="899"/>
      <c r="U67" s="173"/>
    </row>
    <row r="68" spans="2:22" ht="12" hidden="1" customHeight="1">
      <c r="B68" s="323"/>
      <c r="C68" s="308"/>
      <c r="D68" s="305"/>
      <c r="E68" s="1084">
        <f>C68/$H$78</f>
        <v>0</v>
      </c>
      <c r="F68" s="203"/>
      <c r="G68" s="88">
        <f>ROUNDDOWN(N69,0)</f>
        <v>47</v>
      </c>
      <c r="H68" s="1085"/>
      <c r="I68" s="1084">
        <f>H68/$H$78</f>
        <v>0</v>
      </c>
      <c r="J68" s="90">
        <v>120.97</v>
      </c>
      <c r="K68" s="90">
        <v>10.72</v>
      </c>
      <c r="L68" s="90">
        <v>24.8</v>
      </c>
      <c r="M68" s="90">
        <f>K68+L68</f>
        <v>35.520000000000003</v>
      </c>
      <c r="N68" s="90">
        <f>J68+M68</f>
        <v>156.49</v>
      </c>
      <c r="O68" s="90">
        <f>$O$78/$J$78*J68</f>
        <v>0.35682686655424978</v>
      </c>
      <c r="P68" s="90">
        <f>$P$78/$J$78*J68</f>
        <v>3.3337824389497053</v>
      </c>
      <c r="Q68" s="90">
        <f>$Q$78/$J$78*J68</f>
        <v>97.913292182486146</v>
      </c>
      <c r="R68" s="90">
        <f>O68+P68+Q68</f>
        <v>101.6039014879901</v>
      </c>
      <c r="S68" s="90">
        <f>N68+R68</f>
        <v>258.09390148799014</v>
      </c>
      <c r="T68" s="899"/>
      <c r="U68" s="173"/>
    </row>
    <row r="69" spans="2:22" ht="12" hidden="1" customHeight="1">
      <c r="B69" s="323"/>
      <c r="C69" s="308"/>
      <c r="D69" s="305"/>
      <c r="E69" s="938"/>
      <c r="F69" s="203"/>
      <c r="G69" s="87">
        <f>ROUNDDOWN(J68,0)</f>
        <v>120</v>
      </c>
      <c r="H69" s="936"/>
      <c r="I69" s="938"/>
      <c r="J69" s="111">
        <f t="shared" ref="J69:S69" si="17">ROUNDDOWN(J68*0.3025,2)</f>
        <v>36.590000000000003</v>
      </c>
      <c r="K69" s="111">
        <f t="shared" si="17"/>
        <v>3.24</v>
      </c>
      <c r="L69" s="111">
        <f t="shared" si="17"/>
        <v>7.5</v>
      </c>
      <c r="M69" s="111">
        <f t="shared" si="17"/>
        <v>10.74</v>
      </c>
      <c r="N69" s="111">
        <f t="shared" si="17"/>
        <v>47.33</v>
      </c>
      <c r="O69" s="111">
        <f t="shared" si="17"/>
        <v>0.1</v>
      </c>
      <c r="P69" s="111">
        <f t="shared" si="17"/>
        <v>1</v>
      </c>
      <c r="Q69" s="111">
        <f t="shared" si="17"/>
        <v>29.61</v>
      </c>
      <c r="R69" s="111">
        <f t="shared" si="17"/>
        <v>30.73</v>
      </c>
      <c r="S69" s="111">
        <f t="shared" si="17"/>
        <v>78.069999999999993</v>
      </c>
      <c r="T69" s="899"/>
      <c r="U69" s="173"/>
    </row>
    <row r="70" spans="2:22" ht="12" hidden="1" customHeight="1">
      <c r="B70" s="88"/>
      <c r="C70" s="1121"/>
      <c r="D70" s="1084"/>
      <c r="E70" s="1084">
        <f>C70/$H$78</f>
        <v>0</v>
      </c>
      <c r="F70" s="1211"/>
      <c r="G70" s="88">
        <f>ROUNDDOWN(N71,0)</f>
        <v>52</v>
      </c>
      <c r="H70" s="1085"/>
      <c r="I70" s="1084">
        <f>H70/$H$78</f>
        <v>0</v>
      </c>
      <c r="J70" s="90">
        <v>137.35</v>
      </c>
      <c r="K70" s="90">
        <v>11.28</v>
      </c>
      <c r="L70" s="90">
        <v>25.54</v>
      </c>
      <c r="M70" s="90">
        <f>K70+L70</f>
        <v>36.82</v>
      </c>
      <c r="N70" s="90">
        <f>J70+M70</f>
        <v>174.17</v>
      </c>
      <c r="O70" s="90">
        <f>$O$78/$J$78*J70</f>
        <v>0.40514317699616609</v>
      </c>
      <c r="P70" s="90">
        <f>$P$78/$J$78*J70</f>
        <v>3.7851948250784657</v>
      </c>
      <c r="Q70" s="90">
        <f>$Q$78/$J$78*J70</f>
        <v>111.17128776774797</v>
      </c>
      <c r="R70" s="90">
        <f>O70+P70+Q70</f>
        <v>115.3616257698226</v>
      </c>
      <c r="S70" s="90">
        <f>N70+R70</f>
        <v>289.5316257698226</v>
      </c>
      <c r="T70" s="899"/>
      <c r="U70" s="173"/>
    </row>
    <row r="71" spans="2:22" ht="12" hidden="1" customHeight="1">
      <c r="B71" s="87"/>
      <c r="C71" s="1121"/>
      <c r="D71" s="938"/>
      <c r="E71" s="938"/>
      <c r="F71" s="838"/>
      <c r="G71" s="87">
        <f>ROUNDDOWN(J70,0)</f>
        <v>137</v>
      </c>
      <c r="H71" s="936"/>
      <c r="I71" s="938"/>
      <c r="J71" s="111">
        <f t="shared" ref="J71:S71" si="18">ROUNDDOWN(J70*0.3025,2)</f>
        <v>41.54</v>
      </c>
      <c r="K71" s="111">
        <f t="shared" si="18"/>
        <v>3.41</v>
      </c>
      <c r="L71" s="111">
        <f t="shared" si="18"/>
        <v>7.72</v>
      </c>
      <c r="M71" s="111">
        <f t="shared" si="18"/>
        <v>11.13</v>
      </c>
      <c r="N71" s="111">
        <f t="shared" si="18"/>
        <v>52.68</v>
      </c>
      <c r="O71" s="111">
        <f t="shared" si="18"/>
        <v>0.12</v>
      </c>
      <c r="P71" s="111">
        <f t="shared" si="18"/>
        <v>1.1399999999999999</v>
      </c>
      <c r="Q71" s="111">
        <f t="shared" si="18"/>
        <v>33.619999999999997</v>
      </c>
      <c r="R71" s="111">
        <f t="shared" si="18"/>
        <v>34.89</v>
      </c>
      <c r="S71" s="111">
        <f t="shared" si="18"/>
        <v>87.58</v>
      </c>
      <c r="T71" s="899"/>
      <c r="U71" s="173"/>
    </row>
    <row r="72" spans="2:22" ht="12" hidden="1" customHeight="1">
      <c r="B72" s="324"/>
      <c r="C72" s="308"/>
      <c r="D72" s="305"/>
      <c r="E72" s="940" t="e">
        <f>C72/$H$75</f>
        <v>#DIV/0!</v>
      </c>
      <c r="F72" s="203"/>
      <c r="G72" s="88">
        <f>ROUNDDOWN(N73,0)</f>
        <v>62</v>
      </c>
      <c r="H72" s="939"/>
      <c r="I72" s="940" t="e">
        <f>H72/$H$75</f>
        <v>#DIV/0!</v>
      </c>
      <c r="J72" s="90">
        <v>165.89</v>
      </c>
      <c r="K72" s="90">
        <v>13.45</v>
      </c>
      <c r="L72" s="90">
        <v>26.42</v>
      </c>
      <c r="M72" s="90">
        <f>K72+L72</f>
        <v>39.870000000000005</v>
      </c>
      <c r="N72" s="90">
        <f>J72+M72</f>
        <v>205.76</v>
      </c>
      <c r="O72" s="90">
        <f>$O$75/$J$75*J72</f>
        <v>0.48287642233395078</v>
      </c>
      <c r="P72" s="90">
        <f>$P$75/$J$75*J72</f>
        <v>4.5653770838846253</v>
      </c>
      <c r="Q72" s="90">
        <f>$Q$75/$J$75*J72</f>
        <v>134.28354326541412</v>
      </c>
      <c r="R72" s="90">
        <f>O72+P72+Q72</f>
        <v>139.3317967716327</v>
      </c>
      <c r="S72" s="90">
        <f>N72+R72</f>
        <v>345.09179677163269</v>
      </c>
      <c r="T72" s="899"/>
      <c r="U72" s="173"/>
    </row>
    <row r="73" spans="2:22" ht="12" hidden="1" customHeight="1">
      <c r="B73" s="324"/>
      <c r="C73" s="308"/>
      <c r="D73" s="305"/>
      <c r="E73" s="938"/>
      <c r="F73" s="203"/>
      <c r="G73" s="87">
        <f>ROUNDDOWN(J72,0)</f>
        <v>165</v>
      </c>
      <c r="H73" s="936"/>
      <c r="I73" s="938"/>
      <c r="J73" s="111">
        <f t="shared" ref="J73:S73" si="19">ROUNDDOWN(J72*0.3025,2)</f>
        <v>50.18</v>
      </c>
      <c r="K73" s="111">
        <f t="shared" si="19"/>
        <v>4.0599999999999996</v>
      </c>
      <c r="L73" s="111">
        <f t="shared" si="19"/>
        <v>7.99</v>
      </c>
      <c r="M73" s="111">
        <f t="shared" si="19"/>
        <v>12.06</v>
      </c>
      <c r="N73" s="111">
        <f t="shared" si="19"/>
        <v>62.24</v>
      </c>
      <c r="O73" s="111">
        <f t="shared" si="19"/>
        <v>0.14000000000000001</v>
      </c>
      <c r="P73" s="111">
        <f t="shared" si="19"/>
        <v>1.38</v>
      </c>
      <c r="Q73" s="111">
        <f t="shared" si="19"/>
        <v>40.619999999999997</v>
      </c>
      <c r="R73" s="111">
        <f t="shared" si="19"/>
        <v>42.14</v>
      </c>
      <c r="S73" s="111">
        <f t="shared" si="19"/>
        <v>104.39</v>
      </c>
      <c r="T73" s="899"/>
      <c r="U73" s="173"/>
    </row>
    <row r="74" spans="2:22" ht="12" hidden="1" customHeight="1">
      <c r="B74" s="88"/>
      <c r="C74" s="1121"/>
      <c r="D74" s="940"/>
      <c r="E74" s="940">
        <f>C74/$H$78</f>
        <v>0</v>
      </c>
      <c r="F74" s="838"/>
      <c r="G74" s="88">
        <f>ROUNDDOWN(N75,0)</f>
        <v>49</v>
      </c>
      <c r="H74" s="939"/>
      <c r="I74" s="940">
        <f>H74/$H$78</f>
        <v>0</v>
      </c>
      <c r="J74" s="90">
        <v>124.94</v>
      </c>
      <c r="K74" s="90">
        <v>11.85</v>
      </c>
      <c r="L74" s="90">
        <v>27.85</v>
      </c>
      <c r="M74" s="90">
        <f>K74+L74</f>
        <v>39.700000000000003</v>
      </c>
      <c r="N74" s="90">
        <f>J74+M74</f>
        <v>164.64</v>
      </c>
      <c r="O74" s="90">
        <f>$O$78/$J$78*J74</f>
        <v>0.36853722995195476</v>
      </c>
      <c r="P74" s="90">
        <f>$P$78/$J$78*J74</f>
        <v>3.4431906912654062</v>
      </c>
      <c r="Q74" s="90">
        <f>$Q$78/$J$78*J74</f>
        <v>101.1266158988164</v>
      </c>
      <c r="R74" s="90">
        <f>O74+P74+Q74</f>
        <v>104.93834382003375</v>
      </c>
      <c r="S74" s="90">
        <f>N74+R74</f>
        <v>269.57834382003375</v>
      </c>
      <c r="T74" s="899"/>
      <c r="U74" s="173"/>
      <c r="V74" s="173">
        <f>N52+N76</f>
        <v>477083.6</v>
      </c>
    </row>
    <row r="75" spans="2:22" ht="12" hidden="1" customHeight="1">
      <c r="B75" s="87"/>
      <c r="C75" s="1121"/>
      <c r="D75" s="938"/>
      <c r="E75" s="938"/>
      <c r="F75" s="838"/>
      <c r="G75" s="273">
        <f>ROUNDDOWN(J74,0)</f>
        <v>124</v>
      </c>
      <c r="H75" s="936"/>
      <c r="I75" s="938"/>
      <c r="J75" s="111">
        <f t="shared" ref="J75:S75" si="20">ROUNDDOWN(J74*0.3025,2)</f>
        <v>37.79</v>
      </c>
      <c r="K75" s="111">
        <f t="shared" si="20"/>
        <v>3.58</v>
      </c>
      <c r="L75" s="111">
        <f t="shared" si="20"/>
        <v>8.42</v>
      </c>
      <c r="M75" s="111">
        <f t="shared" si="20"/>
        <v>12</v>
      </c>
      <c r="N75" s="111">
        <f t="shared" si="20"/>
        <v>49.8</v>
      </c>
      <c r="O75" s="111">
        <f t="shared" si="20"/>
        <v>0.11</v>
      </c>
      <c r="P75" s="111">
        <f t="shared" si="20"/>
        <v>1.04</v>
      </c>
      <c r="Q75" s="111">
        <f t="shared" si="20"/>
        <v>30.59</v>
      </c>
      <c r="R75" s="111">
        <f t="shared" si="20"/>
        <v>31.74</v>
      </c>
      <c r="S75" s="111">
        <f t="shared" si="20"/>
        <v>81.540000000000006</v>
      </c>
      <c r="T75" s="899"/>
      <c r="U75" s="173"/>
      <c r="V75" s="144">
        <f>R52+R76</f>
        <v>298980</v>
      </c>
    </row>
    <row r="76" spans="2:22" ht="12" customHeight="1">
      <c r="B76" s="130"/>
      <c r="C76" s="130"/>
      <c r="D76" s="1131"/>
      <c r="E76" s="1131">
        <f>E56+E58+E60+E62+E66</f>
        <v>0.99999999999999989</v>
      </c>
      <c r="F76" s="77"/>
      <c r="G76" s="1202" t="s">
        <v>82</v>
      </c>
      <c r="H76" s="1219">
        <f>SUM(H54:H75)</f>
        <v>4319</v>
      </c>
      <c r="I76" s="371">
        <f>I56+I58+I60+I62+I66</f>
        <v>0.89941690962099119</v>
      </c>
      <c r="J76" s="365">
        <f>SUMPRODUCT(H54:H75,J54:J75)</f>
        <v>326450.55</v>
      </c>
      <c r="K76" s="365">
        <f>SUMPRODUCT(H54:H75,K54:K75)</f>
        <v>28827.7</v>
      </c>
      <c r="L76" s="365">
        <f>SUMPRODUCT(H54:H75,L54:L75)</f>
        <v>81729.600000000006</v>
      </c>
      <c r="M76" s="365">
        <f>K76+L76</f>
        <v>110557.3</v>
      </c>
      <c r="N76" s="365">
        <f>J76+M76</f>
        <v>437007.85</v>
      </c>
      <c r="O76" s="365">
        <f>SUMPRODUCT(H54:H75,O54:O75)</f>
        <v>962.9356604233401</v>
      </c>
      <c r="P76" s="365">
        <f>SUMPRODUCT(H54:H75,P54:P75)</f>
        <v>8996.5703130980637</v>
      </c>
      <c r="Q76" s="365">
        <f>SUMPRODUCT(H54:H75,Q54:Q75)</f>
        <v>264229.54522016452</v>
      </c>
      <c r="R76" s="365">
        <f>O76+P76+Q76</f>
        <v>274189.05119368591</v>
      </c>
      <c r="S76" s="365">
        <f>N76+R76</f>
        <v>711196.90119368583</v>
      </c>
      <c r="T76" s="1220"/>
      <c r="U76" s="173"/>
      <c r="V76" s="173">
        <f>S52+S76</f>
        <v>776063.59999999986</v>
      </c>
    </row>
    <row r="77" spans="2:22" ht="12" customHeight="1">
      <c r="D77" s="1132"/>
      <c r="E77" s="1132"/>
      <c r="F77" s="77"/>
      <c r="G77" s="1203"/>
      <c r="H77" s="1205"/>
      <c r="I77" s="375">
        <f>H76/$H$76</f>
        <v>1</v>
      </c>
      <c r="J77" s="292">
        <f t="shared" ref="J77:S77" si="21">ROUNDDOWN(J76*0.3025,2)</f>
        <v>98751.29</v>
      </c>
      <c r="K77" s="292">
        <f t="shared" si="21"/>
        <v>8720.3700000000008</v>
      </c>
      <c r="L77" s="292">
        <f t="shared" si="21"/>
        <v>24723.200000000001</v>
      </c>
      <c r="M77" s="292">
        <f t="shared" si="21"/>
        <v>33443.58</v>
      </c>
      <c r="N77" s="292">
        <f t="shared" si="21"/>
        <v>132194.87</v>
      </c>
      <c r="O77" s="292">
        <f t="shared" si="21"/>
        <v>291.27999999999997</v>
      </c>
      <c r="P77" s="292">
        <f t="shared" si="21"/>
        <v>2721.46</v>
      </c>
      <c r="Q77" s="292">
        <f t="shared" si="21"/>
        <v>79929.429999999993</v>
      </c>
      <c r="R77" s="292">
        <f t="shared" si="21"/>
        <v>82942.179999999993</v>
      </c>
      <c r="S77" s="292">
        <f t="shared" si="21"/>
        <v>215137.06</v>
      </c>
      <c r="T77" s="1207"/>
    </row>
    <row r="78" spans="2:22" ht="17.25" customHeight="1">
      <c r="C78" s="1212"/>
      <c r="D78" s="940"/>
      <c r="F78" s="77"/>
      <c r="G78" s="1213" t="s">
        <v>69</v>
      </c>
      <c r="H78" s="1215">
        <f>H52+H76</f>
        <v>4802</v>
      </c>
      <c r="I78" s="1217">
        <f>I52+I76</f>
        <v>0.99999999999999989</v>
      </c>
      <c r="J78" s="368">
        <f>J52+J76</f>
        <v>355966.75</v>
      </c>
      <c r="K78" s="368">
        <f>K52+K76</f>
        <v>31422.75</v>
      </c>
      <c r="L78" s="368">
        <f>L52+L76</f>
        <v>89694.1</v>
      </c>
      <c r="M78" s="368">
        <f>K78+L78</f>
        <v>121116.85</v>
      </c>
      <c r="N78" s="368">
        <f>J78+M78</f>
        <v>477083.6</v>
      </c>
      <c r="O78" s="368">
        <v>1050</v>
      </c>
      <c r="P78" s="368">
        <f>R6+R7+R8+R9+R10+R11+R12</f>
        <v>9810</v>
      </c>
      <c r="Q78" s="368">
        <f>(R18*V17)</f>
        <v>288120</v>
      </c>
      <c r="R78" s="368">
        <f>O78+P78+Q78</f>
        <v>298980</v>
      </c>
      <c r="S78" s="368">
        <f>N78+R78</f>
        <v>776063.6</v>
      </c>
      <c r="T78" s="358"/>
    </row>
    <row r="79" spans="2:22" ht="17.25" customHeight="1">
      <c r="C79" s="1076"/>
      <c r="D79" s="938"/>
      <c r="F79" s="77"/>
      <c r="G79" s="1214"/>
      <c r="H79" s="1216"/>
      <c r="I79" s="1218"/>
      <c r="J79" s="359">
        <f t="shared" ref="J79:S79" si="22">ROUNDDOWN(J78*0.3025,2)</f>
        <v>107679.94</v>
      </c>
      <c r="K79" s="359">
        <f t="shared" si="22"/>
        <v>9505.3799999999992</v>
      </c>
      <c r="L79" s="359">
        <f t="shared" si="22"/>
        <v>27132.46</v>
      </c>
      <c r="M79" s="359">
        <f t="shared" si="22"/>
        <v>36637.839999999997</v>
      </c>
      <c r="N79" s="359">
        <f t="shared" si="22"/>
        <v>144317.78</v>
      </c>
      <c r="O79" s="359">
        <f t="shared" si="22"/>
        <v>317.62</v>
      </c>
      <c r="P79" s="359">
        <f t="shared" si="22"/>
        <v>2967.52</v>
      </c>
      <c r="Q79" s="359">
        <f t="shared" si="22"/>
        <v>87156.3</v>
      </c>
      <c r="R79" s="359">
        <f t="shared" si="22"/>
        <v>90441.45</v>
      </c>
      <c r="S79" s="359">
        <f t="shared" si="22"/>
        <v>234759.23</v>
      </c>
      <c r="T79" s="360"/>
    </row>
    <row r="80" spans="2:22" ht="6" customHeight="1">
      <c r="F80" s="77"/>
      <c r="G80" s="1046"/>
      <c r="H80" s="1047"/>
      <c r="I80" s="1047"/>
      <c r="J80" s="1047"/>
      <c r="K80" s="1047"/>
      <c r="L80" s="1047"/>
      <c r="M80" s="1047"/>
      <c r="N80" s="1047"/>
      <c r="O80" s="1047"/>
      <c r="P80" s="1047"/>
      <c r="Q80" s="1047"/>
      <c r="R80" s="1047"/>
      <c r="S80" s="1047"/>
      <c r="T80" s="1048"/>
    </row>
    <row r="81" spans="4:43" ht="18" customHeight="1">
      <c r="D81" s="321"/>
      <c r="F81" s="77"/>
      <c r="G81" s="951" t="s">
        <v>87</v>
      </c>
      <c r="H81" s="951"/>
      <c r="I81" s="951"/>
      <c r="J81" s="951"/>
      <c r="K81" s="951"/>
      <c r="L81" s="951"/>
      <c r="M81" s="951"/>
      <c r="N81" s="951"/>
      <c r="O81" s="951"/>
      <c r="P81" s="951"/>
      <c r="Q81" s="951"/>
      <c r="R81" s="951"/>
      <c r="S81" s="951"/>
      <c r="T81" s="952"/>
    </row>
    <row r="82" spans="4:43" s="6" customFormat="1" ht="14.1" customHeight="1">
      <c r="E82" s="322"/>
      <c r="F82" s="79"/>
      <c r="G82" s="984" t="s">
        <v>16</v>
      </c>
      <c r="H82" s="985"/>
      <c r="I82" s="986" t="s">
        <v>7</v>
      </c>
      <c r="J82" s="987"/>
      <c r="K82" s="986" t="s">
        <v>217</v>
      </c>
      <c r="L82" s="987"/>
      <c r="M82" s="986" t="s">
        <v>132</v>
      </c>
      <c r="N82" s="987"/>
      <c r="O82" s="85" t="s">
        <v>218</v>
      </c>
      <c r="P82" s="85" t="s">
        <v>32</v>
      </c>
      <c r="Q82" s="1044" t="s">
        <v>160</v>
      </c>
      <c r="R82" s="1045"/>
      <c r="S82" s="1051" t="s">
        <v>74</v>
      </c>
      <c r="T82" s="1052"/>
    </row>
    <row r="83" spans="4:43" s="6" customFormat="1" ht="14.1" hidden="1" customHeight="1">
      <c r="F83" s="79"/>
      <c r="G83" s="1032" t="s">
        <v>50</v>
      </c>
      <c r="H83" s="1033"/>
      <c r="I83" s="1049">
        <f>M83*0.7</f>
        <v>0</v>
      </c>
      <c r="J83" s="1050"/>
      <c r="K83" s="1049">
        <f>M83*0.3</f>
        <v>0</v>
      </c>
      <c r="L83" s="1050"/>
      <c r="M83" s="1049">
        <v>0</v>
      </c>
      <c r="N83" s="1050"/>
      <c r="O83" s="58">
        <f>M83*0.15</f>
        <v>0</v>
      </c>
      <c r="P83" s="59" t="e">
        <f>#REF!*42</f>
        <v>#REF!</v>
      </c>
      <c r="Q83" s="988" t="e">
        <f>SUM(M83:P83)</f>
        <v>#REF!</v>
      </c>
      <c r="R83" s="989"/>
      <c r="S83" s="990"/>
      <c r="T83" s="991"/>
    </row>
    <row r="84" spans="4:43" s="6" customFormat="1" ht="14.1" hidden="1" customHeight="1">
      <c r="F84" s="79"/>
      <c r="G84" s="1034"/>
      <c r="H84" s="1035"/>
      <c r="I84" s="992">
        <f t="shared" ref="I84:I86" si="23">I83*0.3025</f>
        <v>0</v>
      </c>
      <c r="J84" s="993"/>
      <c r="K84" s="992">
        <f>K83*0.3025</f>
        <v>0</v>
      </c>
      <c r="L84" s="993"/>
      <c r="M84" s="1038">
        <f>M83*0.3025</f>
        <v>0</v>
      </c>
      <c r="N84" s="1039"/>
      <c r="O84" s="9">
        <f t="shared" ref="O84:O90" si="24">O83*0.3025</f>
        <v>0</v>
      </c>
      <c r="P84" s="60" t="e">
        <f>P83*0.3025</f>
        <v>#REF!</v>
      </c>
      <c r="Q84" s="1040" t="e">
        <f>Q83*0.3025</f>
        <v>#REF!</v>
      </c>
      <c r="R84" s="1041"/>
      <c r="S84" s="1042"/>
      <c r="T84" s="1043"/>
    </row>
    <row r="85" spans="4:43" s="6" customFormat="1" ht="14.1" customHeight="1">
      <c r="F85" s="79"/>
      <c r="G85" s="996" t="s">
        <v>38</v>
      </c>
      <c r="H85" s="1001" t="s">
        <v>45</v>
      </c>
      <c r="I85" s="1057">
        <f>M85*0.7</f>
        <v>2520</v>
      </c>
      <c r="J85" s="1000"/>
      <c r="K85" s="999">
        <f>M85*0.3</f>
        <v>1080</v>
      </c>
      <c r="L85" s="1000"/>
      <c r="M85" s="1058">
        <v>3600</v>
      </c>
      <c r="N85" s="1059"/>
      <c r="O85" s="91">
        <f>$O$89*I85/$I$89</f>
        <v>558.62068965517244</v>
      </c>
      <c r="P85" s="91">
        <f>$P$89*I85/$I$89</f>
        <v>1489.6551724137933</v>
      </c>
      <c r="Q85" s="1017">
        <f>SUM(M85:P85)</f>
        <v>5648.2758620689656</v>
      </c>
      <c r="R85" s="1018"/>
      <c r="S85" s="1019"/>
      <c r="T85" s="1020"/>
      <c r="U85" s="7"/>
      <c r="V85" s="7">
        <f>I85/I89*Q89</f>
        <v>5648.2758620689656</v>
      </c>
      <c r="W85" s="7"/>
      <c r="X85" s="8"/>
    </row>
    <row r="86" spans="4:43" s="6" customFormat="1" ht="14.1" customHeight="1">
      <c r="F86" s="79"/>
      <c r="G86" s="997"/>
      <c r="H86" s="1002"/>
      <c r="I86" s="1021">
        <f t="shared" si="23"/>
        <v>762.3</v>
      </c>
      <c r="J86" s="1022"/>
      <c r="K86" s="1023">
        <f>K85*0.3025</f>
        <v>326.7</v>
      </c>
      <c r="L86" s="1022"/>
      <c r="M86" s="1024">
        <f>M85*0.3025</f>
        <v>1089</v>
      </c>
      <c r="N86" s="1025"/>
      <c r="O86" s="92">
        <f>O85*0.3025</f>
        <v>168.98275862068965</v>
      </c>
      <c r="P86" s="92">
        <f>P85*0.3025</f>
        <v>450.62068965517244</v>
      </c>
      <c r="Q86" s="1024">
        <f>Q85*0.3025</f>
        <v>1708.6034482758621</v>
      </c>
      <c r="R86" s="1025"/>
      <c r="S86" s="1026"/>
      <c r="T86" s="1027"/>
      <c r="U86" s="7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spans="4:43" s="6" customFormat="1" ht="14.1" customHeight="1">
      <c r="F87" s="79"/>
      <c r="G87" s="997"/>
      <c r="H87" s="1077" t="s">
        <v>46</v>
      </c>
      <c r="I87" s="1057">
        <f>M87*0.7</f>
        <v>1540</v>
      </c>
      <c r="J87" s="1000"/>
      <c r="K87" s="999">
        <f>M87*0.3</f>
        <v>660</v>
      </c>
      <c r="L87" s="1000"/>
      <c r="M87" s="1058">
        <v>2200</v>
      </c>
      <c r="N87" s="1059"/>
      <c r="O87" s="91">
        <f>$O$89*I87/$I$89</f>
        <v>341.37931034482762</v>
      </c>
      <c r="P87" s="91">
        <f>$P$89*I87/$I$89</f>
        <v>910.34482758620697</v>
      </c>
      <c r="Q87" s="1058">
        <f>SUM(M87:P87)</f>
        <v>3451.7241379310344</v>
      </c>
      <c r="R87" s="1059"/>
      <c r="S87" s="1060"/>
      <c r="T87" s="1061"/>
      <c r="U87"/>
      <c r="V87" s="7">
        <f>I87/I89*Q89</f>
        <v>3451.7241379310349</v>
      </c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spans="4:43" ht="14.1" customHeight="1">
      <c r="F88" s="77"/>
      <c r="G88" s="998"/>
      <c r="H88" s="1078"/>
      <c r="I88" s="1062">
        <f t="shared" ref="I88" si="25">I87*0.3025</f>
        <v>465.84999999999997</v>
      </c>
      <c r="J88" s="1063"/>
      <c r="K88" s="1064">
        <f>K87*0.3025</f>
        <v>199.65</v>
      </c>
      <c r="L88" s="1063"/>
      <c r="M88" s="1065">
        <f>M87*0.3025</f>
        <v>665.5</v>
      </c>
      <c r="N88" s="1066"/>
      <c r="O88" s="94">
        <f>O87*0.3025</f>
        <v>103.26724137931035</v>
      </c>
      <c r="P88" s="98">
        <f>P87*0.3025</f>
        <v>275.37931034482762</v>
      </c>
      <c r="Q88" s="1065">
        <f>Q87*0.3025</f>
        <v>1044.1465517241379</v>
      </c>
      <c r="R88" s="1066"/>
      <c r="S88" s="1067"/>
      <c r="T88" s="1068"/>
      <c r="U88"/>
      <c r="AQ88" s="6"/>
    </row>
    <row r="89" spans="4:43" ht="14.1" customHeight="1">
      <c r="F89" s="77"/>
      <c r="G89" s="1225" t="s">
        <v>69</v>
      </c>
      <c r="H89" s="1226"/>
      <c r="I89" s="1229">
        <f>M89*0.7</f>
        <v>4059.9999999999995</v>
      </c>
      <c r="J89" s="1230"/>
      <c r="K89" s="1231">
        <f>M89*0.3</f>
        <v>1740</v>
      </c>
      <c r="L89" s="1230"/>
      <c r="M89" s="1231">
        <f>M85+M87</f>
        <v>5800</v>
      </c>
      <c r="N89" s="1230"/>
      <c r="O89" s="293">
        <v>900</v>
      </c>
      <c r="P89" s="293">
        <f>R24*V17</f>
        <v>2400</v>
      </c>
      <c r="Q89" s="1232">
        <f>SUM(M89:P89)</f>
        <v>9100</v>
      </c>
      <c r="R89" s="1233"/>
      <c r="S89" s="1234"/>
      <c r="T89" s="1235"/>
      <c r="U89" s="6"/>
      <c r="AQ89" s="6"/>
    </row>
    <row r="90" spans="4:43" ht="14.1" customHeight="1">
      <c r="F90" s="77"/>
      <c r="G90" s="1227"/>
      <c r="H90" s="1228"/>
      <c r="I90" s="1236">
        <f t="shared" ref="I90" si="26">I89*0.3025</f>
        <v>1228.1499999999999</v>
      </c>
      <c r="J90" s="1237"/>
      <c r="K90" s="1238">
        <f>K89*0.3025</f>
        <v>526.35</v>
      </c>
      <c r="L90" s="1237"/>
      <c r="M90" s="1221">
        <f>M89*0.3025</f>
        <v>1754.5</v>
      </c>
      <c r="N90" s="1222"/>
      <c r="O90" s="294">
        <f t="shared" si="24"/>
        <v>272.25</v>
      </c>
      <c r="P90" s="295">
        <f>P89*0.3025</f>
        <v>726</v>
      </c>
      <c r="Q90" s="1221">
        <f>Q89*0.3025</f>
        <v>2752.75</v>
      </c>
      <c r="R90" s="1222"/>
      <c r="S90" s="1223"/>
      <c r="T90" s="1224"/>
      <c r="U90" s="7"/>
      <c r="AQ90" s="6"/>
    </row>
    <row r="91" spans="4:43" ht="14.1" customHeight="1">
      <c r="Q91" s="5"/>
      <c r="R91" s="5"/>
      <c r="S91" s="5"/>
      <c r="T91" s="6"/>
      <c r="U91" s="6"/>
      <c r="AQ91" s="6"/>
    </row>
    <row r="92" spans="4:43" ht="14.1" customHeight="1">
      <c r="J92" s="2">
        <f>H56*J56+J58*H58+H60*J60+J62*H62+H66*J66</f>
        <v>326450.55</v>
      </c>
      <c r="K92" s="2">
        <f>H56*K56+K58*H58+H60*K60+K62*H62+H66*K66</f>
        <v>28827.7</v>
      </c>
      <c r="P92" s="379">
        <f>P85+P87</f>
        <v>2400</v>
      </c>
      <c r="T92" s="6"/>
      <c r="U92" s="6"/>
      <c r="AQ92" s="6"/>
    </row>
    <row r="93" spans="4:43" ht="14.1" customHeight="1">
      <c r="T93" s="6"/>
      <c r="U93" s="6"/>
      <c r="AQ93" s="6"/>
    </row>
    <row r="94" spans="4:43" ht="14.1" customHeight="1">
      <c r="T94" s="6"/>
      <c r="U94" s="6"/>
      <c r="AQ94" s="6"/>
    </row>
    <row r="95" spans="4:43" ht="14.1" customHeight="1">
      <c r="H95" s="11">
        <f>H38+H58</f>
        <v>1139</v>
      </c>
      <c r="I95" s="145">
        <f>I38+I58</f>
        <v>0.23719283631820076</v>
      </c>
      <c r="M95" s="144">
        <f t="shared" ref="M95:S95" si="27">M52+M76</f>
        <v>121116.85</v>
      </c>
      <c r="N95" s="144">
        <f t="shared" si="27"/>
        <v>477083.6</v>
      </c>
      <c r="O95" s="144">
        <f t="shared" si="27"/>
        <v>1050</v>
      </c>
      <c r="P95" s="144">
        <f t="shared" si="27"/>
        <v>9810</v>
      </c>
      <c r="Q95" s="144">
        <f t="shared" si="27"/>
        <v>288120</v>
      </c>
      <c r="R95" s="144">
        <f t="shared" si="27"/>
        <v>298980</v>
      </c>
      <c r="S95" s="144">
        <f t="shared" si="27"/>
        <v>776063.59999999986</v>
      </c>
      <c r="T95" s="6"/>
      <c r="U95" s="6"/>
      <c r="AQ95" s="6"/>
    </row>
    <row r="96" spans="4:43" ht="14.1" customHeight="1">
      <c r="H96" s="11">
        <f>H58+H60+H64</f>
        <v>1439</v>
      </c>
      <c r="AQ96" s="6"/>
    </row>
    <row r="97" spans="7:43" ht="14.1" customHeight="1">
      <c r="AQ97" s="6"/>
    </row>
    <row r="98" spans="7:43" ht="14.1" customHeight="1">
      <c r="AQ98" s="6"/>
    </row>
    <row r="99" spans="7:43" ht="14.1" customHeight="1">
      <c r="AQ99" s="6"/>
    </row>
    <row r="100" spans="7:43" ht="14.1" customHeight="1">
      <c r="AQ100" s="6"/>
    </row>
    <row r="101" spans="7:43" ht="14.1" customHeight="1" thickBot="1">
      <c r="G101" s="1"/>
      <c r="K101" s="3"/>
      <c r="M101" s="1007" t="s">
        <v>89</v>
      </c>
      <c r="N101" s="1007"/>
      <c r="O101" s="1007"/>
      <c r="P101" s="112"/>
      <c r="Q101" s="113"/>
      <c r="R101" s="112"/>
      <c r="S101" s="6"/>
      <c r="AQ101" s="6"/>
    </row>
    <row r="102" spans="7:43" ht="14.1" customHeight="1">
      <c r="G102" s="34"/>
      <c r="H102" s="35"/>
      <c r="I102" s="36"/>
      <c r="J102" s="36"/>
      <c r="K102" s="37"/>
      <c r="M102" s="114"/>
      <c r="N102" s="115">
        <v>0</v>
      </c>
      <c r="O102" s="116">
        <v>300</v>
      </c>
      <c r="P102" s="117">
        <v>500</v>
      </c>
      <c r="Q102" s="118">
        <v>1000</v>
      </c>
      <c r="R102" s="117">
        <v>2000</v>
      </c>
      <c r="S102" s="6"/>
      <c r="AQ102" s="6"/>
    </row>
    <row r="103" spans="7:43" ht="14.1" customHeight="1">
      <c r="G103" s="38"/>
      <c r="H103" s="39"/>
      <c r="I103" s="40"/>
      <c r="J103" s="40"/>
      <c r="K103" s="41"/>
      <c r="M103" s="119"/>
      <c r="N103" s="120" t="s">
        <v>219</v>
      </c>
      <c r="O103" s="120" t="s">
        <v>91</v>
      </c>
      <c r="P103" s="120" t="s">
        <v>220</v>
      </c>
      <c r="Q103" s="120" t="s">
        <v>93</v>
      </c>
      <c r="R103" s="120" t="s">
        <v>94</v>
      </c>
      <c r="S103" s="6"/>
      <c r="AQ103" s="6"/>
    </row>
    <row r="104" spans="7:43" ht="14.1" customHeight="1">
      <c r="G104" s="980"/>
      <c r="H104" s="106"/>
      <c r="I104" s="106"/>
      <c r="J104" s="106"/>
      <c r="K104" s="42"/>
      <c r="M104" s="119" t="s">
        <v>168</v>
      </c>
      <c r="N104" s="121">
        <v>6</v>
      </c>
      <c r="O104" s="121">
        <v>8</v>
      </c>
      <c r="P104" s="121">
        <v>12</v>
      </c>
      <c r="Q104" s="122">
        <v>15</v>
      </c>
      <c r="R104" s="121">
        <v>20</v>
      </c>
      <c r="S104" s="6"/>
      <c r="AQ104" s="6"/>
    </row>
    <row r="105" spans="7:43" ht="14.1" customHeight="1">
      <c r="G105" s="981"/>
      <c r="H105" s="107"/>
      <c r="I105" s="107"/>
      <c r="J105" s="108"/>
      <c r="K105" s="43"/>
      <c r="M105" s="114"/>
      <c r="N105" s="112"/>
      <c r="O105" s="112"/>
      <c r="P105" s="112"/>
      <c r="Q105" s="113"/>
      <c r="R105" s="112"/>
      <c r="S105" s="6"/>
      <c r="AQ105" s="6"/>
    </row>
    <row r="106" spans="7:43" ht="14.1" customHeight="1">
      <c r="G106" s="994"/>
      <c r="H106" s="106"/>
      <c r="I106" s="106"/>
      <c r="J106" s="106"/>
      <c r="K106" s="42"/>
      <c r="M106" s="114"/>
      <c r="N106" s="112"/>
      <c r="O106" s="112"/>
      <c r="P106" s="112"/>
      <c r="Q106" s="113"/>
      <c r="R106" s="112"/>
      <c r="S106" s="6"/>
      <c r="AQ106" s="6"/>
    </row>
    <row r="107" spans="7:43" ht="14.1" customHeight="1">
      <c r="G107" s="995"/>
      <c r="H107" s="107"/>
      <c r="I107" s="107"/>
      <c r="J107" s="108"/>
      <c r="K107" s="43"/>
      <c r="M107" s="1007" t="s">
        <v>95</v>
      </c>
      <c r="N107" s="1007"/>
      <c r="O107" s="1007"/>
      <c r="P107" s="112"/>
      <c r="Q107" s="113"/>
      <c r="R107" s="112"/>
      <c r="S107" s="6"/>
      <c r="AQ107" s="6"/>
    </row>
    <row r="108" spans="7:43" ht="20.25" customHeight="1">
      <c r="G108" s="994"/>
      <c r="H108" s="106"/>
      <c r="I108" s="106"/>
      <c r="J108" s="106"/>
      <c r="K108" s="42"/>
      <c r="M108" s="123"/>
      <c r="N108" s="123">
        <v>0</v>
      </c>
      <c r="O108" s="142">
        <v>150</v>
      </c>
      <c r="P108" s="142">
        <v>300</v>
      </c>
      <c r="Q108" s="142">
        <v>500</v>
      </c>
      <c r="R108" s="142">
        <v>1000</v>
      </c>
      <c r="S108" s="142">
        <v>1500</v>
      </c>
      <c r="AQ108" s="6"/>
    </row>
    <row r="109" spans="7:43" ht="20.25" customHeight="1">
      <c r="G109" s="981"/>
      <c r="H109" s="107"/>
      <c r="I109" s="107"/>
      <c r="J109" s="108"/>
      <c r="K109" s="43"/>
      <c r="M109" s="125"/>
      <c r="N109" s="125" t="s">
        <v>222</v>
      </c>
      <c r="O109" s="125" t="s">
        <v>97</v>
      </c>
      <c r="P109" s="125" t="s">
        <v>91</v>
      </c>
      <c r="Q109" s="125" t="s">
        <v>220</v>
      </c>
      <c r="R109" s="125" t="s">
        <v>98</v>
      </c>
      <c r="S109" s="125" t="s">
        <v>99</v>
      </c>
    </row>
    <row r="110" spans="7:43" ht="14.1" customHeight="1">
      <c r="G110" s="980"/>
      <c r="H110" s="106"/>
      <c r="I110" s="106"/>
      <c r="J110" s="106"/>
      <c r="M110" s="126" t="s">
        <v>100</v>
      </c>
      <c r="N110" s="124">
        <v>0</v>
      </c>
      <c r="O110" s="127">
        <f>50+(H78*0.1)</f>
        <v>530.20000000000005</v>
      </c>
      <c r="P110" s="127">
        <v>155</v>
      </c>
      <c r="Q110" s="127">
        <v>225</v>
      </c>
      <c r="R110" s="127">
        <v>375</v>
      </c>
      <c r="S110" s="128">
        <v>500</v>
      </c>
    </row>
    <row r="111" spans="7:43" ht="14.1" customHeight="1">
      <c r="G111" s="981"/>
      <c r="H111" s="108"/>
      <c r="I111" s="107"/>
      <c r="J111" s="108"/>
      <c r="M111" s="126" t="s">
        <v>174</v>
      </c>
      <c r="N111" s="124">
        <v>0</v>
      </c>
      <c r="O111" s="123">
        <v>0</v>
      </c>
      <c r="P111" s="127">
        <v>198</v>
      </c>
      <c r="Q111" s="127">
        <v>330</v>
      </c>
      <c r="R111" s="127">
        <v>580</v>
      </c>
      <c r="S111" s="127">
        <v>725</v>
      </c>
    </row>
    <row r="112" spans="7:43" ht="14.1" customHeight="1">
      <c r="G112" s="980"/>
      <c r="H112" s="106"/>
      <c r="I112" s="106"/>
      <c r="J112" s="106"/>
      <c r="K112" s="42"/>
      <c r="M112" s="126" t="s">
        <v>35</v>
      </c>
      <c r="N112" s="124">
        <v>0</v>
      </c>
      <c r="O112" s="123">
        <v>0</v>
      </c>
      <c r="P112" s="129">
        <v>108</v>
      </c>
      <c r="Q112" s="129">
        <v>158</v>
      </c>
      <c r="R112" s="129">
        <v>203</v>
      </c>
      <c r="S112" s="129">
        <v>298</v>
      </c>
    </row>
    <row r="113" spans="7:19" ht="14.1" customHeight="1">
      <c r="G113" s="981"/>
      <c r="H113" s="107"/>
      <c r="I113" s="107"/>
      <c r="J113" s="108"/>
      <c r="K113" s="43"/>
      <c r="S113" s="6"/>
    </row>
    <row r="114" spans="7:19" ht="14.1" customHeight="1">
      <c r="G114" s="81"/>
      <c r="H114" s="106"/>
      <c r="I114" s="106"/>
      <c r="J114" s="106"/>
      <c r="K114" s="42"/>
      <c r="M114" s="1007" t="s">
        <v>101</v>
      </c>
      <c r="N114" s="1007"/>
      <c r="O114" s="1007"/>
      <c r="S114" s="6"/>
    </row>
    <row r="115" spans="7:19" ht="14.1" customHeight="1" thickBot="1">
      <c r="G115" s="44"/>
      <c r="H115" s="109"/>
      <c r="I115" s="109"/>
      <c r="J115" s="110"/>
      <c r="K115" s="45"/>
      <c r="N115" s="130">
        <v>0</v>
      </c>
      <c r="O115" s="130">
        <v>500</v>
      </c>
      <c r="P115" s="130">
        <v>1000</v>
      </c>
      <c r="Q115" s="130">
        <v>1500</v>
      </c>
      <c r="R115" s="6"/>
      <c r="S115" s="6"/>
    </row>
    <row r="116" spans="7:19" ht="14.1" customHeight="1">
      <c r="M116" s="131"/>
      <c r="N116" s="132" t="s">
        <v>102</v>
      </c>
      <c r="O116" s="132" t="s">
        <v>103</v>
      </c>
      <c r="P116" s="132" t="s">
        <v>104</v>
      </c>
      <c r="Q116" s="125" t="s">
        <v>99</v>
      </c>
      <c r="R116" s="6"/>
      <c r="S116" s="6"/>
    </row>
    <row r="117" spans="7:19" ht="14.1" customHeight="1">
      <c r="M117" s="133" t="s">
        <v>227</v>
      </c>
      <c r="N117" s="134">
        <v>90</v>
      </c>
      <c r="O117" s="134">
        <v>90</v>
      </c>
      <c r="P117" s="134">
        <v>108</v>
      </c>
      <c r="Q117" s="135">
        <v>138</v>
      </c>
      <c r="R117" s="6"/>
      <c r="S117" s="6"/>
    </row>
    <row r="118" spans="7:19" ht="14.1" customHeight="1">
      <c r="M118" s="133" t="s">
        <v>106</v>
      </c>
      <c r="N118" s="134">
        <v>188</v>
      </c>
      <c r="O118" s="134">
        <v>188</v>
      </c>
      <c r="P118" s="134">
        <v>324</v>
      </c>
      <c r="Q118" s="135">
        <v>454</v>
      </c>
    </row>
    <row r="119" spans="7:19" ht="14.1" customHeight="1">
      <c r="M119" s="136" t="s">
        <v>107</v>
      </c>
      <c r="N119" s="135">
        <v>146</v>
      </c>
      <c r="O119" s="134">
        <v>158</v>
      </c>
      <c r="P119" s="135">
        <v>184</v>
      </c>
      <c r="Q119" s="135">
        <v>210</v>
      </c>
    </row>
    <row r="120" spans="7:19" ht="14.1" customHeight="1">
      <c r="M120" s="133" t="s">
        <v>108</v>
      </c>
      <c r="N120" s="135">
        <v>60</v>
      </c>
      <c r="O120" s="134">
        <v>80</v>
      </c>
      <c r="P120" s="135">
        <v>100</v>
      </c>
      <c r="Q120" s="135">
        <v>150</v>
      </c>
    </row>
    <row r="121" spans="7:19" ht="14.1" customHeight="1">
      <c r="M121" s="137" t="s">
        <v>116</v>
      </c>
      <c r="N121" s="135">
        <f>SUM(N117:N120)</f>
        <v>484</v>
      </c>
      <c r="O121" s="135">
        <f t="shared" ref="O121:Q121" si="28">SUM(O117:O120)</f>
        <v>516</v>
      </c>
      <c r="P121" s="135">
        <f t="shared" si="28"/>
        <v>716</v>
      </c>
      <c r="Q121" s="135">
        <f t="shared" si="28"/>
        <v>952</v>
      </c>
    </row>
    <row r="122" spans="7:19" ht="14.1" customHeight="1">
      <c r="M122" s="1007" t="s">
        <v>109</v>
      </c>
      <c r="N122" s="1007"/>
      <c r="O122" s="1007"/>
    </row>
    <row r="123" spans="7:19" ht="14.1" customHeight="1">
      <c r="N123" s="130">
        <v>0</v>
      </c>
      <c r="O123" s="130">
        <v>500</v>
      </c>
      <c r="P123" s="130">
        <v>1000</v>
      </c>
      <c r="Q123" s="130">
        <v>1500</v>
      </c>
    </row>
    <row r="124" spans="7:19" ht="14.1" customHeight="1">
      <c r="M124" s="131"/>
      <c r="N124" s="132" t="s">
        <v>102</v>
      </c>
      <c r="O124" s="132" t="s">
        <v>103</v>
      </c>
      <c r="P124" s="132" t="s">
        <v>104</v>
      </c>
      <c r="Q124" s="125" t="s">
        <v>99</v>
      </c>
    </row>
    <row r="125" spans="7:19" ht="14.1" customHeight="1">
      <c r="M125" s="133" t="s">
        <v>114</v>
      </c>
      <c r="N125" s="138">
        <v>36</v>
      </c>
      <c r="O125" s="138">
        <v>48</v>
      </c>
      <c r="P125" s="138">
        <v>56</v>
      </c>
      <c r="Q125" s="139">
        <v>63</v>
      </c>
    </row>
    <row r="126" spans="7:19" ht="14.1" customHeight="1">
      <c r="M126" s="133" t="s">
        <v>115</v>
      </c>
      <c r="N126" s="138">
        <v>12</v>
      </c>
      <c r="O126" s="138">
        <v>18</v>
      </c>
      <c r="P126" s="138">
        <v>22</v>
      </c>
      <c r="Q126" s="139">
        <v>34</v>
      </c>
    </row>
    <row r="127" spans="7:19" ht="14.1" customHeight="1">
      <c r="M127" s="137" t="s">
        <v>116</v>
      </c>
      <c r="N127" s="140">
        <f>SUM(N125:N126)</f>
        <v>48</v>
      </c>
      <c r="O127" s="141">
        <f>SUM(O125:O126)</f>
        <v>66</v>
      </c>
      <c r="P127" s="140">
        <f>SUM(P125:P126)</f>
        <v>78</v>
      </c>
      <c r="Q127" s="140">
        <f>SUM(Q125:Q126)</f>
        <v>97</v>
      </c>
    </row>
  </sheetData>
  <mergeCells count="256">
    <mergeCell ref="G2:L2"/>
    <mergeCell ref="H3:L3"/>
    <mergeCell ref="S3:T3"/>
    <mergeCell ref="H4:L4"/>
    <mergeCell ref="O4:Q4"/>
    <mergeCell ref="G8:G14"/>
    <mergeCell ref="H8:I8"/>
    <mergeCell ref="O8:O14"/>
    <mergeCell ref="P8:P10"/>
    <mergeCell ref="H9:H13"/>
    <mergeCell ref="S12:T12"/>
    <mergeCell ref="H14:I14"/>
    <mergeCell ref="S14:T14"/>
    <mergeCell ref="H5:L5"/>
    <mergeCell ref="O5:Q5"/>
    <mergeCell ref="O6:P6"/>
    <mergeCell ref="S6:T6"/>
    <mergeCell ref="H7:L7"/>
    <mergeCell ref="S7:T7"/>
    <mergeCell ref="S2:T2"/>
    <mergeCell ref="G15:G24"/>
    <mergeCell ref="H15:I15"/>
    <mergeCell ref="J15:K15"/>
    <mergeCell ref="O15:P15"/>
    <mergeCell ref="S15:T15"/>
    <mergeCell ref="X15:AE16"/>
    <mergeCell ref="H16:H18"/>
    <mergeCell ref="L16:L18"/>
    <mergeCell ref="O16:P16"/>
    <mergeCell ref="S16:T16"/>
    <mergeCell ref="O17:P17"/>
    <mergeCell ref="S17:T17"/>
    <mergeCell ref="Y17:Z17"/>
    <mergeCell ref="AA17:AD17"/>
    <mergeCell ref="N18:N25"/>
    <mergeCell ref="O18:O20"/>
    <mergeCell ref="R18:R23"/>
    <mergeCell ref="S18:T23"/>
    <mergeCell ref="Y18:Z18"/>
    <mergeCell ref="AA18:AD18"/>
    <mergeCell ref="H19:H21"/>
    <mergeCell ref="L19:L21"/>
    <mergeCell ref="Y19:Z19"/>
    <mergeCell ref="AA19:AD19"/>
    <mergeCell ref="O21:O23"/>
    <mergeCell ref="H22:H24"/>
    <mergeCell ref="L22:L24"/>
    <mergeCell ref="S24:T24"/>
    <mergeCell ref="X24:X31"/>
    <mergeCell ref="AC24:AD24"/>
    <mergeCell ref="H25:I25"/>
    <mergeCell ref="O25:P25"/>
    <mergeCell ref="AC25:AD28"/>
    <mergeCell ref="H26:J26"/>
    <mergeCell ref="L26:L27"/>
    <mergeCell ref="N26:T26"/>
    <mergeCell ref="H27:K27"/>
    <mergeCell ref="N27:N31"/>
    <mergeCell ref="S27:S28"/>
    <mergeCell ref="T27:T31"/>
    <mergeCell ref="H28:J28"/>
    <mergeCell ref="L28:L29"/>
    <mergeCell ref="H29:K29"/>
    <mergeCell ref="S29:S31"/>
    <mergeCell ref="AC29:AC31"/>
    <mergeCell ref="AD29:AD31"/>
    <mergeCell ref="H30:K30"/>
    <mergeCell ref="V30:V31"/>
    <mergeCell ref="H31:J31"/>
    <mergeCell ref="G33:T33"/>
    <mergeCell ref="B34:B35"/>
    <mergeCell ref="C34:C35"/>
    <mergeCell ref="D34:D35"/>
    <mergeCell ref="E34:E35"/>
    <mergeCell ref="G34:G35"/>
    <mergeCell ref="H34:H35"/>
    <mergeCell ref="I34:I35"/>
    <mergeCell ref="J34:J35"/>
    <mergeCell ref="K34:M34"/>
    <mergeCell ref="V36:V37"/>
    <mergeCell ref="B38:B39"/>
    <mergeCell ref="C38:C39"/>
    <mergeCell ref="D38:D39"/>
    <mergeCell ref="E38:E39"/>
    <mergeCell ref="F38:F39"/>
    <mergeCell ref="H38:H39"/>
    <mergeCell ref="N34:N35"/>
    <mergeCell ref="O34:Q34"/>
    <mergeCell ref="R34:R35"/>
    <mergeCell ref="S34:S35"/>
    <mergeCell ref="T34:T35"/>
    <mergeCell ref="B36:B37"/>
    <mergeCell ref="C36:C37"/>
    <mergeCell ref="D36:D37"/>
    <mergeCell ref="E36:E37"/>
    <mergeCell ref="F36:F37"/>
    <mergeCell ref="I38:I39"/>
    <mergeCell ref="F40:F41"/>
    <mergeCell ref="H40:H41"/>
    <mergeCell ref="I40:I41"/>
    <mergeCell ref="E42:E43"/>
    <mergeCell ref="H42:H43"/>
    <mergeCell ref="H36:H37"/>
    <mergeCell ref="I36:I37"/>
    <mergeCell ref="T36:T41"/>
    <mergeCell ref="T42:T51"/>
    <mergeCell ref="E44:E45"/>
    <mergeCell ref="H44:H45"/>
    <mergeCell ref="I44:I45"/>
    <mergeCell ref="I48:I49"/>
    <mergeCell ref="B46:B47"/>
    <mergeCell ref="C46:C47"/>
    <mergeCell ref="D46:D47"/>
    <mergeCell ref="E46:E47"/>
    <mergeCell ref="H46:H47"/>
    <mergeCell ref="E48:E49"/>
    <mergeCell ref="B52:B53"/>
    <mergeCell ref="C52:C53"/>
    <mergeCell ref="D52:D53"/>
    <mergeCell ref="E52:E53"/>
    <mergeCell ref="G52:G53"/>
    <mergeCell ref="H52:H53"/>
    <mergeCell ref="H48:H49"/>
    <mergeCell ref="B50:B51"/>
    <mergeCell ref="C50:C51"/>
    <mergeCell ref="D50:D51"/>
    <mergeCell ref="E50:E51"/>
    <mergeCell ref="H50:H51"/>
    <mergeCell ref="T52:T53"/>
    <mergeCell ref="C54:C55"/>
    <mergeCell ref="D54:D55"/>
    <mergeCell ref="E54:E55"/>
    <mergeCell ref="F54:F55"/>
    <mergeCell ref="H54:H55"/>
    <mergeCell ref="I54:I55"/>
    <mergeCell ref="T54:T75"/>
    <mergeCell ref="C56:C57"/>
    <mergeCell ref="C60:C61"/>
    <mergeCell ref="D60:D61"/>
    <mergeCell ref="E60:E61"/>
    <mergeCell ref="F60:F61"/>
    <mergeCell ref="H60:H61"/>
    <mergeCell ref="D56:D57"/>
    <mergeCell ref="E56:E57"/>
    <mergeCell ref="F56:F57"/>
    <mergeCell ref="H56:H57"/>
    <mergeCell ref="C58:C59"/>
    <mergeCell ref="D58:D59"/>
    <mergeCell ref="E58:E59"/>
    <mergeCell ref="F58:F59"/>
    <mergeCell ref="H58:H59"/>
    <mergeCell ref="C62:C63"/>
    <mergeCell ref="D62:D63"/>
    <mergeCell ref="E62:E63"/>
    <mergeCell ref="F62:F63"/>
    <mergeCell ref="H62:H63"/>
    <mergeCell ref="C64:C65"/>
    <mergeCell ref="D64:D65"/>
    <mergeCell ref="E64:E65"/>
    <mergeCell ref="F64:F65"/>
    <mergeCell ref="H64:H65"/>
    <mergeCell ref="C70:C71"/>
    <mergeCell ref="D70:D71"/>
    <mergeCell ref="E70:E71"/>
    <mergeCell ref="F70:F71"/>
    <mergeCell ref="H70:H71"/>
    <mergeCell ref="I70:I71"/>
    <mergeCell ref="I64:I65"/>
    <mergeCell ref="E66:E67"/>
    <mergeCell ref="H66:H67"/>
    <mergeCell ref="E68:E69"/>
    <mergeCell ref="H68:H69"/>
    <mergeCell ref="I68:I69"/>
    <mergeCell ref="D76:D77"/>
    <mergeCell ref="E76:E77"/>
    <mergeCell ref="G76:G77"/>
    <mergeCell ref="H76:H77"/>
    <mergeCell ref="T76:T77"/>
    <mergeCell ref="E72:E73"/>
    <mergeCell ref="H72:H73"/>
    <mergeCell ref="I72:I73"/>
    <mergeCell ref="C74:C75"/>
    <mergeCell ref="D74:D75"/>
    <mergeCell ref="E74:E75"/>
    <mergeCell ref="F74:F75"/>
    <mergeCell ref="H74:H75"/>
    <mergeCell ref="I74:I75"/>
    <mergeCell ref="G81:T81"/>
    <mergeCell ref="G82:H82"/>
    <mergeCell ref="I82:J82"/>
    <mergeCell ref="K82:L82"/>
    <mergeCell ref="M82:N82"/>
    <mergeCell ref="Q82:R82"/>
    <mergeCell ref="S82:T82"/>
    <mergeCell ref="C78:C79"/>
    <mergeCell ref="D78:D79"/>
    <mergeCell ref="G78:G79"/>
    <mergeCell ref="H78:H79"/>
    <mergeCell ref="I78:I79"/>
    <mergeCell ref="G80:T80"/>
    <mergeCell ref="S84:T84"/>
    <mergeCell ref="G85:G88"/>
    <mergeCell ref="H85:H86"/>
    <mergeCell ref="I85:J85"/>
    <mergeCell ref="K85:L85"/>
    <mergeCell ref="M85:N85"/>
    <mergeCell ref="Q85:R85"/>
    <mergeCell ref="S85:T85"/>
    <mergeCell ref="I86:J86"/>
    <mergeCell ref="K86:L86"/>
    <mergeCell ref="G83:H84"/>
    <mergeCell ref="I83:J83"/>
    <mergeCell ref="K83:L83"/>
    <mergeCell ref="M83:N83"/>
    <mergeCell ref="Q83:R83"/>
    <mergeCell ref="S83:T83"/>
    <mergeCell ref="I84:J84"/>
    <mergeCell ref="K84:L84"/>
    <mergeCell ref="M84:N84"/>
    <mergeCell ref="Q84:R84"/>
    <mergeCell ref="Q89:R89"/>
    <mergeCell ref="S89:T89"/>
    <mergeCell ref="M86:N86"/>
    <mergeCell ref="Q86:R86"/>
    <mergeCell ref="S86:T86"/>
    <mergeCell ref="H87:H88"/>
    <mergeCell ref="I87:J87"/>
    <mergeCell ref="K87:L87"/>
    <mergeCell ref="M87:N87"/>
    <mergeCell ref="Q87:R87"/>
    <mergeCell ref="S87:T87"/>
    <mergeCell ref="I88:J88"/>
    <mergeCell ref="M114:O114"/>
    <mergeCell ref="M122:O122"/>
    <mergeCell ref="S8:T8"/>
    <mergeCell ref="S9:T9"/>
    <mergeCell ref="G104:G105"/>
    <mergeCell ref="G106:G107"/>
    <mergeCell ref="M107:O107"/>
    <mergeCell ref="G108:G109"/>
    <mergeCell ref="G110:G111"/>
    <mergeCell ref="G112:G113"/>
    <mergeCell ref="I90:J90"/>
    <mergeCell ref="K90:L90"/>
    <mergeCell ref="M90:N90"/>
    <mergeCell ref="Q90:R90"/>
    <mergeCell ref="S90:T90"/>
    <mergeCell ref="M101:O101"/>
    <mergeCell ref="K88:L88"/>
    <mergeCell ref="M88:N88"/>
    <mergeCell ref="Q88:R88"/>
    <mergeCell ref="S88:T88"/>
    <mergeCell ref="G89:H90"/>
    <mergeCell ref="I89:J89"/>
    <mergeCell ref="K89:L89"/>
    <mergeCell ref="M89:N89"/>
  </mergeCells>
  <phoneticPr fontId="2" type="noConversion"/>
  <printOptions horizontalCentered="1"/>
  <pageMargins left="0.7" right="0.7" top="0.75" bottom="0.75" header="0.3" footer="0.3"/>
  <pageSetup paperSize="8" scale="75" orientation="landscape" r:id="rId1"/>
  <headerFooter alignWithMargins="0"/>
  <rowBreaks count="1" manualBreakCount="1">
    <brk id="86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F81BD"/>
    <pageSetUpPr autoPageBreaks="0" fitToPage="1"/>
  </sheetPr>
  <dimension ref="B1:AQ127"/>
  <sheetViews>
    <sheetView topLeftCell="F17" zoomScaleNormal="100" zoomScaleSheetLayoutView="100" workbookViewId="0">
      <selection activeCell="J67" sqref="J67"/>
    </sheetView>
  </sheetViews>
  <sheetFormatPr defaultColWidth="8.77734375" defaultRowHeight="14.1" customHeight="1"/>
  <cols>
    <col min="1" max="2" width="8.77734375" style="2"/>
    <col min="3" max="3" width="10.21875" style="2" bestFit="1" customWidth="1"/>
    <col min="4" max="4" width="7.6640625" style="2" customWidth="1"/>
    <col min="5" max="5" width="9.77734375" style="2" bestFit="1" customWidth="1"/>
    <col min="6" max="6" width="8.77734375" style="2"/>
    <col min="7" max="7" width="13.21875" style="2" customWidth="1"/>
    <col min="8" max="9" width="9.21875" style="2" customWidth="1"/>
    <col min="10" max="13" width="11.6640625" style="2" customWidth="1"/>
    <col min="14" max="14" width="12.21875" style="2" bestFit="1" customWidth="1"/>
    <col min="15" max="15" width="14.44140625" style="2" customWidth="1"/>
    <col min="16" max="16" width="14.88671875" style="2" customWidth="1"/>
    <col min="17" max="17" width="13.5546875" style="2" customWidth="1"/>
    <col min="18" max="18" width="12.33203125" style="2" customWidth="1"/>
    <col min="19" max="19" width="11.109375" style="2" customWidth="1"/>
    <col min="20" max="20" width="14" style="2" customWidth="1"/>
    <col min="21" max="21" width="4.5546875" style="2" customWidth="1"/>
    <col min="22" max="22" width="10.77734375" style="2" customWidth="1"/>
    <col min="23" max="23" width="15.21875" style="2" bestFit="1" customWidth="1"/>
    <col min="24" max="24" width="10.33203125" style="2" bestFit="1" customWidth="1"/>
    <col min="25" max="25" width="10.6640625" style="2" bestFit="1" customWidth="1"/>
    <col min="26" max="26" width="18.33203125" style="2" customWidth="1"/>
    <col min="27" max="27" width="8.77734375" style="2" customWidth="1"/>
    <col min="28" max="28" width="11.77734375" style="2" customWidth="1"/>
    <col min="29" max="29" width="8.6640625" style="2" customWidth="1"/>
    <col min="30" max="30" width="9.6640625" style="2" customWidth="1"/>
    <col min="31" max="31" width="15.77734375" style="2" customWidth="1"/>
    <col min="32" max="32" width="13.5546875" style="2" bestFit="1" customWidth="1"/>
    <col min="33" max="33" width="14.44140625" style="2" bestFit="1" customWidth="1"/>
    <col min="34" max="34" width="15.44140625" style="2" bestFit="1" customWidth="1"/>
    <col min="35" max="35" width="10.5546875" style="2" bestFit="1" customWidth="1"/>
    <col min="36" max="16384" width="8.77734375" style="2"/>
  </cols>
  <sheetData>
    <row r="1" spans="3:31" ht="14.1" customHeight="1"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</row>
    <row r="2" spans="3:31" ht="18" customHeight="1" thickBot="1">
      <c r="F2" s="77"/>
      <c r="G2" s="839" t="s">
        <v>248</v>
      </c>
      <c r="H2" s="839"/>
      <c r="I2" s="839"/>
      <c r="J2" s="839"/>
      <c r="K2" s="839"/>
      <c r="L2" s="840"/>
      <c r="M2" s="70"/>
      <c r="N2" s="380" t="s">
        <v>33</v>
      </c>
      <c r="O2" s="381"/>
      <c r="P2" s="381"/>
      <c r="Q2" s="381"/>
      <c r="R2" s="381"/>
      <c r="T2" s="2">
        <v>7.21</v>
      </c>
      <c r="V2" s="1245">
        <v>44763</v>
      </c>
      <c r="W2" s="1246"/>
    </row>
    <row r="3" spans="3:31" ht="17.100000000000001" customHeight="1">
      <c r="E3" s="310">
        <v>0.7</v>
      </c>
      <c r="F3" s="77"/>
      <c r="G3" s="72" t="s">
        <v>52</v>
      </c>
      <c r="H3" s="844" t="s">
        <v>229</v>
      </c>
      <c r="I3" s="845"/>
      <c r="J3" s="845"/>
      <c r="K3" s="845"/>
      <c r="L3" s="846"/>
      <c r="M3" s="51"/>
      <c r="N3" s="53" t="s">
        <v>65</v>
      </c>
      <c r="O3" s="29"/>
      <c r="P3" s="84" t="s">
        <v>61</v>
      </c>
      <c r="Q3" s="30"/>
      <c r="R3" s="31" t="s">
        <v>166</v>
      </c>
      <c r="S3" s="847" t="s">
        <v>51</v>
      </c>
      <c r="T3" s="848"/>
    </row>
    <row r="4" spans="3:31" ht="17.100000000000001" customHeight="1" thickBot="1">
      <c r="E4" s="311">
        <f>J23/(J14*E3)</f>
        <v>2.690522610042223</v>
      </c>
      <c r="F4" s="77"/>
      <c r="G4" s="73" t="s">
        <v>11</v>
      </c>
      <c r="H4" s="849" t="s">
        <v>230</v>
      </c>
      <c r="I4" s="850"/>
      <c r="J4" s="850"/>
      <c r="K4" s="850"/>
      <c r="L4" s="851"/>
      <c r="M4" s="51"/>
      <c r="N4" s="279" t="s">
        <v>4</v>
      </c>
      <c r="O4" s="852" t="str">
        <f>INDEX($N$103:$R$103,MATCH($H$78,$N$102:$R$102,1))</f>
        <v>2000세대 이상</v>
      </c>
      <c r="P4" s="852"/>
      <c r="Q4" s="853"/>
      <c r="R4" s="32">
        <f>INDEX($N$104:$R$104,MATCH($H$78,$N$102:$R$102,1))</f>
        <v>20</v>
      </c>
      <c r="S4" s="21"/>
      <c r="T4" s="67"/>
    </row>
    <row r="5" spans="3:31" ht="17.100000000000001" customHeight="1">
      <c r="F5" s="77"/>
      <c r="G5" s="73" t="s">
        <v>27</v>
      </c>
      <c r="H5" s="849" t="s">
        <v>231</v>
      </c>
      <c r="I5" s="850"/>
      <c r="J5" s="850"/>
      <c r="K5" s="850"/>
      <c r="L5" s="851"/>
      <c r="M5" s="51"/>
      <c r="N5" s="280" t="s">
        <v>5</v>
      </c>
      <c r="O5" s="857" t="s">
        <v>25</v>
      </c>
      <c r="P5" s="857"/>
      <c r="Q5" s="861"/>
      <c r="R5" s="33" t="s">
        <v>12</v>
      </c>
      <c r="S5" s="22"/>
      <c r="T5" s="68"/>
    </row>
    <row r="6" spans="3:31" ht="17.100000000000001" customHeight="1">
      <c r="F6" s="77"/>
      <c r="G6" s="73" t="s">
        <v>39</v>
      </c>
      <c r="H6" s="50" t="s">
        <v>235</v>
      </c>
      <c r="I6" s="185">
        <f>ROUNDUP(E4,0)</f>
        <v>3</v>
      </c>
      <c r="J6" s="186"/>
      <c r="K6" s="186"/>
      <c r="L6" s="186"/>
      <c r="M6" s="51"/>
      <c r="N6" s="280" t="s">
        <v>6</v>
      </c>
      <c r="O6" s="862">
        <f>H78</f>
        <v>4805</v>
      </c>
      <c r="P6" s="862"/>
      <c r="Q6" s="23">
        <f>IF(H78&gt;=50, ROUNDUP((10+(H78-50)*0.05),2), "해당없음")</f>
        <v>247.75</v>
      </c>
      <c r="R6" s="277">
        <v>280</v>
      </c>
      <c r="S6" s="1143" t="s">
        <v>13</v>
      </c>
      <c r="T6" s="858"/>
    </row>
    <row r="7" spans="3:31" ht="17.100000000000001" customHeight="1">
      <c r="F7" s="77"/>
      <c r="G7" s="74" t="s">
        <v>40</v>
      </c>
      <c r="H7" s="863" t="s">
        <v>78</v>
      </c>
      <c r="I7" s="864"/>
      <c r="J7" s="864"/>
      <c r="K7" s="864"/>
      <c r="L7" s="865"/>
      <c r="M7" s="51"/>
      <c r="N7" s="281" t="s">
        <v>66</v>
      </c>
      <c r="O7" s="24"/>
      <c r="P7" s="63"/>
      <c r="Q7" s="25"/>
      <c r="R7" s="363">
        <v>280</v>
      </c>
      <c r="S7" s="1143"/>
      <c r="T7" s="858"/>
    </row>
    <row r="8" spans="3:31" ht="17.100000000000001" customHeight="1">
      <c r="F8" s="77"/>
      <c r="G8" s="1134" t="s">
        <v>171</v>
      </c>
      <c r="H8" s="884" t="s">
        <v>3</v>
      </c>
      <c r="I8" s="885"/>
      <c r="J8" s="325">
        <v>182618.4</v>
      </c>
      <c r="K8" s="331">
        <f t="shared" ref="K8" si="0">ROUNDDOWN(J8*0.3025,2)</f>
        <v>55242.06</v>
      </c>
      <c r="L8" s="105">
        <f>J8/$J$8</f>
        <v>1</v>
      </c>
      <c r="M8" s="51"/>
      <c r="N8" s="279" t="s">
        <v>173</v>
      </c>
      <c r="O8" s="1092" t="s">
        <v>75</v>
      </c>
      <c r="P8" s="868" t="s">
        <v>146</v>
      </c>
      <c r="Q8" s="26">
        <v>500</v>
      </c>
      <c r="R8" s="361">
        <v>1100</v>
      </c>
      <c r="S8" s="1241" t="s">
        <v>247</v>
      </c>
      <c r="T8" s="1242"/>
      <c r="Y8" s="173"/>
    </row>
    <row r="9" spans="3:31" ht="17.100000000000001" customHeight="1">
      <c r="F9" s="77"/>
      <c r="G9" s="1135"/>
      <c r="H9" s="1137" t="s">
        <v>14</v>
      </c>
      <c r="I9" s="65" t="s">
        <v>232</v>
      </c>
      <c r="J9" s="326">
        <v>6830.9</v>
      </c>
      <c r="K9" s="332">
        <f>ROUNDDOWN(J9*0.3025,2)</f>
        <v>2066.34</v>
      </c>
      <c r="L9" s="15">
        <f>J9/$J$8</f>
        <v>3.7405321698142133E-2</v>
      </c>
      <c r="M9" s="189"/>
      <c r="N9" s="280" t="s">
        <v>24</v>
      </c>
      <c r="O9" s="1093"/>
      <c r="P9" s="869"/>
      <c r="Q9" s="26">
        <v>725</v>
      </c>
      <c r="R9" s="362">
        <v>1400</v>
      </c>
      <c r="S9" s="1241" t="s">
        <v>247</v>
      </c>
      <c r="T9" s="1242"/>
    </row>
    <row r="10" spans="3:31" ht="17.100000000000001" customHeight="1">
      <c r="C10" s="130" t="s">
        <v>158</v>
      </c>
      <c r="D10" s="289">
        <v>3</v>
      </c>
      <c r="E10" s="312">
        <f>$H$78*D10</f>
        <v>14415</v>
      </c>
      <c r="F10" s="77"/>
      <c r="G10" s="1135"/>
      <c r="H10" s="1138"/>
      <c r="I10" s="65" t="s">
        <v>233</v>
      </c>
      <c r="J10" s="326">
        <v>1000</v>
      </c>
      <c r="K10" s="332">
        <f>ROUNDDOWN(J10*0.3025,2)</f>
        <v>302.5</v>
      </c>
      <c r="L10" s="15">
        <f>J10/$J$8</f>
        <v>5.4758994712471474E-3</v>
      </c>
      <c r="M10" s="51"/>
      <c r="N10" s="280" t="s">
        <v>35</v>
      </c>
      <c r="O10" s="1093"/>
      <c r="P10" s="870"/>
      <c r="Q10" s="26">
        <v>298</v>
      </c>
      <c r="R10" s="277">
        <v>650</v>
      </c>
      <c r="S10" s="28"/>
      <c r="T10" s="68"/>
      <c r="W10" s="130"/>
      <c r="X10" s="149"/>
    </row>
    <row r="11" spans="3:31" ht="17.100000000000001" customHeight="1">
      <c r="F11" s="77"/>
      <c r="G11" s="1135"/>
      <c r="H11" s="1138"/>
      <c r="I11" s="65" t="s">
        <v>234</v>
      </c>
      <c r="J11" s="326">
        <v>14500</v>
      </c>
      <c r="K11" s="332">
        <f>ROUNDDOWN(J11*0.3025,2)</f>
        <v>4386.25</v>
      </c>
      <c r="L11" s="15">
        <f>J11/$J$8</f>
        <v>7.9400542333083635E-2</v>
      </c>
      <c r="M11" s="51"/>
      <c r="N11" s="55" t="s">
        <v>88</v>
      </c>
      <c r="O11" s="1093"/>
      <c r="P11" s="147" t="str">
        <f>IF(H78&gt;=500,"500세대이상 의무설치", "해당없음")</f>
        <v>500세대이상 의무설치</v>
      </c>
      <c r="Q11" s="26" t="str">
        <f>IF(H78&gt;=500,"66㎡ 이상", "해당없음")</f>
        <v>66㎡ 이상</v>
      </c>
      <c r="R11" s="250">
        <v>600</v>
      </c>
      <c r="S11" s="28"/>
      <c r="T11" s="68"/>
    </row>
    <row r="12" spans="3:31" ht="17.100000000000001" customHeight="1">
      <c r="F12" s="77"/>
      <c r="G12" s="1135"/>
      <c r="H12" s="1138"/>
      <c r="I12" s="65"/>
      <c r="J12" s="326"/>
      <c r="K12" s="332"/>
      <c r="L12" s="15"/>
      <c r="M12" s="51"/>
      <c r="N12" s="55" t="s">
        <v>34</v>
      </c>
      <c r="O12" s="1093"/>
      <c r="P12" s="61"/>
      <c r="Q12" s="47"/>
      <c r="R12" s="277">
        <v>5500</v>
      </c>
      <c r="S12" s="1140"/>
      <c r="T12" s="1141"/>
    </row>
    <row r="13" spans="3:31" ht="16.5" customHeight="1">
      <c r="F13" s="77"/>
      <c r="G13" s="1135"/>
      <c r="H13" s="1139"/>
      <c r="I13" s="65" t="s">
        <v>177</v>
      </c>
      <c r="J13" s="327">
        <f>SUM(J9:J12)</f>
        <v>22330.9</v>
      </c>
      <c r="K13" s="333">
        <f>ROUNDDOWN(J13*0.3025,2)</f>
        <v>6755.09</v>
      </c>
      <c r="L13" s="102">
        <f>J13/$J$8</f>
        <v>0.12228176350247293</v>
      </c>
      <c r="M13" s="51"/>
      <c r="N13" s="55" t="s">
        <v>76</v>
      </c>
      <c r="O13" s="1093"/>
      <c r="P13" s="202" t="str">
        <f>IF(H78&gt;=500,"500세대이상 의무설치", "해당없음")</f>
        <v>500세대이상 의무설치</v>
      </c>
      <c r="Q13" s="47"/>
      <c r="R13" s="277">
        <v>3800</v>
      </c>
      <c r="S13" s="22"/>
      <c r="T13" s="68"/>
      <c r="W13" s="130"/>
      <c r="X13" s="177"/>
    </row>
    <row r="14" spans="3:31" ht="17.100000000000001" customHeight="1">
      <c r="F14" s="77"/>
      <c r="G14" s="1136"/>
      <c r="H14" s="1115" t="s">
        <v>42</v>
      </c>
      <c r="I14" s="1116"/>
      <c r="J14" s="328">
        <f>J8-J13</f>
        <v>160287.5</v>
      </c>
      <c r="K14" s="334">
        <f>ROUNDDOWN(J14*0.3025,2)</f>
        <v>48486.96</v>
      </c>
      <c r="L14" s="18">
        <f>J14/$J$8</f>
        <v>0.87771823649752712</v>
      </c>
      <c r="M14" s="51"/>
      <c r="N14" s="55" t="s">
        <v>77</v>
      </c>
      <c r="O14" s="1094"/>
      <c r="P14" s="202" t="str">
        <f>IF(H78&lt;100,"해당없음",IF(H78&lt;300,"지역여건에 맞게 설치",IF(H78&lt;1000,"200㎡+세대당 1㎡",IF(H78&gt;1000,"500㎡+세대당 0.7㎡"))))</f>
        <v>500㎡+세대당 0.7㎡</v>
      </c>
      <c r="Q14" s="26">
        <f>500+(H78*0.7)</f>
        <v>3863.5</v>
      </c>
      <c r="R14" s="283">
        <v>3700</v>
      </c>
      <c r="S14" s="1095"/>
      <c r="T14" s="1142"/>
      <c r="W14" s="177"/>
    </row>
    <row r="15" spans="3:31" ht="17.100000000000001" customHeight="1">
      <c r="C15" s="2">
        <v>120698</v>
      </c>
      <c r="F15" s="77"/>
      <c r="G15" s="881" t="s">
        <v>180</v>
      </c>
      <c r="H15" s="1145" t="s">
        <v>70</v>
      </c>
      <c r="I15" s="1082"/>
      <c r="J15" s="1146" t="s">
        <v>71</v>
      </c>
      <c r="K15" s="1147"/>
      <c r="L15" s="335" t="s">
        <v>72</v>
      </c>
      <c r="M15" s="51"/>
      <c r="N15" s="282" t="s">
        <v>186</v>
      </c>
      <c r="O15" s="892" t="s">
        <v>238</v>
      </c>
      <c r="P15" s="893"/>
      <c r="Q15" s="198">
        <f>500+($H$78*2)*1.25</f>
        <v>12512.5</v>
      </c>
      <c r="R15" s="254">
        <f>R8+R9+R10+R11+R12+R13+R14</f>
        <v>16750</v>
      </c>
      <c r="S15" s="894" t="s">
        <v>80</v>
      </c>
      <c r="T15" s="895"/>
      <c r="W15" s="177"/>
      <c r="X15" s="889"/>
      <c r="Y15" s="889"/>
      <c r="Z15" s="889"/>
      <c r="AA15" s="889"/>
      <c r="AB15" s="889"/>
      <c r="AC15" s="889"/>
      <c r="AD15" s="889"/>
      <c r="AE15" s="889"/>
    </row>
    <row r="16" spans="3:31" ht="17.100000000000001" customHeight="1">
      <c r="C16" s="2">
        <v>93504.3</v>
      </c>
      <c r="D16" s="145">
        <f>C16/C15</f>
        <v>0.77469634956668709</v>
      </c>
      <c r="F16" s="77"/>
      <c r="G16" s="882"/>
      <c r="H16" s="1112" t="s">
        <v>44</v>
      </c>
      <c r="I16" s="66" t="s">
        <v>45</v>
      </c>
      <c r="J16" s="329">
        <f>N78+R8+R9+R7</f>
        <v>479083.45000000007</v>
      </c>
      <c r="K16" s="332">
        <f t="shared" ref="K16:K24" si="1">ROUNDDOWN(J16*0.3025,2)</f>
        <v>144922.74</v>
      </c>
      <c r="L16" s="1148">
        <f>J16/$J$22</f>
        <v>0.99254169580498353</v>
      </c>
      <c r="M16" s="51"/>
      <c r="N16" s="279" t="s">
        <v>36</v>
      </c>
      <c r="O16" s="1151" t="s">
        <v>85</v>
      </c>
      <c r="P16" s="1152"/>
      <c r="Q16" s="199">
        <f>J14*0.15</f>
        <v>24043.125</v>
      </c>
      <c r="R16" s="200">
        <f>ROUNDUP(Q16,-2)+100</f>
        <v>24200</v>
      </c>
      <c r="S16" s="1153"/>
      <c r="T16" s="1154"/>
      <c r="V16" s="337" t="s">
        <v>188</v>
      </c>
      <c r="X16" s="889"/>
      <c r="Y16" s="889"/>
      <c r="Z16" s="889"/>
      <c r="AA16" s="889"/>
      <c r="AB16" s="889"/>
      <c r="AC16" s="889"/>
      <c r="AD16" s="889"/>
      <c r="AE16" s="889"/>
    </row>
    <row r="17" spans="6:30" ht="17.100000000000001" customHeight="1">
      <c r="F17" s="77"/>
      <c r="G17" s="882"/>
      <c r="H17" s="1113"/>
      <c r="I17" s="66" t="s">
        <v>189</v>
      </c>
      <c r="J17" s="329">
        <f>O78+Q78+R6+R10+R12+R11</f>
        <v>296380</v>
      </c>
      <c r="K17" s="332">
        <f t="shared" si="1"/>
        <v>89654.95</v>
      </c>
      <c r="L17" s="1149"/>
      <c r="M17" s="51"/>
      <c r="N17" s="279" t="s">
        <v>233</v>
      </c>
      <c r="O17" s="1151"/>
      <c r="P17" s="1152"/>
      <c r="Q17" s="199"/>
      <c r="R17" s="200">
        <v>1000</v>
      </c>
      <c r="S17" s="1153" t="s">
        <v>246</v>
      </c>
      <c r="T17" s="1154"/>
      <c r="V17" s="338">
        <v>40</v>
      </c>
      <c r="X17" s="174"/>
      <c r="Y17" s="890"/>
      <c r="Z17" s="891"/>
      <c r="AA17" s="907"/>
      <c r="AB17" s="891"/>
      <c r="AC17" s="891"/>
      <c r="AD17" s="891"/>
    </row>
    <row r="18" spans="6:30" ht="17.100000000000001" customHeight="1">
      <c r="F18" s="77"/>
      <c r="G18" s="882"/>
      <c r="H18" s="1114"/>
      <c r="I18" s="66" t="s">
        <v>177</v>
      </c>
      <c r="J18" s="329">
        <f>SUM(J16:J17)</f>
        <v>775463.45000000007</v>
      </c>
      <c r="K18" s="332">
        <f t="shared" si="1"/>
        <v>234577.69</v>
      </c>
      <c r="L18" s="1150"/>
      <c r="M18" s="51"/>
      <c r="N18" s="1155" t="s">
        <v>37</v>
      </c>
      <c r="O18" s="874" t="s">
        <v>81</v>
      </c>
      <c r="P18" s="197" t="s">
        <v>122</v>
      </c>
      <c r="Q18" s="284">
        <f>ROUNDUP((SUMPRODUCT(H36:H51,J36:J51)+SUMPRODUCT(H56:H63,J56:J63))/75,0)</f>
        <v>4307</v>
      </c>
      <c r="R18" s="1158">
        <f>H78*S18</f>
        <v>7207.5</v>
      </c>
      <c r="S18" s="968">
        <v>1.5</v>
      </c>
      <c r="T18" s="969"/>
      <c r="X18" s="175"/>
      <c r="Y18" s="908"/>
      <c r="Z18" s="909"/>
      <c r="AA18" s="910"/>
      <c r="AB18" s="911"/>
      <c r="AC18" s="911"/>
      <c r="AD18" s="911"/>
    </row>
    <row r="19" spans="6:30" ht="17.100000000000001" customHeight="1">
      <c r="F19" s="77"/>
      <c r="G19" s="882"/>
      <c r="H19" s="1161" t="s">
        <v>38</v>
      </c>
      <c r="I19" s="65" t="s">
        <v>194</v>
      </c>
      <c r="J19" s="329">
        <f>M85</f>
        <v>3600</v>
      </c>
      <c r="K19" s="332">
        <f t="shared" si="1"/>
        <v>1089</v>
      </c>
      <c r="L19" s="1148">
        <f>J19/$J$22</f>
        <v>7.4583041950164221E-3</v>
      </c>
      <c r="M19" s="51"/>
      <c r="N19" s="1156"/>
      <c r="O19" s="875"/>
      <c r="P19" s="150" t="s">
        <v>123</v>
      </c>
      <c r="Q19" s="286">
        <f>ROUNDUP((SUMPRODUCT(H64:H75,J64:J75))/65,0)</f>
        <v>502</v>
      </c>
      <c r="R19" s="1159"/>
      <c r="S19" s="970"/>
      <c r="T19" s="971"/>
      <c r="X19" s="176"/>
      <c r="Y19" s="908"/>
      <c r="Z19" s="909"/>
      <c r="AA19" s="910"/>
      <c r="AB19" s="911"/>
      <c r="AC19" s="911"/>
      <c r="AD19" s="911"/>
    </row>
    <row r="20" spans="6:30" ht="17.100000000000001" customHeight="1">
      <c r="F20" s="77"/>
      <c r="G20" s="882"/>
      <c r="H20" s="1162"/>
      <c r="I20" s="65" t="s">
        <v>46</v>
      </c>
      <c r="J20" s="329">
        <f>M87+O89+P89</f>
        <v>5500</v>
      </c>
      <c r="K20" s="332">
        <f t="shared" si="1"/>
        <v>1663.75</v>
      </c>
      <c r="L20" s="1149"/>
      <c r="M20" s="51"/>
      <c r="N20" s="1156"/>
      <c r="O20" s="876"/>
      <c r="P20" s="151" t="s">
        <v>82</v>
      </c>
      <c r="Q20" s="285">
        <f>SUM(Q18:Q19)</f>
        <v>4809</v>
      </c>
      <c r="R20" s="1159"/>
      <c r="S20" s="970"/>
      <c r="T20" s="971"/>
    </row>
    <row r="21" spans="6:30" ht="17.100000000000001" customHeight="1">
      <c r="F21" s="77"/>
      <c r="G21" s="882"/>
      <c r="H21" s="1163"/>
      <c r="I21" s="65" t="s">
        <v>177</v>
      </c>
      <c r="J21" s="329">
        <f>J19+J20</f>
        <v>9100</v>
      </c>
      <c r="K21" s="332">
        <f t="shared" si="1"/>
        <v>2752.75</v>
      </c>
      <c r="L21" s="1150"/>
      <c r="M21" s="51"/>
      <c r="N21" s="1156"/>
      <c r="O21" s="874" t="s">
        <v>86</v>
      </c>
      <c r="P21" s="159" t="s">
        <v>240</v>
      </c>
      <c r="Q21" s="284">
        <f>(SUM(H36:H47)+SUM(H56:H59))*0.8</f>
        <v>1662.4</v>
      </c>
      <c r="R21" s="1159"/>
      <c r="S21" s="970"/>
      <c r="T21" s="971"/>
      <c r="U21"/>
      <c r="V21"/>
    </row>
    <row r="22" spans="6:30" ht="17.100000000000001" customHeight="1">
      <c r="F22" s="77"/>
      <c r="G22" s="882"/>
      <c r="H22" s="1161" t="s">
        <v>1</v>
      </c>
      <c r="I22" s="65" t="s">
        <v>194</v>
      </c>
      <c r="J22" s="326">
        <f>J16+J19</f>
        <v>482683.45000000007</v>
      </c>
      <c r="K22" s="332">
        <f t="shared" si="1"/>
        <v>146011.74</v>
      </c>
      <c r="L22" s="1148">
        <f>J22/$J$22</f>
        <v>1</v>
      </c>
      <c r="M22" s="276"/>
      <c r="N22" s="1156"/>
      <c r="O22" s="875"/>
      <c r="P22" s="160" t="s">
        <v>241</v>
      </c>
      <c r="Q22" s="286">
        <f>(SUM(H48:H51)+SUM(H60:H75))*1</f>
        <v>2727</v>
      </c>
      <c r="R22" s="1159"/>
      <c r="S22" s="970"/>
      <c r="T22" s="971"/>
      <c r="U22"/>
      <c r="V22"/>
    </row>
    <row r="23" spans="6:30" ht="17.100000000000001" customHeight="1">
      <c r="F23" s="77"/>
      <c r="G23" s="882"/>
      <c r="H23" s="1162"/>
      <c r="I23" s="65" t="s">
        <v>46</v>
      </c>
      <c r="J23" s="326">
        <f>J17+J20</f>
        <v>301880</v>
      </c>
      <c r="K23" s="332">
        <f t="shared" si="1"/>
        <v>91318.7</v>
      </c>
      <c r="L23" s="1149"/>
      <c r="M23" s="51"/>
      <c r="N23" s="1156"/>
      <c r="O23" s="876"/>
      <c r="P23" s="152" t="s">
        <v>82</v>
      </c>
      <c r="Q23" s="285">
        <f>SUM(Q21:Q22)</f>
        <v>4389.3999999999996</v>
      </c>
      <c r="R23" s="1160"/>
      <c r="S23" s="972"/>
      <c r="T23" s="973"/>
      <c r="U23"/>
      <c r="V23"/>
    </row>
    <row r="24" spans="6:30" ht="17.100000000000001" customHeight="1">
      <c r="F24" s="77"/>
      <c r="G24" s="1144"/>
      <c r="H24" s="1164"/>
      <c r="I24" s="263" t="s">
        <v>1</v>
      </c>
      <c r="J24" s="330">
        <f>J18+J21</f>
        <v>784563.45000000007</v>
      </c>
      <c r="K24" s="334">
        <f t="shared" si="1"/>
        <v>237330.44</v>
      </c>
      <c r="L24" s="1165"/>
      <c r="M24" s="51"/>
      <c r="N24" s="1156"/>
      <c r="O24" s="153" t="s">
        <v>199</v>
      </c>
      <c r="P24" s="154">
        <v>134</v>
      </c>
      <c r="Q24" s="287">
        <f>(M89+O89)/P24</f>
        <v>50</v>
      </c>
      <c r="R24" s="290">
        <f>ROUNDUP(Q24*S24,0)</f>
        <v>60</v>
      </c>
      <c r="S24" s="1243">
        <v>1.2</v>
      </c>
      <c r="T24" s="1244"/>
      <c r="U24"/>
      <c r="V24"/>
      <c r="X24" s="918"/>
      <c r="Y24" s="161"/>
      <c r="Z24" s="162"/>
      <c r="AA24" s="162"/>
      <c r="AB24" s="163"/>
      <c r="AC24" s="921"/>
      <c r="AD24" s="922"/>
    </row>
    <row r="25" spans="6:30" ht="17.100000000000001" customHeight="1">
      <c r="F25" s="77"/>
      <c r="G25" s="309"/>
      <c r="H25" s="1168"/>
      <c r="I25" s="1169"/>
      <c r="J25" s="303"/>
      <c r="K25" s="304"/>
      <c r="M25" s="51"/>
      <c r="N25" s="1157"/>
      <c r="O25" s="912" t="s">
        <v>200</v>
      </c>
      <c r="P25" s="913"/>
      <c r="Q25" s="288">
        <f>Q20+Q24</f>
        <v>4859</v>
      </c>
      <c r="R25" s="291">
        <f>SUM(R18+R24)</f>
        <v>7267.5</v>
      </c>
      <c r="S25" s="306"/>
      <c r="T25" s="307"/>
      <c r="U25"/>
      <c r="V25" s="313"/>
      <c r="X25" s="919"/>
      <c r="Y25" s="165"/>
      <c r="Z25" s="157"/>
      <c r="AA25" s="171"/>
      <c r="AB25" s="157"/>
      <c r="AC25" s="923"/>
      <c r="AD25" s="924"/>
    </row>
    <row r="26" spans="6:30" ht="17.100000000000001" customHeight="1">
      <c r="F26" s="77"/>
      <c r="G26" s="72" t="s">
        <v>48</v>
      </c>
      <c r="H26" s="1105">
        <f>J14*0.2842</f>
        <v>45553.707500000004</v>
      </c>
      <c r="I26" s="1106"/>
      <c r="J26" s="1107"/>
      <c r="K26" s="12">
        <f>ROUNDDOWN(H26*0.3025,2)</f>
        <v>13779.99</v>
      </c>
      <c r="L26" s="1170">
        <v>50</v>
      </c>
      <c r="M26" s="51"/>
      <c r="N26" s="1172"/>
      <c r="O26" s="1173"/>
      <c r="P26" s="1173"/>
      <c r="Q26" s="1173"/>
      <c r="R26" s="1173"/>
      <c r="S26" s="1173"/>
      <c r="T26" s="1173"/>
      <c r="U26"/>
      <c r="V26" s="313"/>
      <c r="X26" s="919"/>
      <c r="Y26" s="165"/>
      <c r="Z26" s="157"/>
      <c r="AA26" s="314"/>
      <c r="AB26" s="157"/>
      <c r="AC26" s="925"/>
      <c r="AD26" s="926"/>
    </row>
    <row r="27" spans="6:30" ht="17.100000000000001" customHeight="1">
      <c r="F27" s="77"/>
      <c r="G27" s="74" t="s">
        <v>0</v>
      </c>
      <c r="H27" s="1108">
        <f>H26/J14</f>
        <v>0.28420000000000001</v>
      </c>
      <c r="I27" s="1109"/>
      <c r="J27" s="1109"/>
      <c r="K27" s="1110"/>
      <c r="L27" s="1171"/>
      <c r="M27" s="51"/>
      <c r="N27" s="879" t="s">
        <v>236</v>
      </c>
      <c r="O27" s="339">
        <f>H29</f>
        <v>2.9957635498713255</v>
      </c>
      <c r="P27" s="340">
        <v>2.5</v>
      </c>
      <c r="Q27" s="341">
        <v>2</v>
      </c>
      <c r="R27" s="342">
        <f>(O27-P27)/Q27</f>
        <v>0.24788177493566277</v>
      </c>
      <c r="S27" s="1175">
        <f>R28</f>
        <v>39732.350000000049</v>
      </c>
      <c r="T27" s="1177">
        <f>P29+P30+P31</f>
        <v>510</v>
      </c>
      <c r="U27"/>
      <c r="V27" s="313"/>
      <c r="X27" s="919"/>
      <c r="Y27" s="165"/>
      <c r="Z27" s="157"/>
      <c r="AA27" s="314"/>
      <c r="AB27" s="157"/>
      <c r="AC27" s="925"/>
      <c r="AD27" s="926"/>
    </row>
    <row r="28" spans="6:30" ht="17.100000000000001" customHeight="1">
      <c r="F28" s="77"/>
      <c r="G28" s="75" t="s">
        <v>64</v>
      </c>
      <c r="H28" s="1105">
        <f>J22-R8-R9</f>
        <v>480183.45000000007</v>
      </c>
      <c r="I28" s="1106"/>
      <c r="J28" s="1107"/>
      <c r="K28" s="12">
        <f>ROUNDDOWN(H28*0.3025,2)</f>
        <v>145255.49</v>
      </c>
      <c r="L28" s="1180" t="s">
        <v>201</v>
      </c>
      <c r="M28" s="51"/>
      <c r="N28" s="1174"/>
      <c r="O28" s="343"/>
      <c r="P28" s="344">
        <f>J14</f>
        <v>160287.5</v>
      </c>
      <c r="Q28" s="345">
        <f>R27</f>
        <v>0.24788177493566277</v>
      </c>
      <c r="R28" s="346">
        <f>P28*Q28</f>
        <v>39732.350000000049</v>
      </c>
      <c r="S28" s="1176"/>
      <c r="T28" s="1178"/>
      <c r="U28" s="274"/>
      <c r="V28" s="275"/>
      <c r="X28" s="919"/>
      <c r="Y28" s="167"/>
      <c r="Z28" s="168"/>
      <c r="AA28" s="172"/>
      <c r="AB28" s="168"/>
      <c r="AC28" s="925"/>
      <c r="AD28" s="926"/>
    </row>
    <row r="29" spans="6:30" ht="17.100000000000001" customHeight="1">
      <c r="F29" s="77"/>
      <c r="G29" s="74" t="s">
        <v>62</v>
      </c>
      <c r="H29" s="854">
        <f>H28/J14</f>
        <v>2.9957635498713255</v>
      </c>
      <c r="I29" s="855"/>
      <c r="J29" s="855"/>
      <c r="K29" s="856"/>
      <c r="L29" s="1181"/>
      <c r="M29" s="51"/>
      <c r="N29" s="1174"/>
      <c r="O29" s="347">
        <f>G45</f>
        <v>49</v>
      </c>
      <c r="P29" s="348">
        <f>H42</f>
        <v>230</v>
      </c>
      <c r="Q29" s="349">
        <f>N42</f>
        <v>68.650000000000006</v>
      </c>
      <c r="R29" s="350">
        <f>P29*Q29</f>
        <v>15789.500000000002</v>
      </c>
      <c r="S29" s="1182">
        <f>R29+R30+R31</f>
        <v>40331.5</v>
      </c>
      <c r="T29" s="1178"/>
      <c r="U29" s="274"/>
      <c r="V29" s="378">
        <f>S29-S27</f>
        <v>599.14999999995052</v>
      </c>
      <c r="W29" s="169"/>
      <c r="X29" s="919"/>
      <c r="Y29" s="165"/>
      <c r="Z29" s="157"/>
      <c r="AA29" s="170"/>
      <c r="AB29" s="157"/>
      <c r="AC29" s="927"/>
      <c r="AD29" s="929"/>
    </row>
    <row r="30" spans="6:30" ht="17.100000000000001" customHeight="1">
      <c r="F30" s="77"/>
      <c r="G30" s="72" t="s">
        <v>63</v>
      </c>
      <c r="H30" s="1088">
        <f>H78</f>
        <v>4805</v>
      </c>
      <c r="I30" s="1089"/>
      <c r="J30" s="1089"/>
      <c r="K30" s="1090"/>
      <c r="L30" s="20"/>
      <c r="M30" s="51"/>
      <c r="N30" s="1174"/>
      <c r="O30" s="351">
        <f>G47</f>
        <v>59</v>
      </c>
      <c r="P30" s="352">
        <f>H46</f>
        <v>230</v>
      </c>
      <c r="Q30" s="353">
        <f>N46</f>
        <v>82.15</v>
      </c>
      <c r="R30" s="354">
        <f>P30*Q30</f>
        <v>18894.5</v>
      </c>
      <c r="S30" s="1183"/>
      <c r="T30" s="1178"/>
      <c r="U30"/>
      <c r="V30" s="1185"/>
      <c r="W30" s="169"/>
      <c r="X30" s="919"/>
      <c r="Y30" s="230"/>
      <c r="Z30" s="231"/>
      <c r="AA30" s="232"/>
      <c r="AB30" s="231"/>
      <c r="AC30" s="927"/>
      <c r="AD30" s="929"/>
    </row>
    <row r="31" spans="6:30" ht="17.100000000000001" customHeight="1">
      <c r="F31" s="77"/>
      <c r="G31" s="74" t="s">
        <v>37</v>
      </c>
      <c r="H31" s="949">
        <f>R25</f>
        <v>7267.5</v>
      </c>
      <c r="I31" s="950"/>
      <c r="J31" s="950"/>
      <c r="K31" s="164"/>
      <c r="L31" s="62">
        <f>$R$18/$H$78</f>
        <v>1.5</v>
      </c>
      <c r="M31" s="51"/>
      <c r="N31" s="1174"/>
      <c r="O31" s="355">
        <f>G51</f>
        <v>84</v>
      </c>
      <c r="P31" s="356">
        <f>H50</f>
        <v>50</v>
      </c>
      <c r="Q31" s="357">
        <f>N50</f>
        <v>112.95</v>
      </c>
      <c r="R31" s="346">
        <f>P31*Q31</f>
        <v>5647.5</v>
      </c>
      <c r="S31" s="1184"/>
      <c r="T31" s="1179"/>
      <c r="U31"/>
      <c r="V31" s="1186"/>
      <c r="X31" s="920"/>
      <c r="Y31" s="166"/>
      <c r="Z31" s="158"/>
      <c r="AA31" s="166"/>
      <c r="AB31" s="158"/>
      <c r="AC31" s="928"/>
      <c r="AD31" s="930"/>
    </row>
    <row r="32" spans="6:30" ht="6.75" customHeight="1">
      <c r="F32" s="77"/>
      <c r="G32" s="76"/>
      <c r="H32" s="57"/>
      <c r="I32" s="57"/>
      <c r="J32" s="57"/>
      <c r="K32" s="57"/>
      <c r="L32" s="57"/>
      <c r="M32" s="52"/>
      <c r="N32" s="57"/>
      <c r="O32" s="57"/>
      <c r="P32" s="57"/>
      <c r="Q32" s="57"/>
      <c r="R32" s="57"/>
      <c r="S32" s="57"/>
      <c r="T32" s="57"/>
      <c r="U32"/>
      <c r="V32" s="10"/>
    </row>
    <row r="33" spans="2:23" ht="17.25">
      <c r="F33" s="77"/>
      <c r="G33" s="951" t="s">
        <v>31</v>
      </c>
      <c r="H33" s="951"/>
      <c r="I33" s="951"/>
      <c r="J33" s="951"/>
      <c r="K33" s="951"/>
      <c r="L33" s="951"/>
      <c r="M33" s="951"/>
      <c r="N33" s="951"/>
      <c r="O33" s="951"/>
      <c r="P33" s="951"/>
      <c r="Q33" s="951"/>
      <c r="R33" s="951"/>
      <c r="S33" s="951"/>
      <c r="T33" s="952"/>
      <c r="W33" s="4"/>
    </row>
    <row r="34" spans="2:23" s="4" customFormat="1" ht="15.75" customHeight="1">
      <c r="B34" s="1122"/>
      <c r="C34" s="1122"/>
      <c r="D34" s="1122"/>
      <c r="E34" s="1122"/>
      <c r="F34" s="78"/>
      <c r="G34" s="957" t="s">
        <v>16</v>
      </c>
      <c r="H34" s="877" t="s">
        <v>139</v>
      </c>
      <c r="I34" s="877" t="s">
        <v>17</v>
      </c>
      <c r="J34" s="877" t="s">
        <v>206</v>
      </c>
      <c r="K34" s="877" t="s">
        <v>207</v>
      </c>
      <c r="L34" s="877"/>
      <c r="M34" s="877"/>
      <c r="N34" s="877" t="s">
        <v>8</v>
      </c>
      <c r="O34" s="877" t="s">
        <v>30</v>
      </c>
      <c r="P34" s="877"/>
      <c r="Q34" s="877"/>
      <c r="R34" s="877" t="s">
        <v>23</v>
      </c>
      <c r="S34" s="877" t="s">
        <v>211</v>
      </c>
      <c r="T34" s="956" t="s">
        <v>68</v>
      </c>
    </row>
    <row r="35" spans="2:23" s="4" customFormat="1" ht="15.75" customHeight="1">
      <c r="B35" s="1122"/>
      <c r="C35" s="1122"/>
      <c r="D35" s="1122"/>
      <c r="E35" s="1122"/>
      <c r="F35" s="78"/>
      <c r="G35" s="958"/>
      <c r="H35" s="878"/>
      <c r="I35" s="878"/>
      <c r="J35" s="878"/>
      <c r="K35" s="80" t="s">
        <v>21</v>
      </c>
      <c r="L35" s="80" t="s">
        <v>142</v>
      </c>
      <c r="M35" s="80" t="s">
        <v>132</v>
      </c>
      <c r="N35" s="878"/>
      <c r="O35" s="80" t="s">
        <v>214</v>
      </c>
      <c r="P35" s="80" t="s">
        <v>15</v>
      </c>
      <c r="Q35" s="80" t="s">
        <v>215</v>
      </c>
      <c r="R35" s="878"/>
      <c r="S35" s="878"/>
      <c r="T35" s="878"/>
      <c r="W35" s="2"/>
    </row>
    <row r="36" spans="2:23" ht="11.25" hidden="1" customHeight="1">
      <c r="B36" s="1127"/>
      <c r="C36" s="1121"/>
      <c r="D36" s="1121"/>
      <c r="E36" s="1121">
        <f>ROUNDUP(H78*0.05,0)</f>
        <v>241</v>
      </c>
      <c r="F36" s="1187" t="e">
        <f>H36/#REF!</f>
        <v>#REF!</v>
      </c>
      <c r="G36" s="297">
        <f>ROUNDDOWN(N37,0)</f>
        <v>17</v>
      </c>
      <c r="H36" s="1194"/>
      <c r="I36" s="1195">
        <f>H36/$H$78</f>
        <v>0</v>
      </c>
      <c r="J36" s="299">
        <f>J54</f>
        <v>39.96</v>
      </c>
      <c r="K36" s="299">
        <f>K54</f>
        <v>3.65</v>
      </c>
      <c r="L36" s="299">
        <f>L54</f>
        <v>14.8</v>
      </c>
      <c r="M36" s="299">
        <f>K36+L36</f>
        <v>18.45</v>
      </c>
      <c r="N36" s="299">
        <f>J36+M36</f>
        <v>58.41</v>
      </c>
      <c r="O36" s="299">
        <f>$O$78/$J$78*J36</f>
        <v>0.11800339205613133</v>
      </c>
      <c r="P36" s="299">
        <f>$P$78/$J$78*J36</f>
        <v>1.1024888343529984</v>
      </c>
      <c r="Q36" s="299">
        <f>$Q$78/$J$78*J36</f>
        <v>32.400359933126346</v>
      </c>
      <c r="R36" s="299">
        <f>O36+P36+Q36</f>
        <v>33.620852159535474</v>
      </c>
      <c r="S36" s="299">
        <f>N36+R36</f>
        <v>92.03085215953547</v>
      </c>
      <c r="T36" s="1196" t="s">
        <v>216</v>
      </c>
      <c r="V36" s="905"/>
    </row>
    <row r="37" spans="2:23" ht="11.25" hidden="1" customHeight="1">
      <c r="B37" s="1076"/>
      <c r="C37" s="1121"/>
      <c r="D37" s="1121"/>
      <c r="E37" s="1121"/>
      <c r="F37" s="1187"/>
      <c r="G37" s="296">
        <v>39</v>
      </c>
      <c r="H37" s="1189"/>
      <c r="I37" s="1191"/>
      <c r="J37" s="298">
        <f t="shared" ref="J37:S37" si="2">ROUNDDOWN(J36*0.3025,2)</f>
        <v>12.08</v>
      </c>
      <c r="K37" s="298">
        <f t="shared" si="2"/>
        <v>1.1000000000000001</v>
      </c>
      <c r="L37" s="298">
        <f t="shared" si="2"/>
        <v>4.47</v>
      </c>
      <c r="M37" s="298">
        <f t="shared" si="2"/>
        <v>5.58</v>
      </c>
      <c r="N37" s="298">
        <f t="shared" si="2"/>
        <v>17.66</v>
      </c>
      <c r="O37" s="298">
        <f t="shared" si="2"/>
        <v>0.03</v>
      </c>
      <c r="P37" s="298">
        <f t="shared" si="2"/>
        <v>0.33</v>
      </c>
      <c r="Q37" s="298">
        <f t="shared" si="2"/>
        <v>9.8000000000000007</v>
      </c>
      <c r="R37" s="298">
        <f t="shared" si="2"/>
        <v>10.17</v>
      </c>
      <c r="S37" s="298">
        <f t="shared" si="2"/>
        <v>27.83</v>
      </c>
      <c r="T37" s="1197"/>
      <c r="V37" s="906"/>
    </row>
    <row r="38" spans="2:23" ht="12" hidden="1" customHeight="1">
      <c r="B38" s="1127"/>
      <c r="C38" s="1121"/>
      <c r="D38" s="1121"/>
      <c r="E38" s="1121"/>
      <c r="F38" s="1187" t="e">
        <f>H38/#REF!</f>
        <v>#REF!</v>
      </c>
      <c r="G38" s="300">
        <f>ROUNDDOWN(N39,0)</f>
        <v>20</v>
      </c>
      <c r="H38" s="1188"/>
      <c r="I38" s="1190">
        <f>H38/$H$78</f>
        <v>0</v>
      </c>
      <c r="J38" s="302">
        <f>J56</f>
        <v>49.9</v>
      </c>
      <c r="K38" s="302">
        <f>K56</f>
        <v>3.85</v>
      </c>
      <c r="L38" s="302">
        <f>L56</f>
        <v>14.9</v>
      </c>
      <c r="M38" s="302">
        <f>K38+L38</f>
        <v>18.75</v>
      </c>
      <c r="N38" s="302">
        <f>M38+J38</f>
        <v>68.650000000000006</v>
      </c>
      <c r="O38" s="302">
        <f>$O$78/$J$78*J38</f>
        <v>0.14735658817820202</v>
      </c>
      <c r="P38" s="302">
        <f>$P$78/$J$78*J38</f>
        <v>1.3767315524077732</v>
      </c>
      <c r="Q38" s="302">
        <f>$Q$78/$J$78*J38</f>
        <v>40.459908925500613</v>
      </c>
      <c r="R38" s="315">
        <f>O38+P38+Q38</f>
        <v>41.983997066086587</v>
      </c>
      <c r="S38" s="302">
        <f>N38+R38</f>
        <v>110.63399706608659</v>
      </c>
      <c r="T38" s="1197"/>
      <c r="V38" s="130"/>
    </row>
    <row r="39" spans="2:23" ht="12" hidden="1" customHeight="1">
      <c r="B39" s="1076"/>
      <c r="C39" s="1121"/>
      <c r="D39" s="1121"/>
      <c r="E39" s="1121"/>
      <c r="F39" s="1187"/>
      <c r="G39" s="296">
        <f>ROUNDDOWN(J38,0)</f>
        <v>49</v>
      </c>
      <c r="H39" s="1189"/>
      <c r="I39" s="1191"/>
      <c r="J39" s="298">
        <f t="shared" ref="J39:S39" si="3">ROUNDDOWN(J38*0.3025,2)</f>
        <v>15.09</v>
      </c>
      <c r="K39" s="298">
        <f t="shared" si="3"/>
        <v>1.1599999999999999</v>
      </c>
      <c r="L39" s="298">
        <f t="shared" si="3"/>
        <v>4.5</v>
      </c>
      <c r="M39" s="298">
        <f t="shared" si="3"/>
        <v>5.67</v>
      </c>
      <c r="N39" s="298">
        <f t="shared" si="3"/>
        <v>20.76</v>
      </c>
      <c r="O39" s="298">
        <f t="shared" si="3"/>
        <v>0.04</v>
      </c>
      <c r="P39" s="298">
        <f t="shared" si="3"/>
        <v>0.41</v>
      </c>
      <c r="Q39" s="301">
        <f t="shared" si="3"/>
        <v>12.23</v>
      </c>
      <c r="R39" s="301">
        <f t="shared" si="3"/>
        <v>12.7</v>
      </c>
      <c r="S39" s="301">
        <f t="shared" si="3"/>
        <v>33.46</v>
      </c>
      <c r="T39" s="1197"/>
      <c r="V39" s="148"/>
    </row>
    <row r="40" spans="2:23" ht="12" hidden="1" customHeight="1">
      <c r="B40" s="130"/>
      <c r="C40" s="308"/>
      <c r="D40" s="308"/>
      <c r="E40" s="308"/>
      <c r="F40" s="1187" t="e">
        <f>H40/#REF!</f>
        <v>#REF!</v>
      </c>
      <c r="G40" s="300">
        <f>ROUNDDOWN(N41,0)</f>
        <v>24</v>
      </c>
      <c r="H40" s="1188"/>
      <c r="I40" s="1190">
        <f>H40/$H$78</f>
        <v>0</v>
      </c>
      <c r="J40" s="302">
        <f>J58</f>
        <v>59.95</v>
      </c>
      <c r="K40" s="302">
        <f>K58</f>
        <v>5.8</v>
      </c>
      <c r="L40" s="302">
        <f>L58</f>
        <v>16.399999999999999</v>
      </c>
      <c r="M40" s="302">
        <f>K40+L40</f>
        <v>22.2</v>
      </c>
      <c r="N40" s="302">
        <f>M40+J40</f>
        <v>82.15</v>
      </c>
      <c r="O40" s="302">
        <f>$O$78/$J$78*J40</f>
        <v>0.17703461846258942</v>
      </c>
      <c r="P40" s="302">
        <f>$P$78/$J$78*J40</f>
        <v>1.6540091496361926</v>
      </c>
      <c r="Q40" s="302">
        <f>$Q$78/$J$78*J40</f>
        <v>48.608648097870983</v>
      </c>
      <c r="R40" s="315">
        <f>O40+P40+Q40</f>
        <v>50.439691865969763</v>
      </c>
      <c r="S40" s="302">
        <f>N40+R40</f>
        <v>132.58969186596977</v>
      </c>
      <c r="T40" s="1197"/>
      <c r="V40" s="193"/>
    </row>
    <row r="41" spans="2:23" ht="12" hidden="1" customHeight="1">
      <c r="B41" s="130"/>
      <c r="C41" s="308"/>
      <c r="D41" s="308"/>
      <c r="E41" s="308"/>
      <c r="F41" s="1187"/>
      <c r="G41" s="296">
        <f>ROUNDDOWN(J40,0)</f>
        <v>59</v>
      </c>
      <c r="H41" s="1189"/>
      <c r="I41" s="1191"/>
      <c r="J41" s="298">
        <f t="shared" ref="J41:S41" si="4">ROUNDDOWN(J40*0.3025,2)</f>
        <v>18.13</v>
      </c>
      <c r="K41" s="298">
        <f t="shared" si="4"/>
        <v>1.75</v>
      </c>
      <c r="L41" s="298">
        <f t="shared" si="4"/>
        <v>4.96</v>
      </c>
      <c r="M41" s="298">
        <f t="shared" si="4"/>
        <v>6.71</v>
      </c>
      <c r="N41" s="298">
        <f t="shared" si="4"/>
        <v>24.85</v>
      </c>
      <c r="O41" s="298">
        <f t="shared" si="4"/>
        <v>0.05</v>
      </c>
      <c r="P41" s="298">
        <f t="shared" si="4"/>
        <v>0.5</v>
      </c>
      <c r="Q41" s="301">
        <f t="shared" si="4"/>
        <v>14.7</v>
      </c>
      <c r="R41" s="301">
        <f t="shared" si="4"/>
        <v>15.25</v>
      </c>
      <c r="S41" s="301">
        <f t="shared" si="4"/>
        <v>40.1</v>
      </c>
      <c r="T41" s="1197"/>
      <c r="V41" s="193"/>
    </row>
    <row r="42" spans="2:23" ht="12" customHeight="1">
      <c r="B42" s="130"/>
      <c r="C42" s="308"/>
      <c r="D42" s="308"/>
      <c r="E42" s="1128">
        <f>H42/$H$52</f>
        <v>0.45098039215686275</v>
      </c>
      <c r="F42" s="336"/>
      <c r="G42" s="316">
        <f>ROUNDDOWN(N43,0)</f>
        <v>20</v>
      </c>
      <c r="H42" s="1247">
        <v>230</v>
      </c>
      <c r="I42" s="369">
        <f>H42/$H$78</f>
        <v>4.7866805411030174E-2</v>
      </c>
      <c r="J42" s="364">
        <v>49.9</v>
      </c>
      <c r="K42" s="364">
        <v>3.85</v>
      </c>
      <c r="L42" s="364">
        <v>14.9</v>
      </c>
      <c r="M42" s="364">
        <f>K42+L42</f>
        <v>18.75</v>
      </c>
      <c r="N42" s="364">
        <f>M42+J42</f>
        <v>68.650000000000006</v>
      </c>
      <c r="O42" s="364">
        <f>$O$78/$J$78*J42</f>
        <v>0.14735658817820202</v>
      </c>
      <c r="P42" s="364">
        <f>$P$78/$J$78*J42</f>
        <v>1.3767315524077732</v>
      </c>
      <c r="Q42" s="364">
        <f>$Q$78/$J$78*J42</f>
        <v>40.459908925500613</v>
      </c>
      <c r="R42" s="364">
        <f>O42+P42+Q42</f>
        <v>41.983997066086587</v>
      </c>
      <c r="S42" s="364">
        <f>N42+R42</f>
        <v>110.63399706608659</v>
      </c>
      <c r="T42" s="1198" t="s">
        <v>159</v>
      </c>
      <c r="U42" s="173">
        <f>J42/N42</f>
        <v>0.72687545520757457</v>
      </c>
      <c r="V42" s="193"/>
    </row>
    <row r="43" spans="2:23" ht="12" customHeight="1">
      <c r="B43" s="130"/>
      <c r="C43" s="308"/>
      <c r="D43" s="308"/>
      <c r="E43" s="1129"/>
      <c r="F43" s="336"/>
      <c r="G43" s="318">
        <f>ROUNDDOWN(J42,0)</f>
        <v>49</v>
      </c>
      <c r="H43" s="1248"/>
      <c r="I43" s="373">
        <f>H42/$H$52</f>
        <v>0.45098039215686275</v>
      </c>
      <c r="J43" s="319">
        <f t="shared" ref="J43:S43" si="5">ROUNDDOWN(J42*0.3025,2)</f>
        <v>15.09</v>
      </c>
      <c r="K43" s="319">
        <f t="shared" si="5"/>
        <v>1.1599999999999999</v>
      </c>
      <c r="L43" s="319">
        <f t="shared" si="5"/>
        <v>4.5</v>
      </c>
      <c r="M43" s="319">
        <f t="shared" si="5"/>
        <v>5.67</v>
      </c>
      <c r="N43" s="319">
        <f t="shared" si="5"/>
        <v>20.76</v>
      </c>
      <c r="O43" s="319">
        <f t="shared" si="5"/>
        <v>0.04</v>
      </c>
      <c r="P43" s="319">
        <f t="shared" si="5"/>
        <v>0.41</v>
      </c>
      <c r="Q43" s="320">
        <f t="shared" si="5"/>
        <v>12.23</v>
      </c>
      <c r="R43" s="320">
        <f t="shared" si="5"/>
        <v>12.7</v>
      </c>
      <c r="S43" s="320">
        <f t="shared" si="5"/>
        <v>33.46</v>
      </c>
      <c r="T43" s="1198"/>
      <c r="U43" s="173"/>
      <c r="V43" s="193"/>
    </row>
    <row r="44" spans="2:23" ht="12" hidden="1" customHeight="1">
      <c r="B44" s="130"/>
      <c r="C44" s="308"/>
      <c r="D44" s="308"/>
      <c r="E44" s="1130">
        <f>C44/$H$78</f>
        <v>0</v>
      </c>
      <c r="F44" s="336"/>
      <c r="G44" s="316">
        <f>ROUNDDOWN(N43,0)</f>
        <v>20</v>
      </c>
      <c r="H44" s="1192"/>
      <c r="I44" s="1130">
        <f>H44/$H$78</f>
        <v>0</v>
      </c>
      <c r="T44" s="1198"/>
      <c r="U44" s="173"/>
      <c r="V44" s="193"/>
    </row>
    <row r="45" spans="2:23" ht="12" hidden="1" customHeight="1">
      <c r="B45" s="130"/>
      <c r="C45" s="308"/>
      <c r="D45" s="308"/>
      <c r="E45" s="1129"/>
      <c r="F45" s="336"/>
      <c r="G45" s="318">
        <f>ROUNDDOWN(J42,0)</f>
        <v>49</v>
      </c>
      <c r="H45" s="1193"/>
      <c r="I45" s="1129"/>
      <c r="T45" s="1198"/>
      <c r="U45" s="173"/>
      <c r="V45" s="193"/>
    </row>
    <row r="46" spans="2:23" ht="12" customHeight="1">
      <c r="B46" s="1127"/>
      <c r="C46" s="1121"/>
      <c r="D46" s="1121"/>
      <c r="E46" s="1128">
        <f>H46/$H$52</f>
        <v>0.45098039215686275</v>
      </c>
      <c r="F46" s="130"/>
      <c r="G46" s="316">
        <f>ROUNDDOWN(N47,0)</f>
        <v>24</v>
      </c>
      <c r="H46" s="1249">
        <v>230</v>
      </c>
      <c r="I46" s="369">
        <f>H46/$H$78</f>
        <v>4.7866805411030174E-2</v>
      </c>
      <c r="J46" s="364">
        <f>J58</f>
        <v>59.95</v>
      </c>
      <c r="K46" s="364">
        <f>K58</f>
        <v>5.8</v>
      </c>
      <c r="L46" s="364">
        <v>16.399999999999999</v>
      </c>
      <c r="M46" s="364">
        <f>K46+L46</f>
        <v>22.2</v>
      </c>
      <c r="N46" s="364">
        <f>M46+J46</f>
        <v>82.15</v>
      </c>
      <c r="O46" s="364">
        <f>$O$78/$J$78*J46</f>
        <v>0.17703461846258942</v>
      </c>
      <c r="P46" s="364">
        <f>$P$78/$J$78*J46</f>
        <v>1.6540091496361926</v>
      </c>
      <c r="Q46" s="364">
        <f>$Q$78/$J$78*J46</f>
        <v>48.608648097870983</v>
      </c>
      <c r="R46" s="364">
        <f>O46+P46+Q46</f>
        <v>50.439691865969763</v>
      </c>
      <c r="S46" s="364">
        <f>N46+R46</f>
        <v>132.58969186596977</v>
      </c>
      <c r="T46" s="1198"/>
      <c r="U46" s="173">
        <f>J46/N46</f>
        <v>0.72976262933657943</v>
      </c>
      <c r="V46" s="193"/>
    </row>
    <row r="47" spans="2:23" ht="12" customHeight="1">
      <c r="B47" s="1076"/>
      <c r="C47" s="1121"/>
      <c r="D47" s="1121"/>
      <c r="E47" s="1129"/>
      <c r="F47" s="130"/>
      <c r="G47" s="318">
        <f>ROUNDDOWN(J46,0)</f>
        <v>59</v>
      </c>
      <c r="H47" s="1248"/>
      <c r="I47" s="373">
        <f>H46/$H$52</f>
        <v>0.45098039215686275</v>
      </c>
      <c r="J47" s="319">
        <f t="shared" ref="J47:S47" si="6">ROUNDDOWN(J46*0.3025,2)</f>
        <v>18.13</v>
      </c>
      <c r="K47" s="319">
        <f t="shared" si="6"/>
        <v>1.75</v>
      </c>
      <c r="L47" s="319">
        <f t="shared" si="6"/>
        <v>4.96</v>
      </c>
      <c r="M47" s="319">
        <f t="shared" si="6"/>
        <v>6.71</v>
      </c>
      <c r="N47" s="319">
        <f t="shared" si="6"/>
        <v>24.85</v>
      </c>
      <c r="O47" s="319">
        <f t="shared" si="6"/>
        <v>0.05</v>
      </c>
      <c r="P47" s="319">
        <f t="shared" si="6"/>
        <v>0.5</v>
      </c>
      <c r="Q47" s="320">
        <f t="shared" si="6"/>
        <v>14.7</v>
      </c>
      <c r="R47" s="320">
        <f t="shared" si="6"/>
        <v>15.25</v>
      </c>
      <c r="S47" s="320">
        <f t="shared" si="6"/>
        <v>40.1</v>
      </c>
      <c r="T47" s="1198"/>
      <c r="U47" s="173"/>
      <c r="V47" s="193"/>
    </row>
    <row r="48" spans="2:23" ht="12" hidden="1" customHeight="1">
      <c r="B48" s="130"/>
      <c r="C48" s="308"/>
      <c r="D48" s="308"/>
      <c r="E48" s="1128">
        <f>C48/$H$78</f>
        <v>0</v>
      </c>
      <c r="F48" s="130"/>
      <c r="G48" s="316">
        <f>ROUNDDOWN(N49,0)</f>
        <v>30</v>
      </c>
      <c r="H48" s="1200"/>
      <c r="I48" s="1128">
        <f>H48/$H$78</f>
        <v>0</v>
      </c>
      <c r="J48" s="317">
        <f>J60</f>
        <v>74</v>
      </c>
      <c r="K48" s="317">
        <f>K60</f>
        <v>6.8</v>
      </c>
      <c r="L48" s="317">
        <f>L60</f>
        <v>18.5</v>
      </c>
      <c r="M48" s="317">
        <f>K48+L48</f>
        <v>25.3</v>
      </c>
      <c r="N48" s="317">
        <f>M48+J48</f>
        <v>99.3</v>
      </c>
      <c r="O48" s="317">
        <f>$O$78/$J$78*J48</f>
        <v>0.2185248001039469</v>
      </c>
      <c r="P48" s="317">
        <f>$P$78/$J$78*J48</f>
        <v>2.0416459895425896</v>
      </c>
      <c r="Q48" s="317">
        <f>$Q$78/$J$78*J48</f>
        <v>60.000666542826565</v>
      </c>
      <c r="R48" s="317">
        <f>O48+P48+Q48</f>
        <v>62.260837332473102</v>
      </c>
      <c r="S48" s="317">
        <f>N48+R48</f>
        <v>161.56083733247311</v>
      </c>
      <c r="T48" s="1198"/>
      <c r="U48" s="173"/>
      <c r="V48" s="193"/>
    </row>
    <row r="49" spans="2:22" ht="12" hidden="1" customHeight="1">
      <c r="B49" s="130"/>
      <c r="C49" s="308"/>
      <c r="D49" s="308"/>
      <c r="E49" s="1129"/>
      <c r="F49" s="130"/>
      <c r="G49" s="318">
        <f>ROUNDDOWN(J48,0)</f>
        <v>74</v>
      </c>
      <c r="H49" s="1193"/>
      <c r="I49" s="1129"/>
      <c r="J49" s="319">
        <f t="shared" ref="J49:S49" si="7">ROUNDDOWN(J48*0.3025,2)</f>
        <v>22.38</v>
      </c>
      <c r="K49" s="319">
        <f t="shared" si="7"/>
        <v>2.0499999999999998</v>
      </c>
      <c r="L49" s="319">
        <f t="shared" si="7"/>
        <v>5.59</v>
      </c>
      <c r="M49" s="319">
        <f t="shared" si="7"/>
        <v>7.65</v>
      </c>
      <c r="N49" s="319">
        <f t="shared" si="7"/>
        <v>30.03</v>
      </c>
      <c r="O49" s="319">
        <f t="shared" si="7"/>
        <v>0.06</v>
      </c>
      <c r="P49" s="319">
        <f t="shared" si="7"/>
        <v>0.61</v>
      </c>
      <c r="Q49" s="320">
        <f t="shared" si="7"/>
        <v>18.149999999999999</v>
      </c>
      <c r="R49" s="320">
        <f t="shared" si="7"/>
        <v>18.829999999999998</v>
      </c>
      <c r="S49" s="320">
        <f t="shared" si="7"/>
        <v>48.87</v>
      </c>
      <c r="T49" s="1198"/>
      <c r="U49" s="173"/>
      <c r="V49" s="193"/>
    </row>
    <row r="50" spans="2:22" ht="12" customHeight="1">
      <c r="B50" s="1127"/>
      <c r="C50" s="1121"/>
      <c r="D50" s="1121"/>
      <c r="E50" s="1128">
        <f>H50/$H$52</f>
        <v>9.8039215686274508E-2</v>
      </c>
      <c r="F50" s="130">
        <f>H50/H52*100</f>
        <v>9.8039215686274517</v>
      </c>
      <c r="G50" s="316">
        <f>ROUNDDOWN(N51,0)</f>
        <v>34</v>
      </c>
      <c r="H50" s="1249">
        <v>50</v>
      </c>
      <c r="I50" s="369">
        <f>H50/$H$78</f>
        <v>1.040582726326743E-2</v>
      </c>
      <c r="J50" s="364">
        <f>J62</f>
        <v>84.95</v>
      </c>
      <c r="K50" s="364">
        <v>7.5</v>
      </c>
      <c r="L50" s="364">
        <v>20.5</v>
      </c>
      <c r="M50" s="364">
        <f>K50+L50</f>
        <v>28</v>
      </c>
      <c r="N50" s="364">
        <f>M50+J50</f>
        <v>112.95</v>
      </c>
      <c r="O50" s="364">
        <f>$O$78/$J$78*J50</f>
        <v>0.25086056444365257</v>
      </c>
      <c r="P50" s="364">
        <f>$P$78/$J$78*J50</f>
        <v>2.343754416373554</v>
      </c>
      <c r="Q50" s="364">
        <f>$Q$78/$J$78*J50</f>
        <v>68.8791435515286</v>
      </c>
      <c r="R50" s="364">
        <f>O50+P50+Q50</f>
        <v>71.473758532345812</v>
      </c>
      <c r="S50" s="364">
        <f>N50+R50</f>
        <v>184.4237585323458</v>
      </c>
      <c r="T50" s="1198"/>
      <c r="U50" s="173">
        <f>J50/N50</f>
        <v>0.75210270030987159</v>
      </c>
      <c r="V50" s="193"/>
    </row>
    <row r="51" spans="2:22" ht="12" customHeight="1">
      <c r="B51" s="1076"/>
      <c r="C51" s="1121"/>
      <c r="D51" s="1121"/>
      <c r="E51" s="1129"/>
      <c r="G51" s="318">
        <f>ROUNDDOWN(J50,0)</f>
        <v>84</v>
      </c>
      <c r="H51" s="1248"/>
      <c r="I51" s="373">
        <f>H50/$H$52</f>
        <v>9.8039215686274508E-2</v>
      </c>
      <c r="J51" s="319">
        <f t="shared" ref="J51:S51" si="8">ROUNDDOWN(J50*0.3025,2)</f>
        <v>25.69</v>
      </c>
      <c r="K51" s="319">
        <f t="shared" si="8"/>
        <v>2.2599999999999998</v>
      </c>
      <c r="L51" s="319">
        <f t="shared" si="8"/>
        <v>6.2</v>
      </c>
      <c r="M51" s="319">
        <f t="shared" si="8"/>
        <v>8.4700000000000006</v>
      </c>
      <c r="N51" s="319">
        <f t="shared" si="8"/>
        <v>34.159999999999997</v>
      </c>
      <c r="O51" s="319">
        <f t="shared" si="8"/>
        <v>7.0000000000000007E-2</v>
      </c>
      <c r="P51" s="319">
        <f t="shared" si="8"/>
        <v>0.7</v>
      </c>
      <c r="Q51" s="320">
        <f t="shared" si="8"/>
        <v>20.83</v>
      </c>
      <c r="R51" s="320">
        <f t="shared" si="8"/>
        <v>21.62</v>
      </c>
      <c r="S51" s="320">
        <f t="shared" si="8"/>
        <v>55.78</v>
      </c>
      <c r="T51" s="1199"/>
      <c r="U51" s="173"/>
      <c r="V51" s="193"/>
    </row>
    <row r="52" spans="2:22" ht="12" customHeight="1">
      <c r="B52" s="1127"/>
      <c r="C52" s="1121"/>
      <c r="D52" s="1121"/>
      <c r="E52" s="1201">
        <f>SUM(E42:E51)</f>
        <v>1</v>
      </c>
      <c r="G52" s="1202" t="s">
        <v>82</v>
      </c>
      <c r="H52" s="1204">
        <f>SUM(H36:H51)</f>
        <v>510</v>
      </c>
      <c r="I52" s="370">
        <f>I42+I46+I50</f>
        <v>0.10613943808532778</v>
      </c>
      <c r="J52" s="365">
        <f>SUMPRODUCT(H36:H51,J36:J51)</f>
        <v>29513</v>
      </c>
      <c r="K52" s="365">
        <f>SUMPRODUCT(H36:H51,K36:K51)</f>
        <v>2594.5</v>
      </c>
      <c r="L52" s="365">
        <f>SUMPRODUCT(H36:H51,L36:L51)</f>
        <v>8224</v>
      </c>
      <c r="M52" s="365">
        <f>K52+L52</f>
        <v>10818.5</v>
      </c>
      <c r="N52" s="365">
        <f>J52+M52</f>
        <v>40331.5</v>
      </c>
      <c r="O52" s="365">
        <f>SUMPRODUCT(H36:H51,O36:O51)</f>
        <v>87.153005749564656</v>
      </c>
      <c r="P52" s="365">
        <f>SUMPRODUCT(H36:H51,P36:P51)</f>
        <v>814.25808228878986</v>
      </c>
      <c r="Q52" s="365">
        <f>SUMPRODUCT(H36:H51,Q36:Q51)</f>
        <v>23929.725292951898</v>
      </c>
      <c r="R52" s="365">
        <f>O52+P52+Q52</f>
        <v>24831.136380990254</v>
      </c>
      <c r="S52" s="365">
        <f>N52+R52</f>
        <v>65162.636380990254</v>
      </c>
      <c r="T52" s="1206"/>
      <c r="U52" s="173"/>
    </row>
    <row r="53" spans="2:22" ht="12" customHeight="1">
      <c r="B53" s="1076"/>
      <c r="C53" s="1121"/>
      <c r="D53" s="1121"/>
      <c r="E53" s="1132"/>
      <c r="G53" s="1203"/>
      <c r="H53" s="1205"/>
      <c r="I53" s="376">
        <f>I43+I47+I51</f>
        <v>1</v>
      </c>
      <c r="J53" s="292">
        <f t="shared" ref="J53:S53" si="9">ROUNDDOWN(J52*0.3025,2)</f>
        <v>8927.68</v>
      </c>
      <c r="K53" s="292">
        <f t="shared" si="9"/>
        <v>784.83</v>
      </c>
      <c r="L53" s="292">
        <f t="shared" si="9"/>
        <v>2487.7600000000002</v>
      </c>
      <c r="M53" s="292">
        <f t="shared" si="9"/>
        <v>3272.59</v>
      </c>
      <c r="N53" s="292">
        <f t="shared" si="9"/>
        <v>12200.27</v>
      </c>
      <c r="O53" s="292">
        <f t="shared" si="9"/>
        <v>26.36</v>
      </c>
      <c r="P53" s="292">
        <f t="shared" si="9"/>
        <v>246.31</v>
      </c>
      <c r="Q53" s="292">
        <f t="shared" si="9"/>
        <v>7238.74</v>
      </c>
      <c r="R53" s="292">
        <f t="shared" si="9"/>
        <v>7511.41</v>
      </c>
      <c r="S53" s="292">
        <f t="shared" si="9"/>
        <v>19711.689999999999</v>
      </c>
      <c r="T53" s="1207"/>
      <c r="U53" s="173"/>
    </row>
    <row r="54" spans="2:22" ht="12" hidden="1" customHeight="1">
      <c r="B54" s="86"/>
      <c r="C54" s="1121"/>
      <c r="D54" s="937"/>
      <c r="E54" s="937">
        <f>C54/$H$78</f>
        <v>0</v>
      </c>
      <c r="F54" s="1075"/>
      <c r="G54" s="86">
        <f>ROUNDDOWN(N55,0)</f>
        <v>17</v>
      </c>
      <c r="H54" s="935"/>
      <c r="I54" s="937">
        <f>H54/$H$78</f>
        <v>0</v>
      </c>
      <c r="J54" s="89">
        <v>39.96</v>
      </c>
      <c r="K54" s="89">
        <v>3.65</v>
      </c>
      <c r="L54" s="89">
        <v>14.8</v>
      </c>
      <c r="M54" s="89">
        <f>K54+L54</f>
        <v>18.45</v>
      </c>
      <c r="N54" s="89">
        <f>J54+M54</f>
        <v>58.41</v>
      </c>
      <c r="O54" s="89">
        <f>$O$78/$J$78*J54</f>
        <v>0.11800339205613133</v>
      </c>
      <c r="P54" s="89">
        <f>$P$78/$J$78*J54</f>
        <v>1.1024888343529984</v>
      </c>
      <c r="Q54" s="89">
        <f>$Q$78/$J$78*J54</f>
        <v>32.400359933126346</v>
      </c>
      <c r="R54" s="89">
        <f>O54+P54+Q54</f>
        <v>33.620852159535474</v>
      </c>
      <c r="S54" s="89">
        <f>N54+R54</f>
        <v>92.03085215953547</v>
      </c>
      <c r="T54" s="898" t="s">
        <v>137</v>
      </c>
      <c r="U54" s="173"/>
    </row>
    <row r="55" spans="2:22" ht="12" hidden="1" customHeight="1">
      <c r="B55" s="87"/>
      <c r="C55" s="1121"/>
      <c r="D55" s="938"/>
      <c r="E55" s="938"/>
      <c r="F55" s="1076"/>
      <c r="G55" s="87">
        <v>39</v>
      </c>
      <c r="H55" s="936"/>
      <c r="I55" s="938"/>
      <c r="J55" s="111">
        <f t="shared" ref="J55:S55" si="10">ROUNDDOWN(J54*0.3025,2)</f>
        <v>12.08</v>
      </c>
      <c r="K55" s="111">
        <f t="shared" si="10"/>
        <v>1.1000000000000001</v>
      </c>
      <c r="L55" s="111">
        <f t="shared" si="10"/>
        <v>4.47</v>
      </c>
      <c r="M55" s="111">
        <f t="shared" si="10"/>
        <v>5.58</v>
      </c>
      <c r="N55" s="111">
        <f t="shared" si="10"/>
        <v>17.66</v>
      </c>
      <c r="O55" s="111">
        <f t="shared" si="10"/>
        <v>0.03</v>
      </c>
      <c r="P55" s="111">
        <f t="shared" si="10"/>
        <v>0.33</v>
      </c>
      <c r="Q55" s="111">
        <f t="shared" si="10"/>
        <v>9.8000000000000007</v>
      </c>
      <c r="R55" s="111">
        <f t="shared" si="10"/>
        <v>10.17</v>
      </c>
      <c r="S55" s="111">
        <f t="shared" si="10"/>
        <v>27.83</v>
      </c>
      <c r="T55" s="899"/>
      <c r="U55" s="173"/>
    </row>
    <row r="56" spans="2:22" ht="12" customHeight="1">
      <c r="B56" s="88"/>
      <c r="C56" s="1121"/>
      <c r="D56" s="940"/>
      <c r="E56" s="940">
        <f>H56/$H$76</f>
        <v>0.10477299185098952</v>
      </c>
      <c r="F56" s="1075"/>
      <c r="G56" s="88">
        <f>ROUNDDOWN(N57,0)</f>
        <v>20</v>
      </c>
      <c r="H56" s="1250">
        <v>450</v>
      </c>
      <c r="I56" s="372">
        <f>H56/$H$78</f>
        <v>9.3652445369406867E-2</v>
      </c>
      <c r="J56" s="366">
        <v>49.9</v>
      </c>
      <c r="K56" s="366">
        <v>3.85</v>
      </c>
      <c r="L56" s="366">
        <v>14.9</v>
      </c>
      <c r="M56" s="366">
        <f>K56+L56</f>
        <v>18.75</v>
      </c>
      <c r="N56" s="366">
        <f>M56+J56</f>
        <v>68.650000000000006</v>
      </c>
      <c r="O56" s="366">
        <f>$O$78/$J$78*J56</f>
        <v>0.14735658817820202</v>
      </c>
      <c r="P56" s="366">
        <f>$P$78/$J$78*J56</f>
        <v>1.3767315524077732</v>
      </c>
      <c r="Q56" s="366">
        <f>$Q$78/$J$78*J56</f>
        <v>40.459908925500613</v>
      </c>
      <c r="R56" s="366">
        <f>O56+P56+Q56</f>
        <v>41.983997066086587</v>
      </c>
      <c r="S56" s="366">
        <f>N56+R56</f>
        <v>110.63399706608659</v>
      </c>
      <c r="T56" s="899"/>
      <c r="U56" s="173">
        <f>J56/N56</f>
        <v>0.72687545520757457</v>
      </c>
      <c r="V56" s="11">
        <f>H42+H56</f>
        <v>680</v>
      </c>
    </row>
    <row r="57" spans="2:22" ht="12" customHeight="1">
      <c r="B57" s="87"/>
      <c r="C57" s="1121"/>
      <c r="D57" s="938"/>
      <c r="E57" s="938"/>
      <c r="F57" s="1076"/>
      <c r="G57" s="87">
        <f>ROUNDDOWN(J56,0)</f>
        <v>49</v>
      </c>
      <c r="H57" s="1251"/>
      <c r="I57" s="374">
        <f>H56/$H$76</f>
        <v>0.10477299185098952</v>
      </c>
      <c r="J57" s="111">
        <f t="shared" ref="J57:S57" si="11">ROUNDDOWN(J56*0.3025,2)</f>
        <v>15.09</v>
      </c>
      <c r="K57" s="111">
        <f t="shared" si="11"/>
        <v>1.1599999999999999</v>
      </c>
      <c r="L57" s="111">
        <f t="shared" si="11"/>
        <v>4.5</v>
      </c>
      <c r="M57" s="111">
        <f t="shared" si="11"/>
        <v>5.67</v>
      </c>
      <c r="N57" s="111">
        <f t="shared" si="11"/>
        <v>20.76</v>
      </c>
      <c r="O57" s="111">
        <f t="shared" si="11"/>
        <v>0.04</v>
      </c>
      <c r="P57" s="111">
        <f t="shared" si="11"/>
        <v>0.41</v>
      </c>
      <c r="Q57" s="278">
        <f t="shared" si="11"/>
        <v>12.23</v>
      </c>
      <c r="R57" s="278">
        <f t="shared" si="11"/>
        <v>12.7</v>
      </c>
      <c r="S57" s="278">
        <f t="shared" si="11"/>
        <v>33.46</v>
      </c>
      <c r="T57" s="899"/>
      <c r="U57" s="173"/>
    </row>
    <row r="58" spans="2:22" ht="12" customHeight="1">
      <c r="B58" s="88"/>
      <c r="C58" s="1121"/>
      <c r="D58" s="940"/>
      <c r="E58" s="940">
        <f>H58/$H$76</f>
        <v>0.27194412107101279</v>
      </c>
      <c r="F58" s="1075"/>
      <c r="G58" s="88">
        <f>ROUNDDOWN(N59,0)</f>
        <v>24</v>
      </c>
      <c r="H58" s="1252">
        <v>1168</v>
      </c>
      <c r="I58" s="372">
        <f>H58/$H$78</f>
        <v>0.24308012486992717</v>
      </c>
      <c r="J58" s="366">
        <v>59.95</v>
      </c>
      <c r="K58" s="366">
        <v>5.8</v>
      </c>
      <c r="L58" s="366">
        <v>16.399999999999999</v>
      </c>
      <c r="M58" s="366">
        <f>K58+L58</f>
        <v>22.2</v>
      </c>
      <c r="N58" s="366">
        <f>M58+J58</f>
        <v>82.15</v>
      </c>
      <c r="O58" s="366">
        <f>$O$78/$J$78*J58</f>
        <v>0.17703461846258942</v>
      </c>
      <c r="P58" s="366">
        <f>$P$78/$J$78*J58</f>
        <v>1.6540091496361926</v>
      </c>
      <c r="Q58" s="366">
        <f>$Q$78/$J$78*J58</f>
        <v>48.608648097870983</v>
      </c>
      <c r="R58" s="366">
        <f>O58+P58+Q58</f>
        <v>50.439691865969763</v>
      </c>
      <c r="S58" s="367">
        <f>N58+R58</f>
        <v>132.58969186596977</v>
      </c>
      <c r="T58" s="899"/>
      <c r="U58" s="173">
        <f>J58/N58</f>
        <v>0.72976262933657943</v>
      </c>
      <c r="V58" s="11">
        <f>H46+H58</f>
        <v>1398</v>
      </c>
    </row>
    <row r="59" spans="2:22" ht="12" customHeight="1">
      <c r="B59" s="87"/>
      <c r="C59" s="1121"/>
      <c r="D59" s="938"/>
      <c r="E59" s="938"/>
      <c r="F59" s="1076"/>
      <c r="G59" s="87">
        <f>ROUNDDOWN(J58,0)</f>
        <v>59</v>
      </c>
      <c r="H59" s="1251"/>
      <c r="I59" s="374">
        <f>H58/$H$76</f>
        <v>0.27194412107101279</v>
      </c>
      <c r="J59" s="111">
        <f t="shared" ref="J59:S59" si="12">ROUNDDOWN(J58*0.3025,2)</f>
        <v>18.13</v>
      </c>
      <c r="K59" s="111">
        <f t="shared" si="12"/>
        <v>1.75</v>
      </c>
      <c r="L59" s="111">
        <f t="shared" si="12"/>
        <v>4.96</v>
      </c>
      <c r="M59" s="111">
        <f t="shared" si="12"/>
        <v>6.71</v>
      </c>
      <c r="N59" s="111">
        <f t="shared" si="12"/>
        <v>24.85</v>
      </c>
      <c r="O59" s="111">
        <f t="shared" si="12"/>
        <v>0.05</v>
      </c>
      <c r="P59" s="111">
        <f t="shared" si="12"/>
        <v>0.5</v>
      </c>
      <c r="Q59" s="111">
        <f t="shared" si="12"/>
        <v>14.7</v>
      </c>
      <c r="R59" s="111">
        <f t="shared" si="12"/>
        <v>15.25</v>
      </c>
      <c r="S59" s="111">
        <f t="shared" si="12"/>
        <v>40.1</v>
      </c>
      <c r="T59" s="899"/>
      <c r="U59" s="173"/>
    </row>
    <row r="60" spans="2:22" ht="12" customHeight="1">
      <c r="B60" s="88"/>
      <c r="C60" s="1121"/>
      <c r="D60" s="940"/>
      <c r="E60" s="940">
        <f>H60/$H$76</f>
        <v>6.2863795110593715E-2</v>
      </c>
      <c r="F60" s="1076"/>
      <c r="G60" s="88">
        <f>ROUNDDOWN(N61,0)</f>
        <v>30</v>
      </c>
      <c r="H60" s="1252">
        <v>270</v>
      </c>
      <c r="I60" s="377">
        <f>H60/$H$78</f>
        <v>5.6191467221644122E-2</v>
      </c>
      <c r="J60" s="366">
        <v>74</v>
      </c>
      <c r="K60" s="366">
        <v>6.8</v>
      </c>
      <c r="L60" s="366">
        <v>18.5</v>
      </c>
      <c r="M60" s="366">
        <f>K60+L60</f>
        <v>25.3</v>
      </c>
      <c r="N60" s="366">
        <f>J60+M60</f>
        <v>99.3</v>
      </c>
      <c r="O60" s="366">
        <f>$O$78/$J$78*J60</f>
        <v>0.2185248001039469</v>
      </c>
      <c r="P60" s="366">
        <f>$P$78/$J$78*J60</f>
        <v>2.0416459895425896</v>
      </c>
      <c r="Q60" s="366">
        <f>$Q$78/$J$78*J60</f>
        <v>60.000666542826565</v>
      </c>
      <c r="R60" s="366">
        <f>O60+P60+Q60</f>
        <v>62.260837332473102</v>
      </c>
      <c r="S60" s="366">
        <f>N60+R60</f>
        <v>161.56083733247311</v>
      </c>
      <c r="T60" s="899"/>
      <c r="U60" s="173">
        <f>J60/N60</f>
        <v>0.74521651560926483</v>
      </c>
    </row>
    <row r="61" spans="2:22" ht="12" customHeight="1">
      <c r="B61" s="87"/>
      <c r="C61" s="1121"/>
      <c r="D61" s="938"/>
      <c r="E61" s="938"/>
      <c r="F61" s="1076"/>
      <c r="G61" s="87">
        <f>ROUNDDOWN(J60,0)</f>
        <v>74</v>
      </c>
      <c r="H61" s="1251"/>
      <c r="I61" s="374">
        <f>H60/$H$76</f>
        <v>6.2863795110593715E-2</v>
      </c>
      <c r="J61" s="111">
        <f t="shared" ref="J61:S61" si="13">ROUNDDOWN(J60*0.3025,2)</f>
        <v>22.38</v>
      </c>
      <c r="K61" s="111">
        <f t="shared" si="13"/>
        <v>2.0499999999999998</v>
      </c>
      <c r="L61" s="111">
        <f t="shared" si="13"/>
        <v>5.59</v>
      </c>
      <c r="M61" s="111">
        <f t="shared" si="13"/>
        <v>7.65</v>
      </c>
      <c r="N61" s="111">
        <f t="shared" si="13"/>
        <v>30.03</v>
      </c>
      <c r="O61" s="111">
        <f t="shared" si="13"/>
        <v>0.06</v>
      </c>
      <c r="P61" s="111">
        <f t="shared" si="13"/>
        <v>0.61</v>
      </c>
      <c r="Q61" s="111">
        <f t="shared" si="13"/>
        <v>18.149999999999999</v>
      </c>
      <c r="R61" s="111">
        <f t="shared" si="13"/>
        <v>18.829999999999998</v>
      </c>
      <c r="S61" s="111">
        <f t="shared" si="13"/>
        <v>48.87</v>
      </c>
      <c r="T61" s="899"/>
      <c r="U61" s="173"/>
      <c r="V61" s="11">
        <f>H60</f>
        <v>270</v>
      </c>
    </row>
    <row r="62" spans="2:22" ht="12" customHeight="1">
      <c r="B62" s="88"/>
      <c r="C62" s="1121"/>
      <c r="D62" s="940"/>
      <c r="E62" s="940">
        <f>H62/$H$76</f>
        <v>0.49615832363213036</v>
      </c>
      <c r="F62" s="1075"/>
      <c r="G62" s="88">
        <f>ROUNDDOWN(N63,0)</f>
        <v>34</v>
      </c>
      <c r="H62" s="1252">
        <v>2131</v>
      </c>
      <c r="I62" s="372">
        <f>H62/$H$78</f>
        <v>0.44349635796045783</v>
      </c>
      <c r="J62" s="366">
        <v>84.95</v>
      </c>
      <c r="K62" s="366">
        <v>7.5</v>
      </c>
      <c r="L62" s="366">
        <v>20.5</v>
      </c>
      <c r="M62" s="366">
        <f>K62+L62</f>
        <v>28</v>
      </c>
      <c r="N62" s="366">
        <f>J62+M62</f>
        <v>112.95</v>
      </c>
      <c r="O62" s="366">
        <f>$O$78/$J$78*J62</f>
        <v>0.25086056444365257</v>
      </c>
      <c r="P62" s="366">
        <f>$P$78/$J$78*J62</f>
        <v>2.343754416373554</v>
      </c>
      <c r="Q62" s="366">
        <f>$Q$78/$J$78*J62</f>
        <v>68.8791435515286</v>
      </c>
      <c r="R62" s="366">
        <f>O62+P62+Q62</f>
        <v>71.473758532345812</v>
      </c>
      <c r="S62" s="366">
        <f>N62+R62</f>
        <v>184.4237585323458</v>
      </c>
      <c r="T62" s="899"/>
      <c r="U62" s="173">
        <f>J62/N62</f>
        <v>0.75210270030987159</v>
      </c>
    </row>
    <row r="63" spans="2:22" ht="12" customHeight="1">
      <c r="B63" s="87"/>
      <c r="C63" s="1121"/>
      <c r="D63" s="938"/>
      <c r="E63" s="938"/>
      <c r="F63" s="1076"/>
      <c r="G63" s="87">
        <f>ROUNDDOWN(J62,0)</f>
        <v>84</v>
      </c>
      <c r="H63" s="1251"/>
      <c r="I63" s="374">
        <f>H62/$H$76</f>
        <v>0.49615832363213036</v>
      </c>
      <c r="J63" s="111">
        <f t="shared" ref="J63:S63" si="14">ROUNDDOWN(J62*0.3025,2)</f>
        <v>25.69</v>
      </c>
      <c r="K63" s="111">
        <f t="shared" si="14"/>
        <v>2.2599999999999998</v>
      </c>
      <c r="L63" s="111">
        <f t="shared" si="14"/>
        <v>6.2</v>
      </c>
      <c r="M63" s="111">
        <f t="shared" si="14"/>
        <v>8.4700000000000006</v>
      </c>
      <c r="N63" s="111">
        <f t="shared" si="14"/>
        <v>34.159999999999997</v>
      </c>
      <c r="O63" s="111">
        <f t="shared" si="14"/>
        <v>7.0000000000000007E-2</v>
      </c>
      <c r="P63" s="111">
        <f t="shared" si="14"/>
        <v>0.7</v>
      </c>
      <c r="Q63" s="111">
        <f t="shared" si="14"/>
        <v>20.83</v>
      </c>
      <c r="R63" s="111">
        <f t="shared" si="14"/>
        <v>21.62</v>
      </c>
      <c r="S63" s="111">
        <f t="shared" si="14"/>
        <v>55.78</v>
      </c>
      <c r="T63" s="899"/>
      <c r="U63" s="173"/>
      <c r="V63" s="11">
        <f>H50+H62</f>
        <v>2181</v>
      </c>
    </row>
    <row r="64" spans="2:22" ht="12" hidden="1" customHeight="1">
      <c r="B64" s="88"/>
      <c r="C64" s="1121"/>
      <c r="D64" s="940"/>
      <c r="E64" s="940">
        <f>C64/$H$78</f>
        <v>0</v>
      </c>
      <c r="F64" s="1076"/>
      <c r="G64" s="88">
        <f>ROUNDDOWN(N65,0)</f>
        <v>40</v>
      </c>
      <c r="H64" s="939"/>
      <c r="I64" s="1210">
        <f>H64/$H$78</f>
        <v>0</v>
      </c>
      <c r="J64" s="90">
        <v>102.98</v>
      </c>
      <c r="K64" s="90">
        <v>8.7200000000000006</v>
      </c>
      <c r="L64" s="90">
        <v>22.8</v>
      </c>
      <c r="M64" s="90">
        <f>K64+L64</f>
        <v>31.520000000000003</v>
      </c>
      <c r="N64" s="90">
        <f>J64+M64</f>
        <v>134.5</v>
      </c>
      <c r="O64" s="90">
        <f>$O$78/$J$78*J64</f>
        <v>0.30410383668519531</v>
      </c>
      <c r="P64" s="90">
        <f>$P$78/$J$78*J64</f>
        <v>2.8411987027445393</v>
      </c>
      <c r="Q64" s="90">
        <f>$Q$78/$J$78*J64</f>
        <v>83.498224872706487</v>
      </c>
      <c r="R64" s="90">
        <f>O64+P64+Q64</f>
        <v>86.643527412136223</v>
      </c>
      <c r="S64" s="90">
        <f>N64+R64</f>
        <v>221.14352741213622</v>
      </c>
      <c r="T64" s="899"/>
      <c r="U64" s="173"/>
    </row>
    <row r="65" spans="2:22" ht="12" hidden="1" customHeight="1">
      <c r="B65" s="272"/>
      <c r="C65" s="1121"/>
      <c r="D65" s="938"/>
      <c r="E65" s="938"/>
      <c r="F65" s="838"/>
      <c r="G65" s="87">
        <f>ROUNDDOWN(J64,0)</f>
        <v>102</v>
      </c>
      <c r="H65" s="936"/>
      <c r="I65" s="1209"/>
      <c r="J65" s="111">
        <f t="shared" ref="J65:S65" si="15">ROUNDDOWN(J64*0.3025,2)</f>
        <v>31.15</v>
      </c>
      <c r="K65" s="111">
        <f t="shared" si="15"/>
        <v>2.63</v>
      </c>
      <c r="L65" s="111">
        <f t="shared" si="15"/>
        <v>6.89</v>
      </c>
      <c r="M65" s="111">
        <f t="shared" si="15"/>
        <v>9.5299999999999994</v>
      </c>
      <c r="N65" s="111">
        <f t="shared" si="15"/>
        <v>40.68</v>
      </c>
      <c r="O65" s="111">
        <f t="shared" si="15"/>
        <v>0.09</v>
      </c>
      <c r="P65" s="111">
        <f t="shared" si="15"/>
        <v>0.85</v>
      </c>
      <c r="Q65" s="111">
        <f t="shared" si="15"/>
        <v>25.25</v>
      </c>
      <c r="R65" s="111">
        <f t="shared" si="15"/>
        <v>26.2</v>
      </c>
      <c r="S65" s="111">
        <f t="shared" si="15"/>
        <v>66.89</v>
      </c>
      <c r="T65" s="899"/>
      <c r="U65" s="173"/>
    </row>
    <row r="66" spans="2:22" ht="12" customHeight="1">
      <c r="B66" s="323"/>
      <c r="C66" s="308"/>
      <c r="D66" s="305"/>
      <c r="E66" s="940">
        <f>H66/$H$76</f>
        <v>6.4260768335273569E-2</v>
      </c>
      <c r="F66" s="203"/>
      <c r="G66" s="88">
        <f>ROUNDDOWN(N67,0)</f>
        <v>45</v>
      </c>
      <c r="H66" s="1252">
        <v>276</v>
      </c>
      <c r="I66" s="372">
        <f>H66/$H$78</f>
        <v>5.744016649323621E-2</v>
      </c>
      <c r="J66" s="366">
        <v>118</v>
      </c>
      <c r="K66" s="366">
        <v>8.5</v>
      </c>
      <c r="L66" s="366">
        <v>24.3</v>
      </c>
      <c r="M66" s="366">
        <f>K66+L66</f>
        <v>32.799999999999997</v>
      </c>
      <c r="N66" s="366">
        <f>J66+M66</f>
        <v>150.80000000000001</v>
      </c>
      <c r="O66" s="366">
        <f>$O$78/$J$78*J66</f>
        <v>0.348458465030618</v>
      </c>
      <c r="P66" s="366">
        <f>$P$78/$J$78*J66</f>
        <v>3.2555976590003457</v>
      </c>
      <c r="Q66" s="366">
        <f>$Q$78/$J$78*J66</f>
        <v>95.676738541263973</v>
      </c>
      <c r="R66" s="366">
        <f>O66+P66+Q66</f>
        <v>99.280794665294934</v>
      </c>
      <c r="S66" s="366">
        <f>N66+R66</f>
        <v>250.08079466529495</v>
      </c>
      <c r="T66" s="899"/>
      <c r="U66" s="173">
        <f>J66/N66</f>
        <v>0.7824933687002652</v>
      </c>
    </row>
    <row r="67" spans="2:22" ht="12" customHeight="1">
      <c r="B67" s="323"/>
      <c r="C67" s="308"/>
      <c r="D67" s="305"/>
      <c r="E67" s="938"/>
      <c r="F67" s="203"/>
      <c r="G67" s="87">
        <f>ROUNDDOWN(J66,0)</f>
        <v>118</v>
      </c>
      <c r="H67" s="1251"/>
      <c r="I67" s="374">
        <f>H66/$H$76</f>
        <v>6.4260768335273569E-2</v>
      </c>
      <c r="J67" s="111">
        <f t="shared" ref="J67:S67" si="16">ROUNDDOWN(J66*0.3025,2)</f>
        <v>35.69</v>
      </c>
      <c r="K67" s="111">
        <f t="shared" si="16"/>
        <v>2.57</v>
      </c>
      <c r="L67" s="111">
        <f t="shared" si="16"/>
        <v>7.35</v>
      </c>
      <c r="M67" s="111">
        <f t="shared" si="16"/>
        <v>9.92</v>
      </c>
      <c r="N67" s="111">
        <f t="shared" si="16"/>
        <v>45.61</v>
      </c>
      <c r="O67" s="111">
        <f t="shared" si="16"/>
        <v>0.1</v>
      </c>
      <c r="P67" s="111">
        <f t="shared" si="16"/>
        <v>0.98</v>
      </c>
      <c r="Q67" s="111">
        <f t="shared" si="16"/>
        <v>28.94</v>
      </c>
      <c r="R67" s="111">
        <f t="shared" si="16"/>
        <v>30.03</v>
      </c>
      <c r="S67" s="111">
        <f t="shared" si="16"/>
        <v>75.64</v>
      </c>
      <c r="T67" s="899"/>
      <c r="U67" s="173"/>
      <c r="V67" s="11">
        <f>H66</f>
        <v>276</v>
      </c>
    </row>
    <row r="68" spans="2:22" ht="12" hidden="1" customHeight="1">
      <c r="B68" s="323"/>
      <c r="C68" s="308"/>
      <c r="D68" s="305"/>
      <c r="E68" s="1084">
        <f>C68/$H$78</f>
        <v>0</v>
      </c>
      <c r="F68" s="203"/>
      <c r="G68" s="88">
        <f>ROUNDDOWN(N69,0)</f>
        <v>47</v>
      </c>
      <c r="H68" s="1085"/>
      <c r="I68" s="1084">
        <f>H68/$H$78</f>
        <v>0</v>
      </c>
      <c r="J68" s="90">
        <v>120.97</v>
      </c>
      <c r="K68" s="90">
        <v>10.72</v>
      </c>
      <c r="L68" s="90">
        <v>24.8</v>
      </c>
      <c r="M68" s="90">
        <f>K68+L68</f>
        <v>35.520000000000003</v>
      </c>
      <c r="N68" s="90">
        <f>J68+M68</f>
        <v>156.49</v>
      </c>
      <c r="O68" s="90">
        <f>$O$78/$J$78*J68</f>
        <v>0.35722898741316833</v>
      </c>
      <c r="P68" s="90">
        <f>$P$78/$J$78*J68</f>
        <v>3.3375393966887441</v>
      </c>
      <c r="Q68" s="90">
        <f>$Q$78/$J$78*J68</f>
        <v>98.084873401158504</v>
      </c>
      <c r="R68" s="90">
        <f>O68+P68+Q68</f>
        <v>101.77964178526041</v>
      </c>
      <c r="S68" s="90">
        <f>N68+R68</f>
        <v>258.26964178526043</v>
      </c>
      <c r="T68" s="899"/>
      <c r="U68" s="173"/>
    </row>
    <row r="69" spans="2:22" ht="12" hidden="1" customHeight="1">
      <c r="B69" s="323"/>
      <c r="C69" s="308"/>
      <c r="D69" s="305"/>
      <c r="E69" s="938"/>
      <c r="F69" s="203"/>
      <c r="G69" s="87">
        <f>ROUNDDOWN(J68,0)</f>
        <v>120</v>
      </c>
      <c r="H69" s="936"/>
      <c r="I69" s="938"/>
      <c r="J69" s="111">
        <f t="shared" ref="J69:S69" si="17">ROUNDDOWN(J68*0.3025,2)</f>
        <v>36.590000000000003</v>
      </c>
      <c r="K69" s="111">
        <f t="shared" si="17"/>
        <v>3.24</v>
      </c>
      <c r="L69" s="111">
        <f t="shared" si="17"/>
        <v>7.5</v>
      </c>
      <c r="M69" s="111">
        <f t="shared" si="17"/>
        <v>10.74</v>
      </c>
      <c r="N69" s="111">
        <f t="shared" si="17"/>
        <v>47.33</v>
      </c>
      <c r="O69" s="111">
        <f t="shared" si="17"/>
        <v>0.1</v>
      </c>
      <c r="P69" s="111">
        <f t="shared" si="17"/>
        <v>1</v>
      </c>
      <c r="Q69" s="111">
        <f t="shared" si="17"/>
        <v>29.67</v>
      </c>
      <c r="R69" s="111">
        <f t="shared" si="17"/>
        <v>30.78</v>
      </c>
      <c r="S69" s="111">
        <f t="shared" si="17"/>
        <v>78.12</v>
      </c>
      <c r="T69" s="899"/>
      <c r="U69" s="173"/>
    </row>
    <row r="70" spans="2:22" ht="12" hidden="1" customHeight="1">
      <c r="B70" s="88"/>
      <c r="C70" s="1121"/>
      <c r="D70" s="1084"/>
      <c r="E70" s="1084">
        <f>C70/$H$78</f>
        <v>0</v>
      </c>
      <c r="F70" s="1211"/>
      <c r="G70" s="88">
        <f>ROUNDDOWN(N71,0)</f>
        <v>52</v>
      </c>
      <c r="H70" s="1085"/>
      <c r="I70" s="1084">
        <f>H70/$H$78</f>
        <v>0</v>
      </c>
      <c r="J70" s="90">
        <v>137.35</v>
      </c>
      <c r="K70" s="90">
        <v>11.28</v>
      </c>
      <c r="L70" s="90">
        <v>25.54</v>
      </c>
      <c r="M70" s="90">
        <f>K70+L70</f>
        <v>36.82</v>
      </c>
      <c r="N70" s="90">
        <f>J70+M70</f>
        <v>174.17</v>
      </c>
      <c r="O70" s="90">
        <f>$O$78/$J$78*J70</f>
        <v>0.40559974721996089</v>
      </c>
      <c r="P70" s="90">
        <f>$P$78/$J$78*J70</f>
        <v>3.7894604954550632</v>
      </c>
      <c r="Q70" s="90">
        <f>$Q$78/$J$78*J70</f>
        <v>111.36610202239497</v>
      </c>
      <c r="R70" s="90">
        <f>O70+P70+Q70</f>
        <v>115.56116226507</v>
      </c>
      <c r="S70" s="90">
        <f>N70+R70</f>
        <v>289.73116226507</v>
      </c>
      <c r="T70" s="899"/>
      <c r="U70" s="173"/>
    </row>
    <row r="71" spans="2:22" ht="12" hidden="1" customHeight="1">
      <c r="B71" s="87"/>
      <c r="C71" s="1121"/>
      <c r="D71" s="938"/>
      <c r="E71" s="938"/>
      <c r="F71" s="838"/>
      <c r="G71" s="87">
        <f>ROUNDDOWN(J70,0)</f>
        <v>137</v>
      </c>
      <c r="H71" s="936"/>
      <c r="I71" s="938"/>
      <c r="J71" s="111">
        <f t="shared" ref="J71:S71" si="18">ROUNDDOWN(J70*0.3025,2)</f>
        <v>41.54</v>
      </c>
      <c r="K71" s="111">
        <f t="shared" si="18"/>
        <v>3.41</v>
      </c>
      <c r="L71" s="111">
        <f t="shared" si="18"/>
        <v>7.72</v>
      </c>
      <c r="M71" s="111">
        <f t="shared" si="18"/>
        <v>11.13</v>
      </c>
      <c r="N71" s="111">
        <f t="shared" si="18"/>
        <v>52.68</v>
      </c>
      <c r="O71" s="111">
        <f t="shared" si="18"/>
        <v>0.12</v>
      </c>
      <c r="P71" s="111">
        <f t="shared" si="18"/>
        <v>1.1399999999999999</v>
      </c>
      <c r="Q71" s="111">
        <f t="shared" si="18"/>
        <v>33.68</v>
      </c>
      <c r="R71" s="111">
        <f t="shared" si="18"/>
        <v>34.950000000000003</v>
      </c>
      <c r="S71" s="111">
        <f t="shared" si="18"/>
        <v>87.64</v>
      </c>
      <c r="T71" s="899"/>
      <c r="U71" s="173"/>
    </row>
    <row r="72" spans="2:22" ht="12" hidden="1" customHeight="1">
      <c r="B72" s="324"/>
      <c r="C72" s="308"/>
      <c r="D72" s="305"/>
      <c r="E72" s="940" t="e">
        <f>C72/$H$75</f>
        <v>#DIV/0!</v>
      </c>
      <c r="F72" s="203"/>
      <c r="G72" s="88">
        <f>ROUNDDOWN(N73,0)</f>
        <v>62</v>
      </c>
      <c r="H72" s="939"/>
      <c r="I72" s="940" t="e">
        <f>H72/$H$75</f>
        <v>#DIV/0!</v>
      </c>
      <c r="J72" s="90">
        <v>165.89</v>
      </c>
      <c r="K72" s="90">
        <v>13.45</v>
      </c>
      <c r="L72" s="90">
        <v>26.42</v>
      </c>
      <c r="M72" s="90">
        <f>K72+L72</f>
        <v>39.870000000000005</v>
      </c>
      <c r="N72" s="90">
        <f>J72+M72</f>
        <v>205.76</v>
      </c>
      <c r="O72" s="90">
        <f>$O$75/$J$75*J72</f>
        <v>0.48287642233395078</v>
      </c>
      <c r="P72" s="90">
        <f>$P$75/$J$75*J72</f>
        <v>4.5653770838846253</v>
      </c>
      <c r="Q72" s="90">
        <f>$Q$75/$J$75*J72</f>
        <v>134.50303254829319</v>
      </c>
      <c r="R72" s="90">
        <f>O72+P72+Q72</f>
        <v>139.55128605451176</v>
      </c>
      <c r="S72" s="90">
        <f>N72+R72</f>
        <v>345.31128605451175</v>
      </c>
      <c r="T72" s="899"/>
      <c r="U72" s="173"/>
    </row>
    <row r="73" spans="2:22" ht="12" hidden="1" customHeight="1">
      <c r="B73" s="324"/>
      <c r="C73" s="308"/>
      <c r="D73" s="305"/>
      <c r="E73" s="938"/>
      <c r="F73" s="203"/>
      <c r="G73" s="87">
        <f>ROUNDDOWN(J72,0)</f>
        <v>165</v>
      </c>
      <c r="H73" s="936"/>
      <c r="I73" s="938"/>
      <c r="J73" s="111">
        <f t="shared" ref="J73:S73" si="19">ROUNDDOWN(J72*0.3025,2)</f>
        <v>50.18</v>
      </c>
      <c r="K73" s="111">
        <f t="shared" si="19"/>
        <v>4.0599999999999996</v>
      </c>
      <c r="L73" s="111">
        <f t="shared" si="19"/>
        <v>7.99</v>
      </c>
      <c r="M73" s="111">
        <f t="shared" si="19"/>
        <v>12.06</v>
      </c>
      <c r="N73" s="111">
        <f t="shared" si="19"/>
        <v>62.24</v>
      </c>
      <c r="O73" s="111">
        <f t="shared" si="19"/>
        <v>0.14000000000000001</v>
      </c>
      <c r="P73" s="111">
        <f t="shared" si="19"/>
        <v>1.38</v>
      </c>
      <c r="Q73" s="111">
        <f t="shared" si="19"/>
        <v>40.68</v>
      </c>
      <c r="R73" s="111">
        <f t="shared" si="19"/>
        <v>42.21</v>
      </c>
      <c r="S73" s="111">
        <f t="shared" si="19"/>
        <v>104.45</v>
      </c>
      <c r="T73" s="899"/>
      <c r="U73" s="173"/>
    </row>
    <row r="74" spans="2:22" ht="12" hidden="1" customHeight="1">
      <c r="B74" s="88"/>
      <c r="C74" s="1121"/>
      <c r="D74" s="940"/>
      <c r="E74" s="940">
        <f>C74/$H$78</f>
        <v>0</v>
      </c>
      <c r="F74" s="838"/>
      <c r="G74" s="88">
        <f>ROUNDDOWN(N75,0)</f>
        <v>49</v>
      </c>
      <c r="H74" s="939"/>
      <c r="I74" s="940">
        <f>H74/$H$78</f>
        <v>0</v>
      </c>
      <c r="J74" s="90">
        <v>124.94</v>
      </c>
      <c r="K74" s="90">
        <v>11.85</v>
      </c>
      <c r="L74" s="90">
        <v>27.85</v>
      </c>
      <c r="M74" s="90">
        <f>K74+L74</f>
        <v>39.700000000000003</v>
      </c>
      <c r="N74" s="90">
        <f>J74+M74</f>
        <v>164.64</v>
      </c>
      <c r="O74" s="90">
        <f>$O$78/$J$78*J74</f>
        <v>0.36895254763496116</v>
      </c>
      <c r="P74" s="90">
        <f>$P$78/$J$78*J74</f>
        <v>3.447070945046637</v>
      </c>
      <c r="Q74" s="90">
        <f>$Q$78/$J$78*J74</f>
        <v>101.30382807919933</v>
      </c>
      <c r="R74" s="90">
        <f>O74+P74+Q74</f>
        <v>105.11985157188093</v>
      </c>
      <c r="S74" s="90">
        <f>N74+R74</f>
        <v>269.75985157188092</v>
      </c>
      <c r="T74" s="899"/>
      <c r="U74" s="173"/>
      <c r="V74" s="173">
        <f>N52+N76</f>
        <v>476303.45000000007</v>
      </c>
    </row>
    <row r="75" spans="2:22" ht="12" hidden="1" customHeight="1">
      <c r="B75" s="87"/>
      <c r="C75" s="1121"/>
      <c r="D75" s="938"/>
      <c r="E75" s="938"/>
      <c r="F75" s="838"/>
      <c r="G75" s="273">
        <f>ROUNDDOWN(J74,0)</f>
        <v>124</v>
      </c>
      <c r="H75" s="936"/>
      <c r="I75" s="938"/>
      <c r="J75" s="111">
        <f t="shared" ref="J75:S75" si="20">ROUNDDOWN(J74*0.3025,2)</f>
        <v>37.79</v>
      </c>
      <c r="K75" s="111">
        <f t="shared" si="20"/>
        <v>3.58</v>
      </c>
      <c r="L75" s="111">
        <f t="shared" si="20"/>
        <v>8.42</v>
      </c>
      <c r="M75" s="111">
        <f t="shared" si="20"/>
        <v>12</v>
      </c>
      <c r="N75" s="111">
        <f t="shared" si="20"/>
        <v>49.8</v>
      </c>
      <c r="O75" s="111">
        <f t="shared" si="20"/>
        <v>0.11</v>
      </c>
      <c r="P75" s="111">
        <f t="shared" si="20"/>
        <v>1.04</v>
      </c>
      <c r="Q75" s="111">
        <f t="shared" si="20"/>
        <v>30.64</v>
      </c>
      <c r="R75" s="111">
        <f t="shared" si="20"/>
        <v>31.79</v>
      </c>
      <c r="S75" s="111">
        <f t="shared" si="20"/>
        <v>81.599999999999994</v>
      </c>
      <c r="T75" s="899"/>
      <c r="U75" s="173"/>
      <c r="V75" s="144">
        <f>R52+R76</f>
        <v>299159.99999999994</v>
      </c>
    </row>
    <row r="76" spans="2:22" ht="12" customHeight="1">
      <c r="B76" s="130"/>
      <c r="C76" s="130"/>
      <c r="D76" s="1131"/>
      <c r="E76" s="1131">
        <f>E56+E58+E60+E62+E66</f>
        <v>1</v>
      </c>
      <c r="F76" s="77"/>
      <c r="G76" s="1202" t="s">
        <v>82</v>
      </c>
      <c r="H76" s="1219">
        <f>SUM(H54:H75)</f>
        <v>4295</v>
      </c>
      <c r="I76" s="371">
        <f>I56+I58+I60+I62+I66</f>
        <v>0.89386056191467222</v>
      </c>
      <c r="J76" s="365">
        <f>SUMPRODUCT(H54:H75,J54:J75)</f>
        <v>326053.05000000005</v>
      </c>
      <c r="K76" s="365">
        <f>SUMPRODUCT(H54:H75,K54:K75)</f>
        <v>28671.4</v>
      </c>
      <c r="L76" s="365">
        <f>SUMPRODUCT(H54:H75,L54:L75)</f>
        <v>81247.5</v>
      </c>
      <c r="M76" s="365">
        <f>K76+L76</f>
        <v>109918.9</v>
      </c>
      <c r="N76" s="365">
        <f>J76+M76</f>
        <v>435971.95000000007</v>
      </c>
      <c r="O76" s="365">
        <f>SUMPRODUCT(H54:H75,O54:O75)</f>
        <v>962.84699425043527</v>
      </c>
      <c r="P76" s="365">
        <f>SUMPRODUCT(H54:H75,P54:P75)</f>
        <v>8995.7419177112079</v>
      </c>
      <c r="Q76" s="365">
        <f>SUMPRODUCT(H54:H75,Q54:Q75)</f>
        <v>264370.27470704803</v>
      </c>
      <c r="R76" s="365">
        <f>O76+P76+Q76</f>
        <v>274328.86361900967</v>
      </c>
      <c r="S76" s="365">
        <f>N76+R76</f>
        <v>710300.81361900968</v>
      </c>
      <c r="T76" s="1220"/>
      <c r="U76" s="173"/>
      <c r="V76" s="173"/>
    </row>
    <row r="77" spans="2:22" ht="12" customHeight="1">
      <c r="D77" s="1132"/>
      <c r="E77" s="1132"/>
      <c r="F77" s="77"/>
      <c r="G77" s="1203"/>
      <c r="H77" s="1205"/>
      <c r="I77" s="375">
        <f>H76/$H$76</f>
        <v>1</v>
      </c>
      <c r="J77" s="292">
        <f t="shared" ref="J77:S77" si="21">ROUNDDOWN(J76*0.3025,2)</f>
        <v>98631.039999999994</v>
      </c>
      <c r="K77" s="292">
        <f t="shared" si="21"/>
        <v>8673.09</v>
      </c>
      <c r="L77" s="292">
        <f t="shared" si="21"/>
        <v>24577.360000000001</v>
      </c>
      <c r="M77" s="292">
        <f t="shared" si="21"/>
        <v>33250.46</v>
      </c>
      <c r="N77" s="292">
        <f t="shared" si="21"/>
        <v>131881.51</v>
      </c>
      <c r="O77" s="292">
        <f t="shared" si="21"/>
        <v>291.26</v>
      </c>
      <c r="P77" s="292">
        <f t="shared" si="21"/>
        <v>2721.21</v>
      </c>
      <c r="Q77" s="292">
        <f t="shared" si="21"/>
        <v>79972</v>
      </c>
      <c r="R77" s="292">
        <f t="shared" si="21"/>
        <v>82984.479999999996</v>
      </c>
      <c r="S77" s="292">
        <f t="shared" si="21"/>
        <v>214865.99</v>
      </c>
      <c r="T77" s="1207"/>
      <c r="V77" s="11">
        <f>V56+V58+V61+V63+V67</f>
        <v>4805</v>
      </c>
    </row>
    <row r="78" spans="2:22" ht="17.25" customHeight="1">
      <c r="C78" s="1212"/>
      <c r="D78" s="940"/>
      <c r="F78" s="77"/>
      <c r="G78" s="1213" t="s">
        <v>69</v>
      </c>
      <c r="H78" s="1215">
        <f>H52+H76</f>
        <v>4805</v>
      </c>
      <c r="I78" s="1217">
        <f>I52+I76</f>
        <v>1</v>
      </c>
      <c r="J78" s="368">
        <f>J52+J76</f>
        <v>355566.05000000005</v>
      </c>
      <c r="K78" s="368">
        <f>K52+K76</f>
        <v>31265.9</v>
      </c>
      <c r="L78" s="368">
        <f>L52+L76</f>
        <v>89471.5</v>
      </c>
      <c r="M78" s="368">
        <f>K78+L78</f>
        <v>120737.4</v>
      </c>
      <c r="N78" s="368">
        <f>J78+M78</f>
        <v>476303.45000000007</v>
      </c>
      <c r="O78" s="368">
        <v>1050</v>
      </c>
      <c r="P78" s="368">
        <f>R6+R7+R8+R9+R10+R11+R12</f>
        <v>9810</v>
      </c>
      <c r="Q78" s="368">
        <f>(R18*V17)</f>
        <v>288300</v>
      </c>
      <c r="R78" s="368">
        <f>O78+P78+Q78</f>
        <v>299160</v>
      </c>
      <c r="S78" s="368">
        <f>N78+R78</f>
        <v>775463.45000000007</v>
      </c>
      <c r="T78" s="358"/>
    </row>
    <row r="79" spans="2:22" ht="17.25" customHeight="1">
      <c r="C79" s="1076"/>
      <c r="D79" s="938"/>
      <c r="F79" s="77"/>
      <c r="G79" s="1214"/>
      <c r="H79" s="1216"/>
      <c r="I79" s="1218"/>
      <c r="J79" s="359">
        <f t="shared" ref="J79:S79" si="22">ROUNDDOWN(J78*0.3025,2)</f>
        <v>107558.73</v>
      </c>
      <c r="K79" s="359">
        <f t="shared" si="22"/>
        <v>9457.93</v>
      </c>
      <c r="L79" s="359">
        <f t="shared" si="22"/>
        <v>27065.119999999999</v>
      </c>
      <c r="M79" s="359">
        <f t="shared" si="22"/>
        <v>36523.06</v>
      </c>
      <c r="N79" s="359">
        <f t="shared" si="22"/>
        <v>144081.79</v>
      </c>
      <c r="O79" s="359">
        <f t="shared" si="22"/>
        <v>317.62</v>
      </c>
      <c r="P79" s="359">
        <f t="shared" si="22"/>
        <v>2967.52</v>
      </c>
      <c r="Q79" s="359">
        <f t="shared" si="22"/>
        <v>87210.75</v>
      </c>
      <c r="R79" s="359">
        <f t="shared" si="22"/>
        <v>90495.9</v>
      </c>
      <c r="S79" s="359">
        <f t="shared" si="22"/>
        <v>234577.69</v>
      </c>
      <c r="T79" s="360"/>
    </row>
    <row r="80" spans="2:22" ht="6" customHeight="1">
      <c r="F80" s="77"/>
      <c r="G80" s="1046"/>
      <c r="H80" s="1047"/>
      <c r="I80" s="1047"/>
      <c r="J80" s="1047"/>
      <c r="K80" s="1047"/>
      <c r="L80" s="1047"/>
      <c r="M80" s="1047"/>
      <c r="N80" s="1047"/>
      <c r="O80" s="1047"/>
      <c r="P80" s="1047"/>
      <c r="Q80" s="1047"/>
      <c r="R80" s="1047"/>
      <c r="S80" s="1047"/>
      <c r="T80" s="1048"/>
    </row>
    <row r="81" spans="4:43" ht="18" customHeight="1">
      <c r="D81" s="321"/>
      <c r="F81" s="77"/>
      <c r="G81" s="951" t="s">
        <v>87</v>
      </c>
      <c r="H81" s="951"/>
      <c r="I81" s="951"/>
      <c r="J81" s="951"/>
      <c r="K81" s="951"/>
      <c r="L81" s="951"/>
      <c r="M81" s="951"/>
      <c r="N81" s="951"/>
      <c r="O81" s="951"/>
      <c r="P81" s="951"/>
      <c r="Q81" s="951"/>
      <c r="R81" s="951"/>
      <c r="S81" s="951"/>
      <c r="T81" s="952"/>
    </row>
    <row r="82" spans="4:43" s="6" customFormat="1" ht="14.1" customHeight="1">
      <c r="E82" s="322"/>
      <c r="F82" s="79"/>
      <c r="G82" s="984" t="s">
        <v>16</v>
      </c>
      <c r="H82" s="985"/>
      <c r="I82" s="986" t="s">
        <v>7</v>
      </c>
      <c r="J82" s="987"/>
      <c r="K82" s="986" t="s">
        <v>217</v>
      </c>
      <c r="L82" s="987"/>
      <c r="M82" s="986" t="s">
        <v>132</v>
      </c>
      <c r="N82" s="987"/>
      <c r="O82" s="85" t="s">
        <v>218</v>
      </c>
      <c r="P82" s="85" t="s">
        <v>32</v>
      </c>
      <c r="Q82" s="1044" t="s">
        <v>160</v>
      </c>
      <c r="R82" s="1045"/>
      <c r="S82" s="1051" t="s">
        <v>74</v>
      </c>
      <c r="T82" s="1052"/>
    </row>
    <row r="83" spans="4:43" s="6" customFormat="1" ht="14.1" hidden="1" customHeight="1">
      <c r="F83" s="79"/>
      <c r="G83" s="1032" t="s">
        <v>50</v>
      </c>
      <c r="H83" s="1033"/>
      <c r="I83" s="1049">
        <f>M83*0.7</f>
        <v>0</v>
      </c>
      <c r="J83" s="1050"/>
      <c r="K83" s="1049">
        <f>M83*0.3</f>
        <v>0</v>
      </c>
      <c r="L83" s="1050"/>
      <c r="M83" s="1049">
        <v>0</v>
      </c>
      <c r="N83" s="1050"/>
      <c r="O83" s="58">
        <f>M83*0.15</f>
        <v>0</v>
      </c>
      <c r="P83" s="59" t="e">
        <f>#REF!*42</f>
        <v>#REF!</v>
      </c>
      <c r="Q83" s="988" t="e">
        <f>SUM(M83:P83)</f>
        <v>#REF!</v>
      </c>
      <c r="R83" s="989"/>
      <c r="S83" s="990"/>
      <c r="T83" s="991"/>
    </row>
    <row r="84" spans="4:43" s="6" customFormat="1" ht="14.1" hidden="1" customHeight="1">
      <c r="F84" s="79"/>
      <c r="G84" s="1034"/>
      <c r="H84" s="1035"/>
      <c r="I84" s="992">
        <f t="shared" ref="I84:I86" si="23">I83*0.3025</f>
        <v>0</v>
      </c>
      <c r="J84" s="993"/>
      <c r="K84" s="992">
        <f>K83*0.3025</f>
        <v>0</v>
      </c>
      <c r="L84" s="993"/>
      <c r="M84" s="1038">
        <f>M83*0.3025</f>
        <v>0</v>
      </c>
      <c r="N84" s="1039"/>
      <c r="O84" s="9">
        <f t="shared" ref="O84:O90" si="24">O83*0.3025</f>
        <v>0</v>
      </c>
      <c r="P84" s="60" t="e">
        <f>P83*0.3025</f>
        <v>#REF!</v>
      </c>
      <c r="Q84" s="1040" t="e">
        <f>Q83*0.3025</f>
        <v>#REF!</v>
      </c>
      <c r="R84" s="1041"/>
      <c r="S84" s="1042"/>
      <c r="T84" s="1043"/>
    </row>
    <row r="85" spans="4:43" s="6" customFormat="1" ht="14.1" customHeight="1">
      <c r="F85" s="79"/>
      <c r="G85" s="996" t="s">
        <v>38</v>
      </c>
      <c r="H85" s="1001" t="s">
        <v>45</v>
      </c>
      <c r="I85" s="1057">
        <f>M85*0.7</f>
        <v>2520</v>
      </c>
      <c r="J85" s="1000"/>
      <c r="K85" s="999">
        <f>M85*0.3</f>
        <v>1080</v>
      </c>
      <c r="L85" s="1000"/>
      <c r="M85" s="1058">
        <v>3600</v>
      </c>
      <c r="N85" s="1059"/>
      <c r="O85" s="91">
        <f>$O$89*I85/$I$89</f>
        <v>558.62068965517244</v>
      </c>
      <c r="P85" s="91">
        <f>$P$89*I85/$I$89</f>
        <v>1489.6551724137933</v>
      </c>
      <c r="Q85" s="1017">
        <f>SUM(M85:P85)</f>
        <v>5648.2758620689656</v>
      </c>
      <c r="R85" s="1018"/>
      <c r="S85" s="1019"/>
      <c r="T85" s="1020"/>
      <c r="U85" s="7"/>
      <c r="V85" s="7">
        <f>I85/I89*Q89</f>
        <v>5648.2758620689656</v>
      </c>
      <c r="W85" s="7"/>
      <c r="X85" s="8"/>
    </row>
    <row r="86" spans="4:43" s="6" customFormat="1" ht="14.1" customHeight="1">
      <c r="F86" s="79"/>
      <c r="G86" s="997"/>
      <c r="H86" s="1002"/>
      <c r="I86" s="1021">
        <f t="shared" si="23"/>
        <v>762.3</v>
      </c>
      <c r="J86" s="1022"/>
      <c r="K86" s="1023">
        <f>K85*0.3025</f>
        <v>326.7</v>
      </c>
      <c r="L86" s="1022"/>
      <c r="M86" s="1024">
        <f>M85*0.3025</f>
        <v>1089</v>
      </c>
      <c r="N86" s="1025"/>
      <c r="O86" s="92">
        <f>O85*0.3025</f>
        <v>168.98275862068965</v>
      </c>
      <c r="P86" s="92">
        <f>P85*0.3025</f>
        <v>450.62068965517244</v>
      </c>
      <c r="Q86" s="1024">
        <f>Q85*0.3025</f>
        <v>1708.6034482758621</v>
      </c>
      <c r="R86" s="1025"/>
      <c r="S86" s="1026"/>
      <c r="T86" s="1027"/>
      <c r="U86" s="7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spans="4:43" s="6" customFormat="1" ht="14.1" customHeight="1">
      <c r="F87" s="79"/>
      <c r="G87" s="997"/>
      <c r="H87" s="1077" t="s">
        <v>46</v>
      </c>
      <c r="I87" s="1057">
        <f>M87*0.7</f>
        <v>1540</v>
      </c>
      <c r="J87" s="1000"/>
      <c r="K87" s="999">
        <f>M87*0.3</f>
        <v>660</v>
      </c>
      <c r="L87" s="1000"/>
      <c r="M87" s="1058">
        <v>2200</v>
      </c>
      <c r="N87" s="1059"/>
      <c r="O87" s="91">
        <f>$O$89*I87/$I$89</f>
        <v>341.37931034482762</v>
      </c>
      <c r="P87" s="91">
        <f>$P$89*I87/$I$89</f>
        <v>910.34482758620697</v>
      </c>
      <c r="Q87" s="1058">
        <f>SUM(M87:P87)</f>
        <v>3451.7241379310344</v>
      </c>
      <c r="R87" s="1059"/>
      <c r="S87" s="1060"/>
      <c r="T87" s="1061"/>
      <c r="U87"/>
      <c r="V87" s="7">
        <f>I87/I89*Q89</f>
        <v>3451.7241379310349</v>
      </c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spans="4:43" ht="14.1" customHeight="1">
      <c r="F88" s="77"/>
      <c r="G88" s="998"/>
      <c r="H88" s="1078"/>
      <c r="I88" s="1062">
        <f t="shared" ref="I88" si="25">I87*0.3025</f>
        <v>465.84999999999997</v>
      </c>
      <c r="J88" s="1063"/>
      <c r="K88" s="1064">
        <f>K87*0.3025</f>
        <v>199.65</v>
      </c>
      <c r="L88" s="1063"/>
      <c r="M88" s="1065">
        <f>M87*0.3025</f>
        <v>665.5</v>
      </c>
      <c r="N88" s="1066"/>
      <c r="O88" s="94">
        <f>O87*0.3025</f>
        <v>103.26724137931035</v>
      </c>
      <c r="P88" s="98">
        <f>P87*0.3025</f>
        <v>275.37931034482762</v>
      </c>
      <c r="Q88" s="1065">
        <f>Q87*0.3025</f>
        <v>1044.1465517241379</v>
      </c>
      <c r="R88" s="1066"/>
      <c r="S88" s="1067"/>
      <c r="T88" s="1068"/>
      <c r="U88"/>
      <c r="AQ88" s="6"/>
    </row>
    <row r="89" spans="4:43" ht="14.1" customHeight="1">
      <c r="F89" s="77"/>
      <c r="G89" s="1225" t="s">
        <v>69</v>
      </c>
      <c r="H89" s="1226"/>
      <c r="I89" s="1229">
        <f>M89*0.7</f>
        <v>4059.9999999999995</v>
      </c>
      <c r="J89" s="1230"/>
      <c r="K89" s="1231">
        <f>M89*0.3</f>
        <v>1740</v>
      </c>
      <c r="L89" s="1230"/>
      <c r="M89" s="1231">
        <f>M85+M87</f>
        <v>5800</v>
      </c>
      <c r="N89" s="1230"/>
      <c r="O89" s="293">
        <v>900</v>
      </c>
      <c r="P89" s="293">
        <f>R24*V17</f>
        <v>2400</v>
      </c>
      <c r="Q89" s="1232">
        <f>SUM(M89:P89)</f>
        <v>9100</v>
      </c>
      <c r="R89" s="1233"/>
      <c r="S89" s="1234"/>
      <c r="T89" s="1235"/>
      <c r="U89" s="6"/>
      <c r="AQ89" s="6"/>
    </row>
    <row r="90" spans="4:43" ht="14.1" customHeight="1">
      <c r="F90" s="77"/>
      <c r="G90" s="1227"/>
      <c r="H90" s="1228"/>
      <c r="I90" s="1236">
        <f t="shared" ref="I90" si="26">I89*0.3025</f>
        <v>1228.1499999999999</v>
      </c>
      <c r="J90" s="1237"/>
      <c r="K90" s="1238">
        <f>K89*0.3025</f>
        <v>526.35</v>
      </c>
      <c r="L90" s="1237"/>
      <c r="M90" s="1221">
        <f>M89*0.3025</f>
        <v>1754.5</v>
      </c>
      <c r="N90" s="1222"/>
      <c r="O90" s="294">
        <f t="shared" si="24"/>
        <v>272.25</v>
      </c>
      <c r="P90" s="295">
        <f>P89*0.3025</f>
        <v>726</v>
      </c>
      <c r="Q90" s="1221">
        <f>Q89*0.3025</f>
        <v>2752.75</v>
      </c>
      <c r="R90" s="1222"/>
      <c r="S90" s="1223"/>
      <c r="T90" s="1224"/>
      <c r="U90" s="7"/>
      <c r="AQ90" s="6"/>
    </row>
    <row r="91" spans="4:43" ht="14.1" customHeight="1">
      <c r="Q91" s="5"/>
      <c r="R91" s="5"/>
      <c r="S91" s="5"/>
      <c r="T91" s="6"/>
      <c r="U91" s="6"/>
      <c r="AQ91" s="6"/>
    </row>
    <row r="92" spans="4:43" ht="14.1" customHeight="1">
      <c r="J92" s="2">
        <f>H56*J56+J58*H58+H60*J60+J62*H62+H66*J66</f>
        <v>326053.05000000005</v>
      </c>
      <c r="K92" s="2">
        <f>H56*K56+K58*H58+H60*K60+K62*H62+H66*K66</f>
        <v>28671.4</v>
      </c>
      <c r="P92" s="379">
        <f>P85+P87</f>
        <v>2400</v>
      </c>
      <c r="T92" s="6"/>
      <c r="U92" s="6"/>
      <c r="AQ92" s="6"/>
    </row>
    <row r="93" spans="4:43" ht="14.1" customHeight="1">
      <c r="T93" s="6"/>
      <c r="U93" s="6"/>
      <c r="AQ93" s="6"/>
    </row>
    <row r="94" spans="4:43" ht="14.1" customHeight="1">
      <c r="T94" s="6"/>
      <c r="U94" s="6"/>
      <c r="AQ94" s="6"/>
    </row>
    <row r="95" spans="4:43" ht="14.1" customHeight="1">
      <c r="H95" s="11">
        <f>H38+H58</f>
        <v>1168</v>
      </c>
      <c r="I95" s="145">
        <f>I38+I58</f>
        <v>0.24308012486992717</v>
      </c>
      <c r="M95" s="144">
        <f t="shared" ref="M95:S95" si="27">M52+M76</f>
        <v>120737.4</v>
      </c>
      <c r="N95" s="144">
        <f t="shared" si="27"/>
        <v>476303.45000000007</v>
      </c>
      <c r="O95" s="144">
        <f t="shared" si="27"/>
        <v>1050</v>
      </c>
      <c r="P95" s="144">
        <f t="shared" si="27"/>
        <v>9809.9999999999982</v>
      </c>
      <c r="Q95" s="144">
        <f t="shared" si="27"/>
        <v>288299.99999999994</v>
      </c>
      <c r="R95" s="144">
        <f t="shared" si="27"/>
        <v>299159.99999999994</v>
      </c>
      <c r="S95" s="144">
        <f t="shared" si="27"/>
        <v>775463.45</v>
      </c>
      <c r="T95" s="6"/>
      <c r="U95" s="6"/>
      <c r="AQ95" s="6"/>
    </row>
    <row r="96" spans="4:43" ht="14.1" customHeight="1">
      <c r="H96" s="11">
        <f>H58+H60+H64</f>
        <v>1438</v>
      </c>
      <c r="AQ96" s="6"/>
    </row>
    <row r="97" spans="7:43" ht="14.1" customHeight="1">
      <c r="AQ97" s="6"/>
    </row>
    <row r="98" spans="7:43" ht="14.1" customHeight="1">
      <c r="AQ98" s="6"/>
    </row>
    <row r="99" spans="7:43" ht="14.1" customHeight="1">
      <c r="AQ99" s="6"/>
    </row>
    <row r="100" spans="7:43" ht="14.1" customHeight="1">
      <c r="AQ100" s="6"/>
    </row>
    <row r="101" spans="7:43" ht="14.1" customHeight="1" thickBot="1">
      <c r="G101" s="1"/>
      <c r="K101" s="3"/>
      <c r="M101" s="1007" t="s">
        <v>89</v>
      </c>
      <c r="N101" s="1007"/>
      <c r="O101" s="1007"/>
      <c r="P101" s="112"/>
      <c r="Q101" s="113"/>
      <c r="R101" s="112"/>
      <c r="S101" s="6"/>
      <c r="AQ101" s="6"/>
    </row>
    <row r="102" spans="7:43" ht="14.1" customHeight="1">
      <c r="G102" s="34"/>
      <c r="H102" s="35"/>
      <c r="I102" s="36"/>
      <c r="J102" s="36"/>
      <c r="K102" s="37"/>
      <c r="M102" s="114"/>
      <c r="N102" s="115">
        <v>0</v>
      </c>
      <c r="O102" s="116">
        <v>300</v>
      </c>
      <c r="P102" s="117">
        <v>500</v>
      </c>
      <c r="Q102" s="118">
        <v>1000</v>
      </c>
      <c r="R102" s="117">
        <v>2000</v>
      </c>
      <c r="S102" s="6"/>
      <c r="AQ102" s="6"/>
    </row>
    <row r="103" spans="7:43" ht="14.1" customHeight="1">
      <c r="G103" s="38"/>
      <c r="H103" s="39"/>
      <c r="I103" s="40"/>
      <c r="J103" s="40"/>
      <c r="K103" s="41"/>
      <c r="M103" s="119"/>
      <c r="N103" s="120" t="s">
        <v>90</v>
      </c>
      <c r="O103" s="120" t="s">
        <v>91</v>
      </c>
      <c r="P103" s="120" t="s">
        <v>220</v>
      </c>
      <c r="Q103" s="120" t="s">
        <v>93</v>
      </c>
      <c r="R103" s="120" t="s">
        <v>94</v>
      </c>
      <c r="S103" s="6"/>
      <c r="AQ103" s="6"/>
    </row>
    <row r="104" spans="7:43" ht="14.1" customHeight="1">
      <c r="G104" s="980"/>
      <c r="H104" s="106"/>
      <c r="I104" s="106"/>
      <c r="J104" s="106"/>
      <c r="K104" s="42"/>
      <c r="M104" s="119" t="s">
        <v>4</v>
      </c>
      <c r="N104" s="121">
        <v>6</v>
      </c>
      <c r="O104" s="121">
        <v>8</v>
      </c>
      <c r="P104" s="121">
        <v>12</v>
      </c>
      <c r="Q104" s="122">
        <v>15</v>
      </c>
      <c r="R104" s="121">
        <v>20</v>
      </c>
      <c r="S104" s="6"/>
      <c r="AQ104" s="6"/>
    </row>
    <row r="105" spans="7:43" ht="14.1" customHeight="1">
      <c r="G105" s="981"/>
      <c r="H105" s="107"/>
      <c r="I105" s="107"/>
      <c r="J105" s="108"/>
      <c r="K105" s="43"/>
      <c r="M105" s="114"/>
      <c r="N105" s="112"/>
      <c r="O105" s="112"/>
      <c r="P105" s="112"/>
      <c r="Q105" s="113"/>
      <c r="R105" s="112"/>
      <c r="S105" s="6"/>
      <c r="AQ105" s="6"/>
    </row>
    <row r="106" spans="7:43" ht="14.1" customHeight="1">
      <c r="G106" s="994"/>
      <c r="H106" s="106"/>
      <c r="I106" s="106"/>
      <c r="J106" s="106"/>
      <c r="K106" s="42"/>
      <c r="M106" s="114"/>
      <c r="N106" s="112"/>
      <c r="O106" s="112"/>
      <c r="P106" s="112"/>
      <c r="Q106" s="113"/>
      <c r="R106" s="112"/>
      <c r="S106" s="6"/>
      <c r="AQ106" s="6"/>
    </row>
    <row r="107" spans="7:43" ht="14.1" customHeight="1">
      <c r="G107" s="995"/>
      <c r="H107" s="107"/>
      <c r="I107" s="107"/>
      <c r="J107" s="108"/>
      <c r="K107" s="43"/>
      <c r="M107" s="1007" t="s">
        <v>95</v>
      </c>
      <c r="N107" s="1007"/>
      <c r="O107" s="1007"/>
      <c r="P107" s="112"/>
      <c r="Q107" s="113"/>
      <c r="R107" s="112"/>
      <c r="S107" s="6"/>
      <c r="AQ107" s="6"/>
    </row>
    <row r="108" spans="7:43" ht="20.25" customHeight="1">
      <c r="G108" s="994"/>
      <c r="H108" s="106"/>
      <c r="I108" s="106"/>
      <c r="J108" s="106"/>
      <c r="K108" s="42"/>
      <c r="M108" s="123"/>
      <c r="N108" s="123">
        <v>0</v>
      </c>
      <c r="O108" s="142">
        <v>150</v>
      </c>
      <c r="P108" s="142">
        <v>300</v>
      </c>
      <c r="Q108" s="142">
        <v>500</v>
      </c>
      <c r="R108" s="142">
        <v>1000</v>
      </c>
      <c r="S108" s="142">
        <v>1500</v>
      </c>
      <c r="AQ108" s="6"/>
    </row>
    <row r="109" spans="7:43" ht="20.25" customHeight="1">
      <c r="G109" s="981"/>
      <c r="H109" s="107"/>
      <c r="I109" s="107"/>
      <c r="J109" s="108"/>
      <c r="K109" s="43"/>
      <c r="M109" s="125"/>
      <c r="N109" s="125" t="s">
        <v>96</v>
      </c>
      <c r="O109" s="125" t="s">
        <v>97</v>
      </c>
      <c r="P109" s="125" t="s">
        <v>91</v>
      </c>
      <c r="Q109" s="125" t="s">
        <v>220</v>
      </c>
      <c r="R109" s="125" t="s">
        <v>98</v>
      </c>
      <c r="S109" s="125" t="s">
        <v>99</v>
      </c>
    </row>
    <row r="110" spans="7:43" ht="14.1" customHeight="1">
      <c r="G110" s="980"/>
      <c r="H110" s="106"/>
      <c r="I110" s="106"/>
      <c r="J110" s="106"/>
      <c r="M110" s="126" t="s">
        <v>100</v>
      </c>
      <c r="N110" s="124">
        <v>0</v>
      </c>
      <c r="O110" s="127">
        <f>50+(H78*0.1)</f>
        <v>530.5</v>
      </c>
      <c r="P110" s="127">
        <v>155</v>
      </c>
      <c r="Q110" s="127">
        <v>225</v>
      </c>
      <c r="R110" s="127">
        <v>375</v>
      </c>
      <c r="S110" s="128">
        <v>500</v>
      </c>
    </row>
    <row r="111" spans="7:43" ht="14.1" customHeight="1">
      <c r="G111" s="981"/>
      <c r="H111" s="108"/>
      <c r="I111" s="107"/>
      <c r="J111" s="108"/>
      <c r="M111" s="126" t="s">
        <v>24</v>
      </c>
      <c r="N111" s="124">
        <v>0</v>
      </c>
      <c r="O111" s="123">
        <v>0</v>
      </c>
      <c r="P111" s="127">
        <v>198</v>
      </c>
      <c r="Q111" s="127">
        <v>330</v>
      </c>
      <c r="R111" s="127">
        <v>580</v>
      </c>
      <c r="S111" s="127">
        <v>725</v>
      </c>
    </row>
    <row r="112" spans="7:43" ht="14.1" customHeight="1">
      <c r="G112" s="980"/>
      <c r="H112" s="106"/>
      <c r="I112" s="106"/>
      <c r="J112" s="106"/>
      <c r="K112" s="42"/>
      <c r="M112" s="126" t="s">
        <v>35</v>
      </c>
      <c r="N112" s="124">
        <v>0</v>
      </c>
      <c r="O112" s="123">
        <v>0</v>
      </c>
      <c r="P112" s="129">
        <v>108</v>
      </c>
      <c r="Q112" s="129">
        <v>158</v>
      </c>
      <c r="R112" s="129">
        <v>203</v>
      </c>
      <c r="S112" s="129">
        <v>298</v>
      </c>
    </row>
    <row r="113" spans="7:19" ht="14.1" customHeight="1">
      <c r="G113" s="981"/>
      <c r="H113" s="107"/>
      <c r="I113" s="107"/>
      <c r="J113" s="108"/>
      <c r="K113" s="43"/>
      <c r="S113" s="6"/>
    </row>
    <row r="114" spans="7:19" ht="14.1" customHeight="1">
      <c r="G114" s="81"/>
      <c r="H114" s="106"/>
      <c r="I114" s="106"/>
      <c r="J114" s="106"/>
      <c r="K114" s="42"/>
      <c r="M114" s="1007" t="s">
        <v>101</v>
      </c>
      <c r="N114" s="1007"/>
      <c r="O114" s="1007"/>
      <c r="S114" s="6"/>
    </row>
    <row r="115" spans="7:19" ht="14.1" customHeight="1" thickBot="1">
      <c r="G115" s="44"/>
      <c r="H115" s="109"/>
      <c r="I115" s="109"/>
      <c r="J115" s="110"/>
      <c r="K115" s="45"/>
      <c r="N115" s="130">
        <v>0</v>
      </c>
      <c r="O115" s="130">
        <v>500</v>
      </c>
      <c r="P115" s="130">
        <v>1000</v>
      </c>
      <c r="Q115" s="130">
        <v>1500</v>
      </c>
      <c r="R115" s="6"/>
      <c r="S115" s="6"/>
    </row>
    <row r="116" spans="7:19" ht="14.1" customHeight="1">
      <c r="M116" s="131"/>
      <c r="N116" s="132" t="s">
        <v>102</v>
      </c>
      <c r="O116" s="132" t="s">
        <v>103</v>
      </c>
      <c r="P116" s="132" t="s">
        <v>104</v>
      </c>
      <c r="Q116" s="125" t="s">
        <v>99</v>
      </c>
      <c r="R116" s="6"/>
      <c r="S116" s="6"/>
    </row>
    <row r="117" spans="7:19" ht="14.1" customHeight="1">
      <c r="M117" s="133" t="s">
        <v>227</v>
      </c>
      <c r="N117" s="134">
        <v>90</v>
      </c>
      <c r="O117" s="134">
        <v>90</v>
      </c>
      <c r="P117" s="134">
        <v>108</v>
      </c>
      <c r="Q117" s="135">
        <v>138</v>
      </c>
      <c r="R117" s="6"/>
      <c r="S117" s="6"/>
    </row>
    <row r="118" spans="7:19" ht="14.1" customHeight="1">
      <c r="M118" s="133" t="s">
        <v>106</v>
      </c>
      <c r="N118" s="134">
        <v>188</v>
      </c>
      <c r="O118" s="134">
        <v>188</v>
      </c>
      <c r="P118" s="134">
        <v>324</v>
      </c>
      <c r="Q118" s="135">
        <v>454</v>
      </c>
    </row>
    <row r="119" spans="7:19" ht="14.1" customHeight="1">
      <c r="M119" s="136" t="s">
        <v>107</v>
      </c>
      <c r="N119" s="135">
        <v>146</v>
      </c>
      <c r="O119" s="134">
        <v>158</v>
      </c>
      <c r="P119" s="135">
        <v>184</v>
      </c>
      <c r="Q119" s="135">
        <v>210</v>
      </c>
    </row>
    <row r="120" spans="7:19" ht="14.1" customHeight="1">
      <c r="M120" s="133" t="s">
        <v>108</v>
      </c>
      <c r="N120" s="135">
        <v>60</v>
      </c>
      <c r="O120" s="134">
        <v>80</v>
      </c>
      <c r="P120" s="135">
        <v>100</v>
      </c>
      <c r="Q120" s="135">
        <v>150</v>
      </c>
    </row>
    <row r="121" spans="7:19" ht="14.1" customHeight="1">
      <c r="M121" s="137" t="s">
        <v>1</v>
      </c>
      <c r="N121" s="135">
        <f>SUM(N117:N120)</f>
        <v>484</v>
      </c>
      <c r="O121" s="135">
        <f t="shared" ref="O121:Q121" si="28">SUM(O117:O120)</f>
        <v>516</v>
      </c>
      <c r="P121" s="135">
        <f t="shared" si="28"/>
        <v>716</v>
      </c>
      <c r="Q121" s="135">
        <f t="shared" si="28"/>
        <v>952</v>
      </c>
    </row>
    <row r="122" spans="7:19" ht="14.1" customHeight="1">
      <c r="M122" s="1007" t="s">
        <v>109</v>
      </c>
      <c r="N122" s="1007"/>
      <c r="O122" s="1007"/>
    </row>
    <row r="123" spans="7:19" ht="14.1" customHeight="1">
      <c r="N123" s="130">
        <v>0</v>
      </c>
      <c r="O123" s="130">
        <v>500</v>
      </c>
      <c r="P123" s="130">
        <v>1000</v>
      </c>
      <c r="Q123" s="130">
        <v>1500</v>
      </c>
    </row>
    <row r="124" spans="7:19" ht="14.1" customHeight="1">
      <c r="M124" s="131"/>
      <c r="N124" s="132" t="s">
        <v>102</v>
      </c>
      <c r="O124" s="132" t="s">
        <v>103</v>
      </c>
      <c r="P124" s="132" t="s">
        <v>104</v>
      </c>
      <c r="Q124" s="125" t="s">
        <v>99</v>
      </c>
    </row>
    <row r="125" spans="7:19" ht="14.1" customHeight="1">
      <c r="M125" s="133" t="s">
        <v>114</v>
      </c>
      <c r="N125" s="138">
        <v>36</v>
      </c>
      <c r="O125" s="138">
        <v>48</v>
      </c>
      <c r="P125" s="138">
        <v>56</v>
      </c>
      <c r="Q125" s="139">
        <v>63</v>
      </c>
    </row>
    <row r="126" spans="7:19" ht="14.1" customHeight="1">
      <c r="M126" s="133" t="s">
        <v>115</v>
      </c>
      <c r="N126" s="138">
        <v>12</v>
      </c>
      <c r="O126" s="138">
        <v>18</v>
      </c>
      <c r="P126" s="138">
        <v>22</v>
      </c>
      <c r="Q126" s="139">
        <v>34</v>
      </c>
    </row>
    <row r="127" spans="7:19" ht="14.1" customHeight="1">
      <c r="M127" s="137" t="s">
        <v>1</v>
      </c>
      <c r="N127" s="140">
        <f>SUM(N125:N126)</f>
        <v>48</v>
      </c>
      <c r="O127" s="141">
        <f>SUM(O125:O126)</f>
        <v>66</v>
      </c>
      <c r="P127" s="140">
        <f>SUM(P125:P126)</f>
        <v>78</v>
      </c>
      <c r="Q127" s="140">
        <f>SUM(Q125:Q126)</f>
        <v>97</v>
      </c>
    </row>
  </sheetData>
  <mergeCells count="256">
    <mergeCell ref="G89:H90"/>
    <mergeCell ref="I89:J89"/>
    <mergeCell ref="K89:L89"/>
    <mergeCell ref="M89:N89"/>
    <mergeCell ref="Q89:R89"/>
    <mergeCell ref="S89:T89"/>
    <mergeCell ref="M114:O114"/>
    <mergeCell ref="M122:O122"/>
    <mergeCell ref="G104:G105"/>
    <mergeCell ref="G106:G107"/>
    <mergeCell ref="M107:O107"/>
    <mergeCell ref="G108:G109"/>
    <mergeCell ref="G110:G111"/>
    <mergeCell ref="G112:G113"/>
    <mergeCell ref="I90:J90"/>
    <mergeCell ref="K90:L90"/>
    <mergeCell ref="M90:N90"/>
    <mergeCell ref="I87:J87"/>
    <mergeCell ref="K87:L87"/>
    <mergeCell ref="M87:N87"/>
    <mergeCell ref="Q87:R87"/>
    <mergeCell ref="S87:T87"/>
    <mergeCell ref="I88:J88"/>
    <mergeCell ref="Q90:R90"/>
    <mergeCell ref="S90:T90"/>
    <mergeCell ref="M101:O101"/>
    <mergeCell ref="K88:L88"/>
    <mergeCell ref="M88:N88"/>
    <mergeCell ref="Q88:R88"/>
    <mergeCell ref="S88:T88"/>
    <mergeCell ref="S84:T84"/>
    <mergeCell ref="G85:G88"/>
    <mergeCell ref="H85:H86"/>
    <mergeCell ref="I85:J85"/>
    <mergeCell ref="K85:L85"/>
    <mergeCell ref="M85:N85"/>
    <mergeCell ref="Q85:R85"/>
    <mergeCell ref="S85:T85"/>
    <mergeCell ref="I86:J86"/>
    <mergeCell ref="K86:L86"/>
    <mergeCell ref="G83:H84"/>
    <mergeCell ref="I83:J83"/>
    <mergeCell ref="K83:L83"/>
    <mergeCell ref="M83:N83"/>
    <mergeCell ref="Q83:R83"/>
    <mergeCell ref="S83:T83"/>
    <mergeCell ref="I84:J84"/>
    <mergeCell ref="K84:L84"/>
    <mergeCell ref="M84:N84"/>
    <mergeCell ref="Q84:R84"/>
    <mergeCell ref="M86:N86"/>
    <mergeCell ref="Q86:R86"/>
    <mergeCell ref="S86:T86"/>
    <mergeCell ref="H87:H88"/>
    <mergeCell ref="G80:T80"/>
    <mergeCell ref="G81:T81"/>
    <mergeCell ref="G82:H82"/>
    <mergeCell ref="I82:J82"/>
    <mergeCell ref="K82:L82"/>
    <mergeCell ref="M82:N82"/>
    <mergeCell ref="Q82:R82"/>
    <mergeCell ref="S82:T82"/>
    <mergeCell ref="D76:D77"/>
    <mergeCell ref="E76:E77"/>
    <mergeCell ref="G76:G77"/>
    <mergeCell ref="H76:H77"/>
    <mergeCell ref="T76:T77"/>
    <mergeCell ref="C78:C79"/>
    <mergeCell ref="D78:D79"/>
    <mergeCell ref="G78:G79"/>
    <mergeCell ref="H78:H79"/>
    <mergeCell ref="I78:I79"/>
    <mergeCell ref="I70:I71"/>
    <mergeCell ref="E72:E73"/>
    <mergeCell ref="H72:H73"/>
    <mergeCell ref="I72:I73"/>
    <mergeCell ref="C74:C75"/>
    <mergeCell ref="D74:D75"/>
    <mergeCell ref="E74:E75"/>
    <mergeCell ref="F74:F75"/>
    <mergeCell ref="H74:H75"/>
    <mergeCell ref="I74:I75"/>
    <mergeCell ref="E66:E67"/>
    <mergeCell ref="H66:H67"/>
    <mergeCell ref="E68:E69"/>
    <mergeCell ref="H68:H69"/>
    <mergeCell ref="I68:I69"/>
    <mergeCell ref="C70:C71"/>
    <mergeCell ref="D70:D71"/>
    <mergeCell ref="E70:E71"/>
    <mergeCell ref="F70:F71"/>
    <mergeCell ref="H70:H71"/>
    <mergeCell ref="C60:C61"/>
    <mergeCell ref="D60:D61"/>
    <mergeCell ref="E60:E61"/>
    <mergeCell ref="F60:F61"/>
    <mergeCell ref="H60:H61"/>
    <mergeCell ref="C62:C63"/>
    <mergeCell ref="D62:D63"/>
    <mergeCell ref="E62:E63"/>
    <mergeCell ref="F62:F63"/>
    <mergeCell ref="H62:H63"/>
    <mergeCell ref="E56:E57"/>
    <mergeCell ref="F56:F57"/>
    <mergeCell ref="H56:H57"/>
    <mergeCell ref="C58:C59"/>
    <mergeCell ref="D58:D59"/>
    <mergeCell ref="E58:E59"/>
    <mergeCell ref="F58:F59"/>
    <mergeCell ref="H58:H59"/>
    <mergeCell ref="T52:T53"/>
    <mergeCell ref="C54:C55"/>
    <mergeCell ref="D54:D55"/>
    <mergeCell ref="E54:E55"/>
    <mergeCell ref="F54:F55"/>
    <mergeCell ref="H54:H55"/>
    <mergeCell ref="I54:I55"/>
    <mergeCell ref="T54:T75"/>
    <mergeCell ref="C56:C57"/>
    <mergeCell ref="D56:D57"/>
    <mergeCell ref="C64:C65"/>
    <mergeCell ref="D64:D65"/>
    <mergeCell ref="E64:E65"/>
    <mergeCell ref="F64:F65"/>
    <mergeCell ref="H64:H65"/>
    <mergeCell ref="I64:I65"/>
    <mergeCell ref="B46:B47"/>
    <mergeCell ref="C46:C47"/>
    <mergeCell ref="D46:D47"/>
    <mergeCell ref="E46:E47"/>
    <mergeCell ref="H46:H47"/>
    <mergeCell ref="E48:E49"/>
    <mergeCell ref="B52:B53"/>
    <mergeCell ref="C52:C53"/>
    <mergeCell ref="D52:D53"/>
    <mergeCell ref="E52:E53"/>
    <mergeCell ref="G52:G53"/>
    <mergeCell ref="H52:H53"/>
    <mergeCell ref="H48:H49"/>
    <mergeCell ref="B50:B51"/>
    <mergeCell ref="C50:C51"/>
    <mergeCell ref="D50:D51"/>
    <mergeCell ref="E50:E51"/>
    <mergeCell ref="H50:H51"/>
    <mergeCell ref="F40:F41"/>
    <mergeCell ref="H40:H41"/>
    <mergeCell ref="I40:I41"/>
    <mergeCell ref="E42:E43"/>
    <mergeCell ref="H42:H43"/>
    <mergeCell ref="H36:H37"/>
    <mergeCell ref="I36:I37"/>
    <mergeCell ref="T36:T41"/>
    <mergeCell ref="T42:T51"/>
    <mergeCell ref="E44:E45"/>
    <mergeCell ref="H44:H45"/>
    <mergeCell ref="I44:I45"/>
    <mergeCell ref="I48:I49"/>
    <mergeCell ref="V36:V37"/>
    <mergeCell ref="B38:B39"/>
    <mergeCell ref="C38:C39"/>
    <mergeCell ref="D38:D39"/>
    <mergeCell ref="E38:E39"/>
    <mergeCell ref="F38:F39"/>
    <mergeCell ref="H38:H39"/>
    <mergeCell ref="N34:N35"/>
    <mergeCell ref="O34:Q34"/>
    <mergeCell ref="R34:R35"/>
    <mergeCell ref="S34:S35"/>
    <mergeCell ref="T34:T35"/>
    <mergeCell ref="B36:B37"/>
    <mergeCell ref="C36:C37"/>
    <mergeCell ref="D36:D37"/>
    <mergeCell ref="E36:E37"/>
    <mergeCell ref="F36:F37"/>
    <mergeCell ref="I38:I39"/>
    <mergeCell ref="H31:J31"/>
    <mergeCell ref="G33:T33"/>
    <mergeCell ref="B34:B35"/>
    <mergeCell ref="C34:C35"/>
    <mergeCell ref="D34:D35"/>
    <mergeCell ref="E34:E35"/>
    <mergeCell ref="G34:G35"/>
    <mergeCell ref="H34:H35"/>
    <mergeCell ref="I34:I35"/>
    <mergeCell ref="J34:J35"/>
    <mergeCell ref="K34:M34"/>
    <mergeCell ref="O21:O23"/>
    <mergeCell ref="H22:H24"/>
    <mergeCell ref="L22:L24"/>
    <mergeCell ref="S24:T24"/>
    <mergeCell ref="X24:X31"/>
    <mergeCell ref="AC24:AD24"/>
    <mergeCell ref="H25:I25"/>
    <mergeCell ref="O25:P25"/>
    <mergeCell ref="AC25:AD28"/>
    <mergeCell ref="H26:J26"/>
    <mergeCell ref="L26:L27"/>
    <mergeCell ref="N26:T26"/>
    <mergeCell ref="H27:K27"/>
    <mergeCell ref="N27:N31"/>
    <mergeCell ref="S27:S28"/>
    <mergeCell ref="T27:T31"/>
    <mergeCell ref="H28:J28"/>
    <mergeCell ref="L28:L29"/>
    <mergeCell ref="H29:K29"/>
    <mergeCell ref="S29:S31"/>
    <mergeCell ref="AC29:AC31"/>
    <mergeCell ref="AD29:AD31"/>
    <mergeCell ref="H30:K30"/>
    <mergeCell ref="V30:V31"/>
    <mergeCell ref="G15:G24"/>
    <mergeCell ref="H15:I15"/>
    <mergeCell ref="J15:K15"/>
    <mergeCell ref="O15:P15"/>
    <mergeCell ref="S15:T15"/>
    <mergeCell ref="X15:AE16"/>
    <mergeCell ref="H16:H18"/>
    <mergeCell ref="L16:L18"/>
    <mergeCell ref="O16:P16"/>
    <mergeCell ref="S16:T16"/>
    <mergeCell ref="O17:P17"/>
    <mergeCell ref="S17:T17"/>
    <mergeCell ref="Y17:Z17"/>
    <mergeCell ref="AA17:AD17"/>
    <mergeCell ref="N18:N25"/>
    <mergeCell ref="O18:O20"/>
    <mergeCell ref="R18:R23"/>
    <mergeCell ref="S18:T23"/>
    <mergeCell ref="Y18:Z18"/>
    <mergeCell ref="AA18:AD18"/>
    <mergeCell ref="H19:H21"/>
    <mergeCell ref="L19:L21"/>
    <mergeCell ref="Y19:Z19"/>
    <mergeCell ref="AA19:AD19"/>
    <mergeCell ref="G8:G14"/>
    <mergeCell ref="H8:I8"/>
    <mergeCell ref="O8:O14"/>
    <mergeCell ref="P8:P10"/>
    <mergeCell ref="S8:T8"/>
    <mergeCell ref="H9:H13"/>
    <mergeCell ref="S9:T9"/>
    <mergeCell ref="S12:T12"/>
    <mergeCell ref="H14:I14"/>
    <mergeCell ref="S14:T14"/>
    <mergeCell ref="H5:L5"/>
    <mergeCell ref="O5:Q5"/>
    <mergeCell ref="O6:P6"/>
    <mergeCell ref="S6:T6"/>
    <mergeCell ref="H7:L7"/>
    <mergeCell ref="S7:T7"/>
    <mergeCell ref="G2:L2"/>
    <mergeCell ref="V2:W2"/>
    <mergeCell ref="H3:L3"/>
    <mergeCell ref="S3:T3"/>
    <mergeCell ref="H4:L4"/>
    <mergeCell ref="O4:Q4"/>
  </mergeCells>
  <phoneticPr fontId="2" type="noConversion"/>
  <printOptions horizontalCentered="1"/>
  <pageMargins left="0.7" right="0.7" top="0.75" bottom="0.75" header="0.3" footer="0.3"/>
  <pageSetup paperSize="8" scale="75" orientation="landscape" r:id="rId1"/>
  <headerFooter alignWithMargins="0"/>
  <rowBreaks count="1" manualBreakCount="1">
    <brk id="8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4F81BD"/>
    <pageSetUpPr autoPageBreaks="0" fitToPage="1"/>
  </sheetPr>
  <dimension ref="B1:AQ127"/>
  <sheetViews>
    <sheetView topLeftCell="G7" zoomScaleNormal="100" zoomScaleSheetLayoutView="100" workbookViewId="0">
      <selection activeCell="K34" sqref="K34:M34"/>
    </sheetView>
  </sheetViews>
  <sheetFormatPr defaultColWidth="8.77734375" defaultRowHeight="14.1" customHeight="1"/>
  <cols>
    <col min="1" max="2" width="8.77734375" style="2"/>
    <col min="3" max="3" width="10.21875" style="2" bestFit="1" customWidth="1"/>
    <col min="4" max="4" width="7.6640625" style="2" customWidth="1"/>
    <col min="5" max="5" width="9.77734375" style="2" bestFit="1" customWidth="1"/>
    <col min="6" max="6" width="8.77734375" style="2"/>
    <col min="7" max="7" width="13.21875" style="2" customWidth="1"/>
    <col min="8" max="9" width="9.21875" style="2" customWidth="1"/>
    <col min="10" max="13" width="11.6640625" style="2" customWidth="1"/>
    <col min="14" max="14" width="12.21875" style="2" bestFit="1" customWidth="1"/>
    <col min="15" max="15" width="14.44140625" style="2" customWidth="1"/>
    <col min="16" max="16" width="14.88671875" style="2" customWidth="1"/>
    <col min="17" max="17" width="13.5546875" style="2" customWidth="1"/>
    <col min="18" max="18" width="12.33203125" style="2" customWidth="1"/>
    <col min="19" max="19" width="11.109375" style="2" customWidth="1"/>
    <col min="20" max="20" width="14" style="2" customWidth="1"/>
    <col min="21" max="21" width="4.5546875" style="2" customWidth="1"/>
    <col min="22" max="22" width="10.77734375" style="2" customWidth="1"/>
    <col min="23" max="23" width="20.88671875" style="2" customWidth="1"/>
    <col min="24" max="24" width="10.33203125" style="2" bestFit="1" customWidth="1"/>
    <col min="25" max="25" width="10.6640625" style="2" bestFit="1" customWidth="1"/>
    <col min="26" max="26" width="18.33203125" style="2" customWidth="1"/>
    <col min="27" max="27" width="8.77734375" style="2" customWidth="1"/>
    <col min="28" max="28" width="11.77734375" style="2" customWidth="1"/>
    <col min="29" max="29" width="8.6640625" style="2" customWidth="1"/>
    <col min="30" max="30" width="9.6640625" style="2" customWidth="1"/>
    <col min="31" max="31" width="15.77734375" style="2" customWidth="1"/>
    <col min="32" max="32" width="13.5546875" style="2" bestFit="1" customWidth="1"/>
    <col min="33" max="33" width="14.44140625" style="2" bestFit="1" customWidth="1"/>
    <col min="34" max="34" width="15.44140625" style="2" bestFit="1" customWidth="1"/>
    <col min="35" max="35" width="10.5546875" style="2" bestFit="1" customWidth="1"/>
    <col min="36" max="16384" width="8.77734375" style="2"/>
  </cols>
  <sheetData>
    <row r="1" spans="3:31" ht="14.1" customHeight="1"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</row>
    <row r="2" spans="3:31" ht="18" customHeight="1" thickBot="1">
      <c r="F2" s="77"/>
      <c r="G2" s="839" t="s">
        <v>250</v>
      </c>
      <c r="H2" s="839"/>
      <c r="I2" s="839"/>
      <c r="J2" s="839"/>
      <c r="K2" s="839"/>
      <c r="L2" s="840"/>
      <c r="M2" s="70"/>
      <c r="N2" s="380" t="s">
        <v>33</v>
      </c>
      <c r="O2" s="381"/>
      <c r="P2" s="381"/>
      <c r="Q2" s="381"/>
      <c r="R2" s="381"/>
      <c r="T2" s="2">
        <v>7.21</v>
      </c>
      <c r="V2" s="1245">
        <v>44763</v>
      </c>
      <c r="W2" s="1246"/>
    </row>
    <row r="3" spans="3:31" ht="17.100000000000001" customHeight="1">
      <c r="E3" s="310">
        <v>0.7</v>
      </c>
      <c r="F3" s="77"/>
      <c r="G3" s="72" t="s">
        <v>52</v>
      </c>
      <c r="H3" s="844" t="s">
        <v>229</v>
      </c>
      <c r="I3" s="845"/>
      <c r="J3" s="845"/>
      <c r="K3" s="845"/>
      <c r="L3" s="846"/>
      <c r="M3" s="51"/>
      <c r="N3" s="53" t="s">
        <v>65</v>
      </c>
      <c r="O3" s="29"/>
      <c r="P3" s="84" t="s">
        <v>61</v>
      </c>
      <c r="Q3" s="30"/>
      <c r="R3" s="31" t="s">
        <v>10</v>
      </c>
      <c r="S3" s="847" t="s">
        <v>51</v>
      </c>
      <c r="T3" s="848"/>
    </row>
    <row r="4" spans="3:31" ht="17.100000000000001" customHeight="1" thickBot="1">
      <c r="E4" s="311" t="e">
        <f>J23/(J14*E3)</f>
        <v>#VALUE!</v>
      </c>
      <c r="F4" s="77"/>
      <c r="G4" s="73" t="s">
        <v>11</v>
      </c>
      <c r="H4" s="849" t="s">
        <v>230</v>
      </c>
      <c r="I4" s="850"/>
      <c r="J4" s="850"/>
      <c r="K4" s="850"/>
      <c r="L4" s="851"/>
      <c r="M4" s="51"/>
      <c r="N4" s="279" t="s">
        <v>4</v>
      </c>
      <c r="O4" s="852" t="e">
        <f>INDEX($N$103:$R$103,MATCH($H$78,$N$102:$R$102,1))</f>
        <v>#VALUE!</v>
      </c>
      <c r="P4" s="852"/>
      <c r="Q4" s="853"/>
      <c r="R4" s="32" t="e">
        <f>INDEX($N$104:$R$104,MATCH($H$78,$N$102:$R$102,1))</f>
        <v>#VALUE!</v>
      </c>
      <c r="S4" s="21"/>
      <c r="T4" s="67"/>
    </row>
    <row r="5" spans="3:31" ht="17.100000000000001" customHeight="1">
      <c r="F5" s="77"/>
      <c r="G5" s="73" t="s">
        <v>27</v>
      </c>
      <c r="H5" s="849" t="s">
        <v>231</v>
      </c>
      <c r="I5" s="850"/>
      <c r="J5" s="850"/>
      <c r="K5" s="850"/>
      <c r="L5" s="851"/>
      <c r="M5" s="51"/>
      <c r="N5" s="280" t="s">
        <v>5</v>
      </c>
      <c r="O5" s="857" t="s">
        <v>25</v>
      </c>
      <c r="P5" s="857"/>
      <c r="Q5" s="861"/>
      <c r="R5" s="33" t="s">
        <v>12</v>
      </c>
      <c r="S5" s="22"/>
      <c r="T5" s="68"/>
    </row>
    <row r="6" spans="3:31" ht="17.100000000000001" customHeight="1">
      <c r="F6" s="77"/>
      <c r="G6" s="73" t="s">
        <v>39</v>
      </c>
      <c r="H6" s="50" t="s">
        <v>235</v>
      </c>
      <c r="I6" s="185" t="e">
        <f>ROUNDUP(E4,0)</f>
        <v>#VALUE!</v>
      </c>
      <c r="J6" s="186"/>
      <c r="K6" s="186"/>
      <c r="L6" s="186"/>
      <c r="M6" s="51"/>
      <c r="N6" s="280" t="s">
        <v>6</v>
      </c>
      <c r="O6" s="862" t="e">
        <f>H78</f>
        <v>#VALUE!</v>
      </c>
      <c r="P6" s="862"/>
      <c r="Q6" s="23" t="e">
        <f>IF(H78&gt;=50, ROUNDUP((10+(H78-50)*0.05),2), "해당없음")</f>
        <v>#VALUE!</v>
      </c>
      <c r="R6" s="277">
        <f>'설계개요(1단지)'!R6+'설계개요(2)'!R6</f>
        <v>280</v>
      </c>
      <c r="S6" s="1143" t="s">
        <v>13</v>
      </c>
      <c r="T6" s="858"/>
    </row>
    <row r="7" spans="3:31" ht="17.100000000000001" customHeight="1">
      <c r="F7" s="77"/>
      <c r="G7" s="74" t="s">
        <v>40</v>
      </c>
      <c r="H7" s="863" t="s">
        <v>78</v>
      </c>
      <c r="I7" s="864"/>
      <c r="J7" s="864"/>
      <c r="K7" s="864"/>
      <c r="L7" s="865"/>
      <c r="M7" s="51"/>
      <c r="N7" s="281" t="s">
        <v>66</v>
      </c>
      <c r="O7" s="24"/>
      <c r="P7" s="63"/>
      <c r="Q7" s="25"/>
      <c r="R7" s="363">
        <f>'설계개요(1단지)'!R7+'설계개요(2)'!R7</f>
        <v>230</v>
      </c>
      <c r="S7" s="1143"/>
      <c r="T7" s="858"/>
    </row>
    <row r="8" spans="3:31" ht="17.100000000000001" customHeight="1">
      <c r="F8" s="77"/>
      <c r="G8" s="1134" t="s">
        <v>41</v>
      </c>
      <c r="H8" s="884" t="s">
        <v>3</v>
      </c>
      <c r="I8" s="885"/>
      <c r="J8" s="325">
        <v>182618.4</v>
      </c>
      <c r="K8" s="331">
        <f t="shared" ref="K8" si="0">ROUNDDOWN(J8*0.3025,2)</f>
        <v>55242.06</v>
      </c>
      <c r="L8" s="105">
        <f>J8/$J$8</f>
        <v>1</v>
      </c>
      <c r="M8" s="51"/>
      <c r="N8" s="279" t="s">
        <v>67</v>
      </c>
      <c r="O8" s="1092" t="s">
        <v>75</v>
      </c>
      <c r="P8" s="868" t="s">
        <v>146</v>
      </c>
      <c r="Q8" s="26">
        <v>500</v>
      </c>
      <c r="R8" s="361">
        <f>'설계개요(1단지)'!R8+'설계개요(2)'!R8</f>
        <v>1320</v>
      </c>
      <c r="S8" s="1241" t="s">
        <v>247</v>
      </c>
      <c r="T8" s="1242"/>
      <c r="Y8" s="173"/>
    </row>
    <row r="9" spans="3:31" ht="17.100000000000001" customHeight="1">
      <c r="F9" s="77"/>
      <c r="G9" s="1135"/>
      <c r="H9" s="1137" t="s">
        <v>14</v>
      </c>
      <c r="I9" s="65" t="s">
        <v>232</v>
      </c>
      <c r="J9" s="326">
        <v>6830.9</v>
      </c>
      <c r="K9" s="332">
        <f>ROUNDDOWN(J9*0.3025,2)</f>
        <v>2066.34</v>
      </c>
      <c r="L9" s="15">
        <f>J9/$J$8</f>
        <v>3.7405321698142133E-2</v>
      </c>
      <c r="M9" s="189"/>
      <c r="N9" s="280" t="s">
        <v>24</v>
      </c>
      <c r="O9" s="1093"/>
      <c r="P9" s="869"/>
      <c r="Q9" s="26">
        <v>725</v>
      </c>
      <c r="R9" s="362">
        <f>'설계개요(1단지)'!R9+'설계개요(2)'!R9</f>
        <v>1700</v>
      </c>
      <c r="S9" s="1241" t="s">
        <v>247</v>
      </c>
      <c r="T9" s="1242"/>
    </row>
    <row r="10" spans="3:31" ht="17.100000000000001" customHeight="1">
      <c r="C10" s="130" t="s">
        <v>158</v>
      </c>
      <c r="D10" s="289">
        <v>3</v>
      </c>
      <c r="E10" s="312" t="e">
        <f>$H$78*D10</f>
        <v>#VALUE!</v>
      </c>
      <c r="F10" s="77"/>
      <c r="G10" s="1135"/>
      <c r="H10" s="1138"/>
      <c r="I10" s="65" t="s">
        <v>233</v>
      </c>
      <c r="J10" s="326">
        <v>1000</v>
      </c>
      <c r="K10" s="332">
        <f>ROUNDDOWN(J10*0.3025,2)</f>
        <v>302.5</v>
      </c>
      <c r="L10" s="15">
        <f>J10/$J$8</f>
        <v>5.4758994712471474E-3</v>
      </c>
      <c r="M10" s="51"/>
      <c r="N10" s="280" t="s">
        <v>35</v>
      </c>
      <c r="O10" s="1093"/>
      <c r="P10" s="870"/>
      <c r="Q10" s="26">
        <v>298</v>
      </c>
      <c r="R10" s="277">
        <f>'설계개요(1단지)'!R10+'설계개요(2)'!R10</f>
        <v>1150</v>
      </c>
      <c r="S10" s="28"/>
      <c r="T10" s="68"/>
      <c r="W10" s="130"/>
      <c r="X10" s="149"/>
    </row>
    <row r="11" spans="3:31" ht="17.100000000000001" customHeight="1">
      <c r="F11" s="77"/>
      <c r="G11" s="1135"/>
      <c r="H11" s="1138"/>
      <c r="I11" s="65" t="s">
        <v>234</v>
      </c>
      <c r="J11" s="326">
        <v>14500</v>
      </c>
      <c r="K11" s="332">
        <f>ROUNDDOWN(J11*0.3025,2)</f>
        <v>4386.25</v>
      </c>
      <c r="L11" s="15">
        <f>J11/$J$8</f>
        <v>7.9400542333083635E-2</v>
      </c>
      <c r="M11" s="51"/>
      <c r="N11" s="55" t="s">
        <v>88</v>
      </c>
      <c r="O11" s="1093"/>
      <c r="P11" s="147" t="e">
        <f>IF(H78&gt;=500,"500세대이상 의무설치", "해당없음")</f>
        <v>#VALUE!</v>
      </c>
      <c r="Q11" s="26" t="e">
        <f>IF(H78&gt;=500,"66㎡ 이상", "해당없음")</f>
        <v>#VALUE!</v>
      </c>
      <c r="R11" s="250">
        <f>'설계개요(1단지)'!R11+'설계개요(2)'!R11</f>
        <v>600</v>
      </c>
      <c r="S11" s="28"/>
      <c r="T11" s="68"/>
    </row>
    <row r="12" spans="3:31" ht="17.100000000000001" customHeight="1">
      <c r="F12" s="77"/>
      <c r="G12" s="1135"/>
      <c r="H12" s="1138"/>
      <c r="I12" s="65"/>
      <c r="J12" s="326"/>
      <c r="K12" s="332"/>
      <c r="L12" s="15"/>
      <c r="M12" s="51"/>
      <c r="N12" s="55" t="s">
        <v>34</v>
      </c>
      <c r="O12" s="1093"/>
      <c r="P12" s="61"/>
      <c r="Q12" s="47"/>
      <c r="R12" s="277">
        <f>'설계개요(1단지)'!R12+'설계개요(2)'!R12</f>
        <v>9545</v>
      </c>
      <c r="S12" s="1140"/>
      <c r="T12" s="1141"/>
    </row>
    <row r="13" spans="3:31" ht="16.5" customHeight="1">
      <c r="F13" s="77"/>
      <c r="G13" s="1135"/>
      <c r="H13" s="1139"/>
      <c r="I13" s="65" t="s">
        <v>47</v>
      </c>
      <c r="J13" s="327">
        <f>SUM(J9:J12)</f>
        <v>22330.9</v>
      </c>
      <c r="K13" s="333">
        <f>ROUNDDOWN(J13*0.3025,2)</f>
        <v>6755.09</v>
      </c>
      <c r="L13" s="102">
        <f>J13/$J$8</f>
        <v>0.12228176350247293</v>
      </c>
      <c r="M13" s="51"/>
      <c r="N13" s="55" t="s">
        <v>76</v>
      </c>
      <c r="O13" s="1093"/>
      <c r="P13" s="202" t="e">
        <f>IF(H78&gt;=500,"500세대이상 의무설치", "해당없음")</f>
        <v>#VALUE!</v>
      </c>
      <c r="Q13" s="47"/>
      <c r="R13" s="277">
        <f>'설계개요(1단지)'!R13+'설계개요(2)'!R13</f>
        <v>1800</v>
      </c>
      <c r="S13" s="22"/>
      <c r="T13" s="68"/>
      <c r="W13" s="130"/>
      <c r="X13" s="177"/>
    </row>
    <row r="14" spans="3:31" ht="17.100000000000001" customHeight="1">
      <c r="F14" s="77"/>
      <c r="G14" s="1136"/>
      <c r="H14" s="1115" t="s">
        <v>42</v>
      </c>
      <c r="I14" s="1116"/>
      <c r="J14" s="328">
        <f>J8-J13</f>
        <v>160287.5</v>
      </c>
      <c r="K14" s="334">
        <f>ROUNDDOWN(J14*0.3025,2)</f>
        <v>48486.96</v>
      </c>
      <c r="L14" s="18">
        <f>J14/$J$8</f>
        <v>0.87771823649752712</v>
      </c>
      <c r="M14" s="51"/>
      <c r="N14" s="55" t="s">
        <v>77</v>
      </c>
      <c r="O14" s="1094"/>
      <c r="P14" s="202" t="e">
        <f>IF(H78&lt;100,"해당없음",IF(H78&lt;300,"지역여건에 맞게 설치",IF(H78&lt;1000,"200㎡+세대당 1㎡",IF(H78&gt;1000,"500㎡+세대당 0.7㎡"))))</f>
        <v>#VALUE!</v>
      </c>
      <c r="Q14" s="26" t="e">
        <f>500+(H78*0.7)</f>
        <v>#VALUE!</v>
      </c>
      <c r="R14" s="283">
        <f>'설계개요(1단지)'!R14+'설계개요(2)'!R14</f>
        <v>3900</v>
      </c>
      <c r="S14" s="1095"/>
      <c r="T14" s="1142"/>
      <c r="W14" s="177"/>
    </row>
    <row r="15" spans="3:31" ht="17.100000000000001" customHeight="1">
      <c r="C15" s="2">
        <v>120698</v>
      </c>
      <c r="F15" s="77"/>
      <c r="G15" s="881" t="s">
        <v>43</v>
      </c>
      <c r="H15" s="1145" t="s">
        <v>70</v>
      </c>
      <c r="I15" s="1082"/>
      <c r="J15" s="1146" t="s">
        <v>71</v>
      </c>
      <c r="K15" s="1147"/>
      <c r="L15" s="335" t="s">
        <v>72</v>
      </c>
      <c r="M15" s="51"/>
      <c r="N15" s="282" t="s">
        <v>26</v>
      </c>
      <c r="O15" s="892" t="s">
        <v>238</v>
      </c>
      <c r="P15" s="893"/>
      <c r="Q15" s="198" t="e">
        <f>500+($H$78*2)*1.25</f>
        <v>#VALUE!</v>
      </c>
      <c r="R15" s="254">
        <f>R8+R9+R10+R11+R12+R13+R14</f>
        <v>20015</v>
      </c>
      <c r="S15" s="894" t="s">
        <v>80</v>
      </c>
      <c r="T15" s="895"/>
      <c r="W15" s="177"/>
      <c r="X15" s="889"/>
      <c r="Y15" s="889"/>
      <c r="Z15" s="889"/>
      <c r="AA15" s="889"/>
      <c r="AB15" s="889"/>
      <c r="AC15" s="889"/>
      <c r="AD15" s="889"/>
      <c r="AE15" s="889"/>
    </row>
    <row r="16" spans="3:31" ht="17.100000000000001" customHeight="1">
      <c r="C16" s="2">
        <v>93504.3</v>
      </c>
      <c r="D16" s="145">
        <f>C16/C15</f>
        <v>0.77469634956668709</v>
      </c>
      <c r="F16" s="77"/>
      <c r="G16" s="882"/>
      <c r="H16" s="1112" t="s">
        <v>44</v>
      </c>
      <c r="I16" s="66" t="s">
        <v>45</v>
      </c>
      <c r="J16" s="329" t="e">
        <f>N78+R8+R9+R7</f>
        <v>#VALUE!</v>
      </c>
      <c r="K16" s="332" t="e">
        <f t="shared" ref="K16:K24" si="1">ROUNDDOWN(J16*0.3025,2)</f>
        <v>#VALUE!</v>
      </c>
      <c r="L16" s="1148" t="e">
        <f>J16/$J$22</f>
        <v>#VALUE!</v>
      </c>
      <c r="M16" s="51"/>
      <c r="N16" s="279" t="s">
        <v>36</v>
      </c>
      <c r="O16" s="1151" t="s">
        <v>85</v>
      </c>
      <c r="P16" s="1152"/>
      <c r="Q16" s="199">
        <f>J14*0.15</f>
        <v>24043.125</v>
      </c>
      <c r="R16" s="200">
        <f>ROUNDUP(Q16,-2)+100</f>
        <v>24200</v>
      </c>
      <c r="S16" s="1153"/>
      <c r="T16" s="1154"/>
      <c r="V16" s="337" t="s">
        <v>188</v>
      </c>
      <c r="X16" s="889"/>
      <c r="Y16" s="889"/>
      <c r="Z16" s="889"/>
      <c r="AA16" s="889"/>
      <c r="AB16" s="889"/>
      <c r="AC16" s="889"/>
      <c r="AD16" s="889"/>
      <c r="AE16" s="889"/>
    </row>
    <row r="17" spans="6:30" ht="17.100000000000001" customHeight="1">
      <c r="F17" s="77"/>
      <c r="G17" s="882"/>
      <c r="H17" s="1113"/>
      <c r="I17" s="66" t="s">
        <v>46</v>
      </c>
      <c r="J17" s="329" t="e">
        <f>O78+Q78+R6+R10+R12+R11</f>
        <v>#VALUE!</v>
      </c>
      <c r="K17" s="332" t="e">
        <f t="shared" si="1"/>
        <v>#VALUE!</v>
      </c>
      <c r="L17" s="1149"/>
      <c r="M17" s="51"/>
      <c r="N17" s="279" t="s">
        <v>233</v>
      </c>
      <c r="O17" s="1151"/>
      <c r="P17" s="1152"/>
      <c r="Q17" s="199"/>
      <c r="R17" s="200">
        <v>1000</v>
      </c>
      <c r="S17" s="1153" t="s">
        <v>246</v>
      </c>
      <c r="T17" s="1154"/>
      <c r="V17" s="338">
        <v>40</v>
      </c>
      <c r="X17" s="174"/>
      <c r="Y17" s="890"/>
      <c r="Z17" s="891"/>
      <c r="AA17" s="907"/>
      <c r="AB17" s="891"/>
      <c r="AC17" s="891"/>
      <c r="AD17" s="891"/>
    </row>
    <row r="18" spans="6:30" ht="17.100000000000001" customHeight="1">
      <c r="F18" s="77"/>
      <c r="G18" s="882"/>
      <c r="H18" s="1114"/>
      <c r="I18" s="66" t="s">
        <v>47</v>
      </c>
      <c r="J18" s="329" t="e">
        <f>SUM(J16:J17)</f>
        <v>#VALUE!</v>
      </c>
      <c r="K18" s="332" t="e">
        <f t="shared" si="1"/>
        <v>#VALUE!</v>
      </c>
      <c r="L18" s="1150"/>
      <c r="M18" s="51"/>
      <c r="N18" s="1155" t="s">
        <v>37</v>
      </c>
      <c r="O18" s="874" t="s">
        <v>81</v>
      </c>
      <c r="P18" s="197" t="s">
        <v>122</v>
      </c>
      <c r="Q18" s="284" t="e">
        <f>ROUNDUP((SUMPRODUCT(H36:H51,J36:J51)+SUMPRODUCT(H56:H63,J56:J63))/75,0)</f>
        <v>#VALUE!</v>
      </c>
      <c r="R18" s="1158" t="e">
        <f>H78*S18</f>
        <v>#VALUE!</v>
      </c>
      <c r="S18" s="968">
        <v>1.5</v>
      </c>
      <c r="T18" s="969"/>
      <c r="X18" s="175"/>
      <c r="Y18" s="908"/>
      <c r="Z18" s="909"/>
      <c r="AA18" s="910"/>
      <c r="AB18" s="911"/>
      <c r="AC18" s="911"/>
      <c r="AD18" s="911"/>
    </row>
    <row r="19" spans="6:30" ht="17.100000000000001" customHeight="1">
      <c r="F19" s="77"/>
      <c r="G19" s="882"/>
      <c r="H19" s="1161" t="s">
        <v>38</v>
      </c>
      <c r="I19" s="65" t="s">
        <v>45</v>
      </c>
      <c r="J19" s="329">
        <f>M85</f>
        <v>4320</v>
      </c>
      <c r="K19" s="332">
        <f t="shared" si="1"/>
        <v>1306.8</v>
      </c>
      <c r="L19" s="1148" t="e">
        <f>J19/$J$22</f>
        <v>#VALUE!</v>
      </c>
      <c r="M19" s="51"/>
      <c r="N19" s="1156"/>
      <c r="O19" s="875"/>
      <c r="P19" s="150" t="s">
        <v>123</v>
      </c>
      <c r="Q19" s="286" t="e">
        <f>ROUNDUP((SUMPRODUCT(H64:H75,J64:J75))/65,0)</f>
        <v>#VALUE!</v>
      </c>
      <c r="R19" s="1159"/>
      <c r="S19" s="970"/>
      <c r="T19" s="971"/>
      <c r="W19" s="2">
        <f>'설계개요(1단지)'!J17+'설계개요(2)'!J16</f>
        <v>322368.46999999997</v>
      </c>
      <c r="X19" s="176"/>
      <c r="Y19" s="908"/>
      <c r="Z19" s="909"/>
      <c r="AA19" s="910"/>
      <c r="AB19" s="911"/>
      <c r="AC19" s="911"/>
      <c r="AD19" s="911"/>
    </row>
    <row r="20" spans="6:30" ht="17.100000000000001" customHeight="1">
      <c r="F20" s="77"/>
      <c r="G20" s="882"/>
      <c r="H20" s="1162"/>
      <c r="I20" s="65" t="s">
        <v>46</v>
      </c>
      <c r="J20" s="329">
        <f>M87+O89+P89</f>
        <v>6200</v>
      </c>
      <c r="K20" s="332">
        <f t="shared" si="1"/>
        <v>1875.5</v>
      </c>
      <c r="L20" s="1149"/>
      <c r="M20" s="51"/>
      <c r="N20" s="1156"/>
      <c r="O20" s="876"/>
      <c r="P20" s="151" t="s">
        <v>82</v>
      </c>
      <c r="Q20" s="285" t="e">
        <f>SUM(Q18:Q19)</f>
        <v>#VALUE!</v>
      </c>
      <c r="R20" s="1159"/>
      <c r="S20" s="970"/>
      <c r="T20" s="971"/>
      <c r="W20" s="2">
        <f>'설계개요(1단지)'!J18+'설계개요(2)'!J17</f>
        <v>234525</v>
      </c>
    </row>
    <row r="21" spans="6:30" ht="17.100000000000001" customHeight="1">
      <c r="F21" s="77"/>
      <c r="G21" s="882"/>
      <c r="H21" s="1163"/>
      <c r="I21" s="65" t="s">
        <v>47</v>
      </c>
      <c r="J21" s="329">
        <f>J19+J20</f>
        <v>10520</v>
      </c>
      <c r="K21" s="332">
        <f t="shared" si="1"/>
        <v>3182.3</v>
      </c>
      <c r="L21" s="1150"/>
      <c r="M21" s="51"/>
      <c r="N21" s="1156"/>
      <c r="O21" s="874" t="s">
        <v>86</v>
      </c>
      <c r="P21" s="159" t="s">
        <v>240</v>
      </c>
      <c r="Q21" s="284" t="e">
        <f>(SUM(H36:H47)+SUM(H56:H59))*0.8</f>
        <v>#VALUE!</v>
      </c>
      <c r="R21" s="1159"/>
      <c r="S21" s="970"/>
      <c r="T21" s="971"/>
      <c r="U21"/>
      <c r="V21"/>
      <c r="W21" s="2">
        <f>W19+W20</f>
        <v>556893.47</v>
      </c>
    </row>
    <row r="22" spans="6:30" ht="17.100000000000001" customHeight="1">
      <c r="F22" s="77"/>
      <c r="G22" s="882"/>
      <c r="H22" s="1161" t="s">
        <v>1</v>
      </c>
      <c r="I22" s="65" t="s">
        <v>45</v>
      </c>
      <c r="J22" s="326" t="e">
        <f>J16+J19</f>
        <v>#VALUE!</v>
      </c>
      <c r="K22" s="332" t="e">
        <f t="shared" si="1"/>
        <v>#VALUE!</v>
      </c>
      <c r="L22" s="1148" t="e">
        <f>J22/$J$22</f>
        <v>#VALUE!</v>
      </c>
      <c r="M22" s="276"/>
      <c r="N22" s="1156"/>
      <c r="O22" s="875"/>
      <c r="P22" s="160" t="s">
        <v>241</v>
      </c>
      <c r="Q22" s="286" t="e">
        <f>(SUM(H48:H51)+SUM(H60:H75))*1</f>
        <v>#VALUE!</v>
      </c>
      <c r="R22" s="1159"/>
      <c r="S22" s="970"/>
      <c r="T22" s="971"/>
      <c r="U22"/>
      <c r="V22"/>
      <c r="W22" s="2">
        <f>'설계개요(1단지)'!J20+'설계개요(2)'!J19</f>
        <v>4320</v>
      </c>
    </row>
    <row r="23" spans="6:30" ht="17.100000000000001" customHeight="1">
      <c r="F23" s="77"/>
      <c r="G23" s="882"/>
      <c r="H23" s="1162"/>
      <c r="I23" s="65" t="s">
        <v>46</v>
      </c>
      <c r="J23" s="326" t="e">
        <f>J17+J20</f>
        <v>#VALUE!</v>
      </c>
      <c r="K23" s="332" t="e">
        <f t="shared" si="1"/>
        <v>#VALUE!</v>
      </c>
      <c r="L23" s="1149"/>
      <c r="M23" s="51"/>
      <c r="N23" s="1156"/>
      <c r="O23" s="876"/>
      <c r="P23" s="152" t="s">
        <v>82</v>
      </c>
      <c r="Q23" s="285" t="e">
        <f>SUM(Q21:Q22)</f>
        <v>#VALUE!</v>
      </c>
      <c r="R23" s="1160"/>
      <c r="S23" s="972"/>
      <c r="T23" s="973"/>
      <c r="U23"/>
      <c r="V23"/>
      <c r="W23" s="2">
        <f>'설계개요(1단지)'!J21+'설계개요(2)'!J20</f>
        <v>6200</v>
      </c>
    </row>
    <row r="24" spans="6:30" ht="17.100000000000001" customHeight="1">
      <c r="F24" s="77"/>
      <c r="G24" s="1144"/>
      <c r="H24" s="1164"/>
      <c r="I24" s="263" t="s">
        <v>1</v>
      </c>
      <c r="J24" s="330" t="e">
        <f>J18+J21</f>
        <v>#VALUE!</v>
      </c>
      <c r="K24" s="334" t="e">
        <f t="shared" si="1"/>
        <v>#VALUE!</v>
      </c>
      <c r="L24" s="1165"/>
      <c r="M24" s="51"/>
      <c r="N24" s="1156"/>
      <c r="O24" s="153" t="s">
        <v>38</v>
      </c>
      <c r="P24" s="154">
        <v>134</v>
      </c>
      <c r="Q24" s="287">
        <f>(M89+O89)/P24</f>
        <v>57.611940298507463</v>
      </c>
      <c r="R24" s="290">
        <f>ROUNDUP(Q24*S24,0)</f>
        <v>70</v>
      </c>
      <c r="S24" s="1243">
        <v>1.2</v>
      </c>
      <c r="T24" s="1244"/>
      <c r="U24"/>
      <c r="V24"/>
      <c r="W24" s="2">
        <f>W22+W23</f>
        <v>10520</v>
      </c>
      <c r="X24" s="918"/>
      <c r="Y24" s="161"/>
      <c r="Z24" s="162"/>
      <c r="AA24" s="162"/>
      <c r="AB24" s="163"/>
      <c r="AC24" s="921"/>
      <c r="AD24" s="922"/>
    </row>
    <row r="25" spans="6:30" ht="17.100000000000001" customHeight="1">
      <c r="F25" s="77"/>
      <c r="G25" s="309"/>
      <c r="H25" s="1168"/>
      <c r="I25" s="1169"/>
      <c r="J25" s="303"/>
      <c r="K25" s="304"/>
      <c r="M25" s="51"/>
      <c r="N25" s="1157"/>
      <c r="O25" s="912" t="s">
        <v>69</v>
      </c>
      <c r="P25" s="913"/>
      <c r="Q25" s="288" t="e">
        <f>Q20+Q24</f>
        <v>#VALUE!</v>
      </c>
      <c r="R25" s="291" t="e">
        <f>SUM(R18+R24)</f>
        <v>#VALUE!</v>
      </c>
      <c r="S25" s="306"/>
      <c r="T25" s="307"/>
      <c r="U25"/>
      <c r="V25" s="313"/>
      <c r="W25" s="2">
        <f>'설계개요(1단지)'!J26+'설계개요(2)'!J22</f>
        <v>326688.46999999997</v>
      </c>
      <c r="X25" s="919"/>
      <c r="Y25" s="165"/>
      <c r="Z25" s="157"/>
      <c r="AA25" s="171"/>
      <c r="AB25" s="157"/>
      <c r="AC25" s="923"/>
      <c r="AD25" s="924"/>
    </row>
    <row r="26" spans="6:30" ht="17.100000000000001" customHeight="1">
      <c r="F26" s="77"/>
      <c r="G26" s="72" t="s">
        <v>48</v>
      </c>
      <c r="H26" s="1105">
        <f>'설계개요(1단지)'!H30:J30+'설계개요(2)'!H26:J26</f>
        <v>20531.45</v>
      </c>
      <c r="I26" s="1106"/>
      <c r="J26" s="1107"/>
      <c r="K26" s="12">
        <f>ROUNDDOWN(H26*0.3025,2)</f>
        <v>6210.76</v>
      </c>
      <c r="L26" s="1170">
        <v>50</v>
      </c>
      <c r="M26" s="51"/>
      <c r="N26" s="1172"/>
      <c r="O26" s="1173"/>
      <c r="P26" s="1173"/>
      <c r="Q26" s="1173"/>
      <c r="R26" s="1173"/>
      <c r="S26" s="1173"/>
      <c r="T26" s="1173"/>
      <c r="U26"/>
      <c r="V26" s="313"/>
      <c r="W26" s="2">
        <f>'설계개요(1단지)'!J27+'설계개요(2)'!J23</f>
        <v>240725</v>
      </c>
      <c r="X26" s="919"/>
      <c r="Y26" s="165"/>
      <c r="Z26" s="157"/>
      <c r="AA26" s="314"/>
      <c r="AB26" s="157"/>
      <c r="AC26" s="925"/>
      <c r="AD26" s="926"/>
    </row>
    <row r="27" spans="6:30" ht="17.100000000000001" customHeight="1">
      <c r="F27" s="77"/>
      <c r="G27" s="74" t="s">
        <v>0</v>
      </c>
      <c r="H27" s="1108">
        <f>H26/J14</f>
        <v>0.12809139826873586</v>
      </c>
      <c r="I27" s="1109"/>
      <c r="J27" s="1109"/>
      <c r="K27" s="1110"/>
      <c r="L27" s="1171"/>
      <c r="M27" s="51"/>
      <c r="N27" s="879" t="s">
        <v>236</v>
      </c>
      <c r="O27" s="339" t="e">
        <f>H29</f>
        <v>#VALUE!</v>
      </c>
      <c r="P27" s="340">
        <v>2.5</v>
      </c>
      <c r="Q27" s="341">
        <v>2</v>
      </c>
      <c r="R27" s="342" t="e">
        <f>(O27-P27)/Q27</f>
        <v>#VALUE!</v>
      </c>
      <c r="S27" s="1175" t="e">
        <f>R28</f>
        <v>#VALUE!</v>
      </c>
      <c r="T27" s="1177" t="e">
        <f>P29+P30+P31</f>
        <v>#VALUE!</v>
      </c>
      <c r="U27"/>
      <c r="V27" s="313"/>
      <c r="W27" s="2">
        <f>W25+W26</f>
        <v>567413.47</v>
      </c>
      <c r="X27" s="919"/>
      <c r="Y27" s="165"/>
      <c r="Z27" s="157"/>
      <c r="AA27" s="314"/>
      <c r="AB27" s="157"/>
      <c r="AC27" s="925"/>
      <c r="AD27" s="926"/>
    </row>
    <row r="28" spans="6:30" ht="17.100000000000001" customHeight="1">
      <c r="F28" s="77"/>
      <c r="G28" s="75" t="s">
        <v>64</v>
      </c>
      <c r="H28" s="1105" t="e">
        <f>J22-R8-R9</f>
        <v>#VALUE!</v>
      </c>
      <c r="I28" s="1106"/>
      <c r="J28" s="1107"/>
      <c r="K28" s="12" t="e">
        <f>ROUNDDOWN(H28*0.3025,2)</f>
        <v>#VALUE!</v>
      </c>
      <c r="L28" s="1180" t="s">
        <v>201</v>
      </c>
      <c r="M28" s="51"/>
      <c r="N28" s="1174"/>
      <c r="O28" s="343"/>
      <c r="P28" s="344">
        <f>J14</f>
        <v>160287.5</v>
      </c>
      <c r="Q28" s="345" t="e">
        <f>R27</f>
        <v>#VALUE!</v>
      </c>
      <c r="R28" s="346" t="e">
        <f>P28*Q28</f>
        <v>#VALUE!</v>
      </c>
      <c r="S28" s="1176"/>
      <c r="T28" s="1178"/>
      <c r="U28" s="274"/>
      <c r="V28" s="275"/>
      <c r="X28" s="919"/>
      <c r="Y28" s="167"/>
      <c r="Z28" s="168"/>
      <c r="AA28" s="172"/>
      <c r="AB28" s="168"/>
      <c r="AC28" s="925"/>
      <c r="AD28" s="926"/>
    </row>
    <row r="29" spans="6:30" ht="17.100000000000001" customHeight="1">
      <c r="F29" s="77"/>
      <c r="G29" s="74" t="s">
        <v>62</v>
      </c>
      <c r="H29" s="854" t="e">
        <f>H28/J14</f>
        <v>#VALUE!</v>
      </c>
      <c r="I29" s="855"/>
      <c r="J29" s="855"/>
      <c r="K29" s="856"/>
      <c r="L29" s="1181"/>
      <c r="M29" s="51"/>
      <c r="N29" s="1174"/>
      <c r="O29" s="347">
        <f>G45</f>
        <v>49</v>
      </c>
      <c r="P29" s="348" t="e">
        <f>H42</f>
        <v>#VALUE!</v>
      </c>
      <c r="Q29" s="349">
        <f>N42</f>
        <v>67.699999999999989</v>
      </c>
      <c r="R29" s="350" t="e">
        <f>P29*Q29</f>
        <v>#VALUE!</v>
      </c>
      <c r="S29" s="1182" t="e">
        <f>R29+R30+R31</f>
        <v>#VALUE!</v>
      </c>
      <c r="T29" s="1178"/>
      <c r="U29" s="274"/>
      <c r="V29" s="378" t="e">
        <f>S29-S27</f>
        <v>#VALUE!</v>
      </c>
      <c r="W29" s="169"/>
      <c r="X29" s="919"/>
      <c r="Y29" s="165"/>
      <c r="Z29" s="157"/>
      <c r="AA29" s="170"/>
      <c r="AB29" s="157"/>
      <c r="AC29" s="927"/>
      <c r="AD29" s="929"/>
    </row>
    <row r="30" spans="6:30" ht="17.100000000000001" customHeight="1">
      <c r="F30" s="77"/>
      <c r="G30" s="72" t="s">
        <v>63</v>
      </c>
      <c r="H30" s="1088" t="e">
        <f>H78</f>
        <v>#VALUE!</v>
      </c>
      <c r="I30" s="1089"/>
      <c r="J30" s="1089"/>
      <c r="K30" s="1090"/>
      <c r="L30" s="20"/>
      <c r="M30" s="51"/>
      <c r="N30" s="1174"/>
      <c r="O30" s="351">
        <f>G47</f>
        <v>59</v>
      </c>
      <c r="P30" s="352" t="e">
        <f>H46</f>
        <v>#VALUE!</v>
      </c>
      <c r="Q30" s="353">
        <f>N46</f>
        <v>82.65</v>
      </c>
      <c r="R30" s="354" t="e">
        <f>P30*Q30</f>
        <v>#VALUE!</v>
      </c>
      <c r="S30" s="1183"/>
      <c r="T30" s="1178"/>
      <c r="U30"/>
      <c r="V30" s="1185"/>
      <c r="W30" s="169"/>
      <c r="X30" s="919"/>
      <c r="Y30" s="230"/>
      <c r="Z30" s="231"/>
      <c r="AA30" s="232"/>
      <c r="AB30" s="231"/>
      <c r="AC30" s="927"/>
      <c r="AD30" s="929"/>
    </row>
    <row r="31" spans="6:30" ht="17.100000000000001" customHeight="1">
      <c r="F31" s="77"/>
      <c r="G31" s="74" t="s">
        <v>37</v>
      </c>
      <c r="H31" s="949" t="e">
        <f>R25</f>
        <v>#VALUE!</v>
      </c>
      <c r="I31" s="950"/>
      <c r="J31" s="950"/>
      <c r="K31" s="164"/>
      <c r="L31" s="62" t="e">
        <f>$R$18/$H$78</f>
        <v>#VALUE!</v>
      </c>
      <c r="M31" s="51"/>
      <c r="N31" s="1174"/>
      <c r="O31" s="355">
        <f>G51</f>
        <v>84</v>
      </c>
      <c r="P31" s="356" t="e">
        <f>H50</f>
        <v>#VALUE!</v>
      </c>
      <c r="Q31" s="357">
        <f>N50</f>
        <v>112.95</v>
      </c>
      <c r="R31" s="346" t="e">
        <f>P31*Q31</f>
        <v>#VALUE!</v>
      </c>
      <c r="S31" s="1184"/>
      <c r="T31" s="1179"/>
      <c r="U31"/>
      <c r="V31" s="1186"/>
      <c r="X31" s="920"/>
      <c r="Y31" s="166"/>
      <c r="Z31" s="158"/>
      <c r="AA31" s="166"/>
      <c r="AB31" s="158"/>
      <c r="AC31" s="928"/>
      <c r="AD31" s="930"/>
    </row>
    <row r="32" spans="6:30" ht="6.75" customHeight="1">
      <c r="F32" s="77"/>
      <c r="G32" s="76"/>
      <c r="H32" s="57"/>
      <c r="I32" s="57"/>
      <c r="J32" s="57"/>
      <c r="K32" s="57"/>
      <c r="L32" s="57"/>
      <c r="M32" s="52"/>
      <c r="N32" s="57"/>
      <c r="O32" s="57"/>
      <c r="P32" s="57"/>
      <c r="Q32" s="57"/>
      <c r="R32" s="57"/>
      <c r="S32" s="57"/>
      <c r="T32" s="57"/>
      <c r="U32"/>
      <c r="V32" s="10"/>
    </row>
    <row r="33" spans="2:25" ht="17.25">
      <c r="F33" s="77"/>
      <c r="G33" s="951" t="s">
        <v>31</v>
      </c>
      <c r="H33" s="951"/>
      <c r="I33" s="951"/>
      <c r="J33" s="951"/>
      <c r="K33" s="951"/>
      <c r="L33" s="951"/>
      <c r="M33" s="951"/>
      <c r="N33" s="951"/>
      <c r="O33" s="951"/>
      <c r="P33" s="951"/>
      <c r="Q33" s="951"/>
      <c r="R33" s="951"/>
      <c r="S33" s="951"/>
      <c r="T33" s="952"/>
      <c r="W33" s="1105"/>
      <c r="X33" s="1106"/>
      <c r="Y33" s="1107"/>
    </row>
    <row r="34" spans="2:25" s="4" customFormat="1" ht="15.75" customHeight="1">
      <c r="B34" s="1122"/>
      <c r="C34" s="1122"/>
      <c r="D34" s="1122"/>
      <c r="E34" s="1122"/>
      <c r="F34" s="78"/>
      <c r="G34" s="957" t="s">
        <v>16</v>
      </c>
      <c r="H34" s="877" t="s">
        <v>2</v>
      </c>
      <c r="I34" s="877" t="s">
        <v>17</v>
      </c>
      <c r="J34" s="877" t="s">
        <v>18</v>
      </c>
      <c r="K34" s="877" t="s">
        <v>19</v>
      </c>
      <c r="L34" s="877"/>
      <c r="M34" s="877"/>
      <c r="N34" s="877" t="s">
        <v>8</v>
      </c>
      <c r="O34" s="877" t="s">
        <v>30</v>
      </c>
      <c r="P34" s="877"/>
      <c r="Q34" s="877"/>
      <c r="R34" s="877" t="s">
        <v>23</v>
      </c>
      <c r="S34" s="877" t="s">
        <v>20</v>
      </c>
      <c r="T34" s="956" t="s">
        <v>68</v>
      </c>
    </row>
    <row r="35" spans="2:25" s="4" customFormat="1" ht="15.75" customHeight="1">
      <c r="B35" s="1122"/>
      <c r="C35" s="1122"/>
      <c r="D35" s="1122"/>
      <c r="E35" s="1122"/>
      <c r="F35" s="78"/>
      <c r="G35" s="958"/>
      <c r="H35" s="878"/>
      <c r="I35" s="878"/>
      <c r="J35" s="878"/>
      <c r="K35" s="80" t="s">
        <v>21</v>
      </c>
      <c r="L35" s="80" t="s">
        <v>142</v>
      </c>
      <c r="M35" s="80" t="s">
        <v>22</v>
      </c>
      <c r="N35" s="878"/>
      <c r="O35" s="80" t="s">
        <v>28</v>
      </c>
      <c r="P35" s="80" t="s">
        <v>15</v>
      </c>
      <c r="Q35" s="80" t="s">
        <v>32</v>
      </c>
      <c r="R35" s="878"/>
      <c r="S35" s="878"/>
      <c r="T35" s="878"/>
      <c r="W35" s="2"/>
    </row>
    <row r="36" spans="2:25" ht="11.25" hidden="1" customHeight="1">
      <c r="B36" s="1127"/>
      <c r="C36" s="1121"/>
      <c r="D36" s="1121"/>
      <c r="E36" s="1121" t="e">
        <f>ROUNDUP(H78*0.05,0)</f>
        <v>#VALUE!</v>
      </c>
      <c r="F36" s="1187" t="e">
        <f>H36/#REF!</f>
        <v>#REF!</v>
      </c>
      <c r="G36" s="297">
        <f>ROUNDDOWN(N37,0)</f>
        <v>17</v>
      </c>
      <c r="H36" s="1194"/>
      <c r="I36" s="1195" t="e">
        <f>H36/$H$78</f>
        <v>#VALUE!</v>
      </c>
      <c r="J36" s="299">
        <f>J54</f>
        <v>39.96</v>
      </c>
      <c r="K36" s="299">
        <f>K54</f>
        <v>3.65</v>
      </c>
      <c r="L36" s="299">
        <f>L54</f>
        <v>14.8</v>
      </c>
      <c r="M36" s="299">
        <f>K36+L36</f>
        <v>18.45</v>
      </c>
      <c r="N36" s="299">
        <f>J36+M36</f>
        <v>58.41</v>
      </c>
      <c r="O36" s="299" t="e">
        <f>$O$78/$J$78*J36</f>
        <v>#VALUE!</v>
      </c>
      <c r="P36" s="299" t="e">
        <f>$P$78/$J$78*J36</f>
        <v>#VALUE!</v>
      </c>
      <c r="Q36" s="299" t="e">
        <f>$Q$78/$J$78*J36</f>
        <v>#VALUE!</v>
      </c>
      <c r="R36" s="299" t="e">
        <f>O36+P36+Q36</f>
        <v>#VALUE!</v>
      </c>
      <c r="S36" s="299" t="e">
        <f>N36+R36</f>
        <v>#VALUE!</v>
      </c>
      <c r="T36" s="1196" t="s">
        <v>216</v>
      </c>
      <c r="V36" s="905"/>
    </row>
    <row r="37" spans="2:25" ht="11.25" hidden="1" customHeight="1">
      <c r="B37" s="1076"/>
      <c r="C37" s="1121"/>
      <c r="D37" s="1121"/>
      <c r="E37" s="1121"/>
      <c r="F37" s="1187"/>
      <c r="G37" s="296">
        <v>39</v>
      </c>
      <c r="H37" s="1189"/>
      <c r="I37" s="1191"/>
      <c r="J37" s="298">
        <f t="shared" ref="J37:S37" si="2">ROUNDDOWN(J36*0.3025,2)</f>
        <v>12.08</v>
      </c>
      <c r="K37" s="298">
        <f t="shared" si="2"/>
        <v>1.1000000000000001</v>
      </c>
      <c r="L37" s="298">
        <f t="shared" si="2"/>
        <v>4.47</v>
      </c>
      <c r="M37" s="298">
        <f t="shared" si="2"/>
        <v>5.58</v>
      </c>
      <c r="N37" s="298">
        <f t="shared" si="2"/>
        <v>17.66</v>
      </c>
      <c r="O37" s="298" t="e">
        <f t="shared" si="2"/>
        <v>#VALUE!</v>
      </c>
      <c r="P37" s="298" t="e">
        <f t="shared" si="2"/>
        <v>#VALUE!</v>
      </c>
      <c r="Q37" s="298" t="e">
        <f t="shared" si="2"/>
        <v>#VALUE!</v>
      </c>
      <c r="R37" s="298" t="e">
        <f t="shared" si="2"/>
        <v>#VALUE!</v>
      </c>
      <c r="S37" s="298" t="e">
        <f t="shared" si="2"/>
        <v>#VALUE!</v>
      </c>
      <c r="T37" s="1197"/>
      <c r="V37" s="906"/>
    </row>
    <row r="38" spans="2:25" ht="12" hidden="1" customHeight="1">
      <c r="B38" s="1127"/>
      <c r="C38" s="1121"/>
      <c r="D38" s="1121"/>
      <c r="E38" s="1121"/>
      <c r="F38" s="1187" t="e">
        <f>H38/#REF!</f>
        <v>#REF!</v>
      </c>
      <c r="G38" s="300">
        <f>ROUNDDOWN(N39,0)</f>
        <v>20</v>
      </c>
      <c r="H38" s="1188"/>
      <c r="I38" s="1190" t="e">
        <f>H38/$H$78</f>
        <v>#VALUE!</v>
      </c>
      <c r="J38" s="302">
        <f>J56</f>
        <v>49.8</v>
      </c>
      <c r="K38" s="302">
        <f>K56</f>
        <v>3.7</v>
      </c>
      <c r="L38" s="302">
        <f>L56</f>
        <v>14.2</v>
      </c>
      <c r="M38" s="302">
        <f>K38+L38</f>
        <v>17.899999999999999</v>
      </c>
      <c r="N38" s="302">
        <f>M38+J38</f>
        <v>67.699999999999989</v>
      </c>
      <c r="O38" s="302" t="e">
        <f>$O$78/$J$78*J38</f>
        <v>#VALUE!</v>
      </c>
      <c r="P38" s="302" t="e">
        <f>$P$78/$J$78*J38</f>
        <v>#VALUE!</v>
      </c>
      <c r="Q38" s="302" t="e">
        <f>$Q$78/$J$78*J38</f>
        <v>#VALUE!</v>
      </c>
      <c r="R38" s="315" t="e">
        <f>O38+P38+Q38</f>
        <v>#VALUE!</v>
      </c>
      <c r="S38" s="302" t="e">
        <f>N38+R38</f>
        <v>#VALUE!</v>
      </c>
      <c r="T38" s="1197"/>
      <c r="V38" s="130"/>
    </row>
    <row r="39" spans="2:25" ht="12" hidden="1" customHeight="1">
      <c r="B39" s="1076"/>
      <c r="C39" s="1121"/>
      <c r="D39" s="1121"/>
      <c r="E39" s="1121"/>
      <c r="F39" s="1187"/>
      <c r="G39" s="296">
        <f>ROUNDDOWN(J38,0)</f>
        <v>49</v>
      </c>
      <c r="H39" s="1189"/>
      <c r="I39" s="1191"/>
      <c r="J39" s="298">
        <f t="shared" ref="J39:S39" si="3">ROUNDDOWN(J38*0.3025,2)</f>
        <v>15.06</v>
      </c>
      <c r="K39" s="298">
        <f t="shared" si="3"/>
        <v>1.1100000000000001</v>
      </c>
      <c r="L39" s="298">
        <f t="shared" si="3"/>
        <v>4.29</v>
      </c>
      <c r="M39" s="298">
        <f t="shared" si="3"/>
        <v>5.41</v>
      </c>
      <c r="N39" s="298">
        <f t="shared" si="3"/>
        <v>20.47</v>
      </c>
      <c r="O39" s="298" t="e">
        <f t="shared" si="3"/>
        <v>#VALUE!</v>
      </c>
      <c r="P39" s="298" t="e">
        <f t="shared" si="3"/>
        <v>#VALUE!</v>
      </c>
      <c r="Q39" s="301" t="e">
        <f t="shared" si="3"/>
        <v>#VALUE!</v>
      </c>
      <c r="R39" s="301" t="e">
        <f t="shared" si="3"/>
        <v>#VALUE!</v>
      </c>
      <c r="S39" s="301" t="e">
        <f t="shared" si="3"/>
        <v>#VALUE!</v>
      </c>
      <c r="T39" s="1197"/>
      <c r="V39" s="148"/>
    </row>
    <row r="40" spans="2:25" ht="12" hidden="1" customHeight="1">
      <c r="B40" s="130"/>
      <c r="C40" s="308"/>
      <c r="D40" s="308"/>
      <c r="E40" s="308"/>
      <c r="F40" s="1187" t="e">
        <f>H40/#REF!</f>
        <v>#REF!</v>
      </c>
      <c r="G40" s="300">
        <f>ROUNDDOWN(N41,0)</f>
        <v>25</v>
      </c>
      <c r="H40" s="1188"/>
      <c r="I40" s="1190" t="e">
        <f>H40/$H$78</f>
        <v>#VALUE!</v>
      </c>
      <c r="J40" s="302">
        <f>J58</f>
        <v>59.95</v>
      </c>
      <c r="K40" s="302">
        <f>K58</f>
        <v>6.2</v>
      </c>
      <c r="L40" s="302">
        <f>L58</f>
        <v>16.5</v>
      </c>
      <c r="M40" s="302">
        <f>K40+L40</f>
        <v>22.7</v>
      </c>
      <c r="N40" s="302">
        <f>M40+J40</f>
        <v>82.65</v>
      </c>
      <c r="O40" s="302" t="e">
        <f>$O$78/$J$78*J40</f>
        <v>#VALUE!</v>
      </c>
      <c r="P40" s="302" t="e">
        <f>$P$78/$J$78*J40</f>
        <v>#VALUE!</v>
      </c>
      <c r="Q40" s="302" t="e">
        <f>$Q$78/$J$78*J40</f>
        <v>#VALUE!</v>
      </c>
      <c r="R40" s="315" t="e">
        <f>O40+P40+Q40</f>
        <v>#VALUE!</v>
      </c>
      <c r="S40" s="302" t="e">
        <f>N40+R40</f>
        <v>#VALUE!</v>
      </c>
      <c r="T40" s="1197"/>
      <c r="V40" s="193"/>
    </row>
    <row r="41" spans="2:25" ht="12" hidden="1" customHeight="1">
      <c r="B41" s="130"/>
      <c r="C41" s="308"/>
      <c r="D41" s="308"/>
      <c r="E41" s="308"/>
      <c r="F41" s="1187"/>
      <c r="G41" s="296">
        <f>ROUNDDOWN(J40,0)</f>
        <v>59</v>
      </c>
      <c r="H41" s="1189"/>
      <c r="I41" s="1191"/>
      <c r="J41" s="298">
        <f t="shared" ref="J41:S41" si="4">ROUNDDOWN(J40*0.3025,2)</f>
        <v>18.13</v>
      </c>
      <c r="K41" s="298">
        <f t="shared" si="4"/>
        <v>1.87</v>
      </c>
      <c r="L41" s="298">
        <f t="shared" si="4"/>
        <v>4.99</v>
      </c>
      <c r="M41" s="298">
        <f t="shared" si="4"/>
        <v>6.86</v>
      </c>
      <c r="N41" s="298">
        <f t="shared" si="4"/>
        <v>25</v>
      </c>
      <c r="O41" s="298" t="e">
        <f t="shared" si="4"/>
        <v>#VALUE!</v>
      </c>
      <c r="P41" s="298" t="e">
        <f t="shared" si="4"/>
        <v>#VALUE!</v>
      </c>
      <c r="Q41" s="301" t="e">
        <f t="shared" si="4"/>
        <v>#VALUE!</v>
      </c>
      <c r="R41" s="301" t="e">
        <f t="shared" si="4"/>
        <v>#VALUE!</v>
      </c>
      <c r="S41" s="301" t="e">
        <f t="shared" si="4"/>
        <v>#VALUE!</v>
      </c>
      <c r="T41" s="1197"/>
      <c r="V41" s="193"/>
    </row>
    <row r="42" spans="2:25" ht="12" customHeight="1">
      <c r="B42" s="130"/>
      <c r="C42" s="308"/>
      <c r="D42" s="308"/>
      <c r="E42" s="1128" t="e">
        <f>H42/$H$52</f>
        <v>#VALUE!</v>
      </c>
      <c r="F42" s="336"/>
      <c r="G42" s="316">
        <f>ROUNDDOWN(N43,0)</f>
        <v>20</v>
      </c>
      <c r="H42" s="1192" t="e">
        <f>'설계개요(1단지)'!H46:H47+'설계개요(2)'!H42:H43</f>
        <v>#VALUE!</v>
      </c>
      <c r="I42" s="369" t="e">
        <f>H42/$H$78</f>
        <v>#VALUE!</v>
      </c>
      <c r="J42" s="364">
        <v>49.8</v>
      </c>
      <c r="K42" s="364">
        <v>3.7</v>
      </c>
      <c r="L42" s="364">
        <v>14.2</v>
      </c>
      <c r="M42" s="364">
        <f>K42+L42</f>
        <v>17.899999999999999</v>
      </c>
      <c r="N42" s="364">
        <f>M42+J42</f>
        <v>67.699999999999989</v>
      </c>
      <c r="O42" s="364" t="e">
        <f>$O$78/$J$78*J42</f>
        <v>#VALUE!</v>
      </c>
      <c r="P42" s="364" t="e">
        <f>$P$78/$J$78*J42</f>
        <v>#VALUE!</v>
      </c>
      <c r="Q42" s="364" t="e">
        <f>$Q$78/$J$78*J42</f>
        <v>#VALUE!</v>
      </c>
      <c r="R42" s="364" t="e">
        <f>O42+P42+Q42</f>
        <v>#VALUE!</v>
      </c>
      <c r="S42" s="364" t="e">
        <f>N42+R42</f>
        <v>#VALUE!</v>
      </c>
      <c r="T42" s="1198" t="s">
        <v>159</v>
      </c>
      <c r="U42" s="173">
        <f>J42/N42</f>
        <v>0.73559822747415071</v>
      </c>
      <c r="V42" s="193"/>
    </row>
    <row r="43" spans="2:25" ht="12" customHeight="1">
      <c r="B43" s="130"/>
      <c r="C43" s="308"/>
      <c r="D43" s="308"/>
      <c r="E43" s="1129"/>
      <c r="F43" s="336"/>
      <c r="G43" s="318">
        <f>ROUNDDOWN(J42,0)</f>
        <v>49</v>
      </c>
      <c r="H43" s="1193"/>
      <c r="I43" s="373" t="e">
        <f>H42/$H$52</f>
        <v>#VALUE!</v>
      </c>
      <c r="J43" s="319">
        <f t="shared" ref="J43:S43" si="5">ROUNDDOWN(J42*0.3025,2)</f>
        <v>15.06</v>
      </c>
      <c r="K43" s="319">
        <f t="shared" si="5"/>
        <v>1.1100000000000001</v>
      </c>
      <c r="L43" s="319">
        <f t="shared" si="5"/>
        <v>4.29</v>
      </c>
      <c r="M43" s="319">
        <f t="shared" si="5"/>
        <v>5.41</v>
      </c>
      <c r="N43" s="319">
        <f t="shared" si="5"/>
        <v>20.47</v>
      </c>
      <c r="O43" s="319" t="e">
        <f t="shared" si="5"/>
        <v>#VALUE!</v>
      </c>
      <c r="P43" s="319" t="e">
        <f t="shared" si="5"/>
        <v>#VALUE!</v>
      </c>
      <c r="Q43" s="320" t="e">
        <f t="shared" si="5"/>
        <v>#VALUE!</v>
      </c>
      <c r="R43" s="320" t="e">
        <f t="shared" si="5"/>
        <v>#VALUE!</v>
      </c>
      <c r="S43" s="320" t="e">
        <f t="shared" si="5"/>
        <v>#VALUE!</v>
      </c>
      <c r="T43" s="1198"/>
      <c r="U43" s="173"/>
      <c r="V43" s="193"/>
    </row>
    <row r="44" spans="2:25" ht="12" hidden="1" customHeight="1">
      <c r="B44" s="130"/>
      <c r="C44" s="308"/>
      <c r="D44" s="308"/>
      <c r="E44" s="1130" t="e">
        <f>C44/$H$78</f>
        <v>#VALUE!</v>
      </c>
      <c r="F44" s="336"/>
      <c r="G44" s="316">
        <f>ROUNDDOWN(N43,0)</f>
        <v>20</v>
      </c>
      <c r="H44" s="1192"/>
      <c r="I44" s="1130" t="e">
        <f>H44/$H$78</f>
        <v>#VALUE!</v>
      </c>
      <c r="T44" s="1198"/>
      <c r="U44" s="173"/>
      <c r="V44" s="193"/>
    </row>
    <row r="45" spans="2:25" ht="12" hidden="1" customHeight="1">
      <c r="B45" s="130"/>
      <c r="C45" s="308"/>
      <c r="D45" s="308"/>
      <c r="E45" s="1129"/>
      <c r="F45" s="336"/>
      <c r="G45" s="318">
        <f>ROUNDDOWN(J42,0)</f>
        <v>49</v>
      </c>
      <c r="H45" s="1193"/>
      <c r="I45" s="1129"/>
      <c r="T45" s="1198"/>
      <c r="U45" s="173"/>
      <c r="V45" s="193"/>
    </row>
    <row r="46" spans="2:25" ht="12" customHeight="1">
      <c r="B46" s="1127"/>
      <c r="C46" s="1121"/>
      <c r="D46" s="1121"/>
      <c r="E46" s="1128" t="e">
        <f>H46/$H$52</f>
        <v>#VALUE!</v>
      </c>
      <c r="F46" s="130"/>
      <c r="G46" s="316">
        <f>ROUNDDOWN(N47,0)</f>
        <v>25</v>
      </c>
      <c r="H46" s="1200" t="e">
        <f>'설계개요(1단지)'!H50:H51+'설계개요(2)'!H46:H47</f>
        <v>#VALUE!</v>
      </c>
      <c r="I46" s="369" t="e">
        <f>H46/$H$78</f>
        <v>#VALUE!</v>
      </c>
      <c r="J46" s="364">
        <f>J58</f>
        <v>59.95</v>
      </c>
      <c r="K46" s="364">
        <v>6.2</v>
      </c>
      <c r="L46" s="364">
        <v>16.5</v>
      </c>
      <c r="M46" s="364">
        <f>K46+L46</f>
        <v>22.7</v>
      </c>
      <c r="N46" s="364">
        <f>M46+J46</f>
        <v>82.65</v>
      </c>
      <c r="O46" s="364" t="e">
        <f>$O$78/$J$78*J46</f>
        <v>#VALUE!</v>
      </c>
      <c r="P46" s="364" t="e">
        <f>$P$78/$J$78*J46</f>
        <v>#VALUE!</v>
      </c>
      <c r="Q46" s="364" t="e">
        <f>$Q$78/$J$78*J46</f>
        <v>#VALUE!</v>
      </c>
      <c r="R46" s="364" t="e">
        <f>O46+P46+Q46</f>
        <v>#VALUE!</v>
      </c>
      <c r="S46" s="364" t="e">
        <f>N46+R46</f>
        <v>#VALUE!</v>
      </c>
      <c r="T46" s="1198"/>
      <c r="U46" s="173">
        <f>J46/N46</f>
        <v>0.72534785238959465</v>
      </c>
      <c r="V46" s="193"/>
    </row>
    <row r="47" spans="2:25" ht="12" customHeight="1">
      <c r="B47" s="1076"/>
      <c r="C47" s="1121"/>
      <c r="D47" s="1121"/>
      <c r="E47" s="1129"/>
      <c r="F47" s="130"/>
      <c r="G47" s="318">
        <f>ROUNDDOWN(J46,0)</f>
        <v>59</v>
      </c>
      <c r="H47" s="1193"/>
      <c r="I47" s="373" t="e">
        <f>H46/$H$52</f>
        <v>#VALUE!</v>
      </c>
      <c r="J47" s="319">
        <f t="shared" ref="J47:S47" si="6">ROUNDDOWN(J46*0.3025,2)</f>
        <v>18.13</v>
      </c>
      <c r="K47" s="319">
        <f t="shared" si="6"/>
        <v>1.87</v>
      </c>
      <c r="L47" s="319">
        <f t="shared" si="6"/>
        <v>4.99</v>
      </c>
      <c r="M47" s="319">
        <f t="shared" si="6"/>
        <v>6.86</v>
      </c>
      <c r="N47" s="319">
        <f t="shared" si="6"/>
        <v>25</v>
      </c>
      <c r="O47" s="319" t="e">
        <f t="shared" si="6"/>
        <v>#VALUE!</v>
      </c>
      <c r="P47" s="319" t="e">
        <f t="shared" si="6"/>
        <v>#VALUE!</v>
      </c>
      <c r="Q47" s="320" t="e">
        <f t="shared" si="6"/>
        <v>#VALUE!</v>
      </c>
      <c r="R47" s="320" t="e">
        <f t="shared" si="6"/>
        <v>#VALUE!</v>
      </c>
      <c r="S47" s="320" t="e">
        <f t="shared" si="6"/>
        <v>#VALUE!</v>
      </c>
      <c r="T47" s="1198"/>
      <c r="U47" s="173"/>
      <c r="V47" s="193"/>
    </row>
    <row r="48" spans="2:25" ht="12" hidden="1" customHeight="1">
      <c r="B48" s="130"/>
      <c r="C48" s="308"/>
      <c r="D48" s="308"/>
      <c r="E48" s="1128" t="e">
        <f>C48/$H$78</f>
        <v>#VALUE!</v>
      </c>
      <c r="F48" s="130"/>
      <c r="G48" s="316">
        <f>ROUNDDOWN(N49,0)</f>
        <v>30</v>
      </c>
      <c r="H48" s="1200"/>
      <c r="I48" s="1128" t="e">
        <f>H48/$H$78</f>
        <v>#VALUE!</v>
      </c>
      <c r="J48" s="317">
        <f>J60</f>
        <v>74</v>
      </c>
      <c r="K48" s="317">
        <f>K60</f>
        <v>7.03</v>
      </c>
      <c r="L48" s="317">
        <f>L60</f>
        <v>18.5</v>
      </c>
      <c r="M48" s="317">
        <f>K48+L48</f>
        <v>25.53</v>
      </c>
      <c r="N48" s="317">
        <f>M48+J48</f>
        <v>99.53</v>
      </c>
      <c r="O48" s="317" t="e">
        <f>$O$78/$J$78*J48</f>
        <v>#VALUE!</v>
      </c>
      <c r="P48" s="317" t="e">
        <f>$P$78/$J$78*J48</f>
        <v>#VALUE!</v>
      </c>
      <c r="Q48" s="317" t="e">
        <f>$Q$78/$J$78*J48</f>
        <v>#VALUE!</v>
      </c>
      <c r="R48" s="317" t="e">
        <f>O48+P48+Q48</f>
        <v>#VALUE!</v>
      </c>
      <c r="S48" s="317" t="e">
        <f>N48+R48</f>
        <v>#VALUE!</v>
      </c>
      <c r="T48" s="1198"/>
      <c r="U48" s="173"/>
      <c r="V48" s="193"/>
    </row>
    <row r="49" spans="2:22" ht="12" hidden="1" customHeight="1">
      <c r="B49" s="130"/>
      <c r="C49" s="308"/>
      <c r="D49" s="308"/>
      <c r="E49" s="1129"/>
      <c r="F49" s="130"/>
      <c r="G49" s="318">
        <f>ROUNDDOWN(J48,0)</f>
        <v>74</v>
      </c>
      <c r="H49" s="1193"/>
      <c r="I49" s="1129"/>
      <c r="J49" s="319">
        <f t="shared" ref="J49:S49" si="7">ROUNDDOWN(J48*0.3025,2)</f>
        <v>22.38</v>
      </c>
      <c r="K49" s="319">
        <f t="shared" si="7"/>
        <v>2.12</v>
      </c>
      <c r="L49" s="319">
        <f t="shared" si="7"/>
        <v>5.59</v>
      </c>
      <c r="M49" s="319">
        <f t="shared" si="7"/>
        <v>7.72</v>
      </c>
      <c r="N49" s="319">
        <f t="shared" si="7"/>
        <v>30.1</v>
      </c>
      <c r="O49" s="319" t="e">
        <f t="shared" si="7"/>
        <v>#VALUE!</v>
      </c>
      <c r="P49" s="319" t="e">
        <f t="shared" si="7"/>
        <v>#VALUE!</v>
      </c>
      <c r="Q49" s="320" t="e">
        <f t="shared" si="7"/>
        <v>#VALUE!</v>
      </c>
      <c r="R49" s="320" t="e">
        <f t="shared" si="7"/>
        <v>#VALUE!</v>
      </c>
      <c r="S49" s="320" t="e">
        <f t="shared" si="7"/>
        <v>#VALUE!</v>
      </c>
      <c r="T49" s="1198"/>
      <c r="U49" s="173"/>
      <c r="V49" s="193"/>
    </row>
    <row r="50" spans="2:22" ht="12" customHeight="1">
      <c r="B50" s="1127"/>
      <c r="C50" s="1121"/>
      <c r="D50" s="1121"/>
      <c r="E50" s="1128" t="e">
        <f>H50/$H$52</f>
        <v>#VALUE!</v>
      </c>
      <c r="F50" s="130" t="e">
        <f>H50/H52*100</f>
        <v>#VALUE!</v>
      </c>
      <c r="G50" s="316">
        <f>ROUNDDOWN(N51,0)</f>
        <v>34</v>
      </c>
      <c r="H50" s="1200" t="e">
        <f>'설계개요(1단지)'!H54:H55+'설계개요(2)'!H50:H51</f>
        <v>#VALUE!</v>
      </c>
      <c r="I50" s="369" t="e">
        <f>H50/$H$78</f>
        <v>#VALUE!</v>
      </c>
      <c r="J50" s="364">
        <f>J62</f>
        <v>84.95</v>
      </c>
      <c r="K50" s="364">
        <v>7.5</v>
      </c>
      <c r="L50" s="364">
        <v>20.5</v>
      </c>
      <c r="M50" s="364">
        <f>K50+L50</f>
        <v>28</v>
      </c>
      <c r="N50" s="364">
        <f>M50+J50</f>
        <v>112.95</v>
      </c>
      <c r="O50" s="364" t="e">
        <f>$O$78/$J$78*J50</f>
        <v>#VALUE!</v>
      </c>
      <c r="P50" s="364" t="e">
        <f>$P$78/$J$78*J50</f>
        <v>#VALUE!</v>
      </c>
      <c r="Q50" s="364" t="e">
        <f>$Q$78/$J$78*J50</f>
        <v>#VALUE!</v>
      </c>
      <c r="R50" s="364" t="e">
        <f>O50+P50+Q50</f>
        <v>#VALUE!</v>
      </c>
      <c r="S50" s="364" t="e">
        <f>N50+R50</f>
        <v>#VALUE!</v>
      </c>
      <c r="T50" s="1198"/>
      <c r="U50" s="173">
        <f>J50/N50</f>
        <v>0.75210270030987159</v>
      </c>
      <c r="V50" s="193"/>
    </row>
    <row r="51" spans="2:22" ht="12" customHeight="1">
      <c r="B51" s="1076"/>
      <c r="C51" s="1121"/>
      <c r="D51" s="1121"/>
      <c r="E51" s="1129"/>
      <c r="G51" s="318">
        <f>ROUNDDOWN(J50,0)</f>
        <v>84</v>
      </c>
      <c r="H51" s="1193"/>
      <c r="I51" s="373" t="e">
        <f>H50/$H$52</f>
        <v>#VALUE!</v>
      </c>
      <c r="J51" s="319">
        <f t="shared" ref="J51:S51" si="8">ROUNDDOWN(J50*0.3025,2)</f>
        <v>25.69</v>
      </c>
      <c r="K51" s="319">
        <f t="shared" si="8"/>
        <v>2.2599999999999998</v>
      </c>
      <c r="L51" s="319">
        <f t="shared" si="8"/>
        <v>6.2</v>
      </c>
      <c r="M51" s="319">
        <f t="shared" si="8"/>
        <v>8.4700000000000006</v>
      </c>
      <c r="N51" s="319">
        <f t="shared" si="8"/>
        <v>34.159999999999997</v>
      </c>
      <c r="O51" s="319" t="e">
        <f t="shared" si="8"/>
        <v>#VALUE!</v>
      </c>
      <c r="P51" s="319" t="e">
        <f t="shared" si="8"/>
        <v>#VALUE!</v>
      </c>
      <c r="Q51" s="320" t="e">
        <f t="shared" si="8"/>
        <v>#VALUE!</v>
      </c>
      <c r="R51" s="320" t="e">
        <f t="shared" si="8"/>
        <v>#VALUE!</v>
      </c>
      <c r="S51" s="320" t="e">
        <f t="shared" si="8"/>
        <v>#VALUE!</v>
      </c>
      <c r="T51" s="1199"/>
      <c r="U51" s="173"/>
      <c r="V51" s="193"/>
    </row>
    <row r="52" spans="2:22" ht="12" customHeight="1">
      <c r="B52" s="1127"/>
      <c r="C52" s="1121"/>
      <c r="D52" s="1121"/>
      <c r="E52" s="1201" t="e">
        <f>SUM(E42:E51)</f>
        <v>#VALUE!</v>
      </c>
      <c r="G52" s="1202" t="s">
        <v>82</v>
      </c>
      <c r="H52" s="1257" t="e">
        <f>SUM(H36:H51)</f>
        <v>#VALUE!</v>
      </c>
      <c r="I52" s="370" t="e">
        <f>I42+I46+I50</f>
        <v>#VALUE!</v>
      </c>
      <c r="J52" s="365" t="e">
        <f>SUMPRODUCT(H36:H51,J36:J51)</f>
        <v>#VALUE!</v>
      </c>
      <c r="K52" s="365" t="e">
        <f>SUMPRODUCT(H36:H51,K36:K51)</f>
        <v>#VALUE!</v>
      </c>
      <c r="L52" s="365" t="e">
        <f>SUMPRODUCT(H36:H51,L36:L51)</f>
        <v>#VALUE!</v>
      </c>
      <c r="M52" s="365" t="e">
        <f>K52+L52</f>
        <v>#VALUE!</v>
      </c>
      <c r="N52" s="365" t="e">
        <f>J52+M52</f>
        <v>#VALUE!</v>
      </c>
      <c r="O52" s="365" t="e">
        <f>SUMPRODUCT(H36:H51,O36:O51)</f>
        <v>#VALUE!</v>
      </c>
      <c r="P52" s="365" t="e">
        <f>SUMPRODUCT(H36:H51,P36:P51)</f>
        <v>#VALUE!</v>
      </c>
      <c r="Q52" s="365" t="e">
        <f>SUMPRODUCT(H36:H51,Q36:Q51)</f>
        <v>#VALUE!</v>
      </c>
      <c r="R52" s="365" t="e">
        <f>O52+P52+Q52</f>
        <v>#VALUE!</v>
      </c>
      <c r="S52" s="365" t="e">
        <f>N52+R52</f>
        <v>#VALUE!</v>
      </c>
      <c r="T52" s="1206"/>
      <c r="U52" s="173"/>
    </row>
    <row r="53" spans="2:22" ht="12" customHeight="1">
      <c r="B53" s="1076"/>
      <c r="C53" s="1121"/>
      <c r="D53" s="1121"/>
      <c r="E53" s="1132"/>
      <c r="G53" s="1203"/>
      <c r="H53" s="1254"/>
      <c r="I53" s="376" t="e">
        <f>I43+I47+I51</f>
        <v>#VALUE!</v>
      </c>
      <c r="J53" s="292" t="e">
        <f t="shared" ref="J53:S53" si="9">ROUNDDOWN(J52*0.3025,2)</f>
        <v>#VALUE!</v>
      </c>
      <c r="K53" s="292" t="e">
        <f t="shared" si="9"/>
        <v>#VALUE!</v>
      </c>
      <c r="L53" s="292" t="e">
        <f t="shared" si="9"/>
        <v>#VALUE!</v>
      </c>
      <c r="M53" s="292" t="e">
        <f t="shared" si="9"/>
        <v>#VALUE!</v>
      </c>
      <c r="N53" s="292" t="e">
        <f t="shared" si="9"/>
        <v>#VALUE!</v>
      </c>
      <c r="O53" s="292" t="e">
        <f t="shared" si="9"/>
        <v>#VALUE!</v>
      </c>
      <c r="P53" s="292" t="e">
        <f t="shared" si="9"/>
        <v>#VALUE!</v>
      </c>
      <c r="Q53" s="292" t="e">
        <f t="shared" si="9"/>
        <v>#VALUE!</v>
      </c>
      <c r="R53" s="292" t="e">
        <f t="shared" si="9"/>
        <v>#VALUE!</v>
      </c>
      <c r="S53" s="292" t="e">
        <f t="shared" si="9"/>
        <v>#VALUE!</v>
      </c>
      <c r="T53" s="1207"/>
      <c r="U53" s="173"/>
    </row>
    <row r="54" spans="2:22" ht="12" hidden="1" customHeight="1">
      <c r="B54" s="86"/>
      <c r="C54" s="1121"/>
      <c r="D54" s="937"/>
      <c r="E54" s="937" t="e">
        <f>C54/$H$78</f>
        <v>#VALUE!</v>
      </c>
      <c r="F54" s="1075"/>
      <c r="G54" s="86">
        <f>ROUNDDOWN(N55,0)</f>
        <v>17</v>
      </c>
      <c r="H54" s="935"/>
      <c r="I54" s="937" t="e">
        <f>H54/$H$78</f>
        <v>#VALUE!</v>
      </c>
      <c r="J54" s="89">
        <v>39.96</v>
      </c>
      <c r="K54" s="89">
        <v>3.65</v>
      </c>
      <c r="L54" s="89">
        <v>14.8</v>
      </c>
      <c r="M54" s="89">
        <f>K54+L54</f>
        <v>18.45</v>
      </c>
      <c r="N54" s="89">
        <f>J54+M54</f>
        <v>58.41</v>
      </c>
      <c r="O54" s="89" t="e">
        <f>$O$78/$J$78*J54</f>
        <v>#VALUE!</v>
      </c>
      <c r="P54" s="89" t="e">
        <f>$P$78/$J$78*J54</f>
        <v>#VALUE!</v>
      </c>
      <c r="Q54" s="89" t="e">
        <f>$Q$78/$J$78*J54</f>
        <v>#VALUE!</v>
      </c>
      <c r="R54" s="89" t="e">
        <f>O54+P54+Q54</f>
        <v>#VALUE!</v>
      </c>
      <c r="S54" s="89" t="e">
        <f>N54+R54</f>
        <v>#VALUE!</v>
      </c>
      <c r="T54" s="898" t="s">
        <v>137</v>
      </c>
      <c r="U54" s="173"/>
    </row>
    <row r="55" spans="2:22" ht="12" hidden="1" customHeight="1">
      <c r="B55" s="87"/>
      <c r="C55" s="1121"/>
      <c r="D55" s="938"/>
      <c r="E55" s="938"/>
      <c r="F55" s="1076"/>
      <c r="G55" s="87">
        <v>39</v>
      </c>
      <c r="H55" s="936"/>
      <c r="I55" s="938"/>
      <c r="J55" s="111">
        <f t="shared" ref="J55:S55" si="10">ROUNDDOWN(J54*0.3025,2)</f>
        <v>12.08</v>
      </c>
      <c r="K55" s="111">
        <f t="shared" si="10"/>
        <v>1.1000000000000001</v>
      </c>
      <c r="L55" s="111">
        <f t="shared" si="10"/>
        <v>4.47</v>
      </c>
      <c r="M55" s="111">
        <f t="shared" si="10"/>
        <v>5.58</v>
      </c>
      <c r="N55" s="111">
        <f t="shared" si="10"/>
        <v>17.66</v>
      </c>
      <c r="O55" s="111" t="e">
        <f t="shared" si="10"/>
        <v>#VALUE!</v>
      </c>
      <c r="P55" s="111" t="e">
        <f t="shared" si="10"/>
        <v>#VALUE!</v>
      </c>
      <c r="Q55" s="111" t="e">
        <f t="shared" si="10"/>
        <v>#VALUE!</v>
      </c>
      <c r="R55" s="111" t="e">
        <f t="shared" si="10"/>
        <v>#VALUE!</v>
      </c>
      <c r="S55" s="111" t="e">
        <f t="shared" si="10"/>
        <v>#VALUE!</v>
      </c>
      <c r="T55" s="899"/>
      <c r="U55" s="173"/>
    </row>
    <row r="56" spans="2:22" ht="12" customHeight="1">
      <c r="B56" s="88"/>
      <c r="C56" s="1121"/>
      <c r="D56" s="940"/>
      <c r="E56" s="940" t="e">
        <f>H56/$H$76</f>
        <v>#VALUE!</v>
      </c>
      <c r="F56" s="1075"/>
      <c r="G56" s="88">
        <f>ROUNDDOWN(N57,0)</f>
        <v>20</v>
      </c>
      <c r="H56" s="1085" t="e">
        <f>'설계개요(1단지)'!H60:H61+'설계개요(2)'!H56:H57</f>
        <v>#VALUE!</v>
      </c>
      <c r="I56" s="372" t="e">
        <f>H56/$H$78</f>
        <v>#VALUE!</v>
      </c>
      <c r="J56" s="366">
        <v>49.8</v>
      </c>
      <c r="K56" s="366">
        <v>3.7</v>
      </c>
      <c r="L56" s="366">
        <v>14.2</v>
      </c>
      <c r="M56" s="366">
        <f>K56+L56</f>
        <v>17.899999999999999</v>
      </c>
      <c r="N56" s="366">
        <f>M56+J56</f>
        <v>67.699999999999989</v>
      </c>
      <c r="O56" s="366" t="e">
        <f>$O$78/$J$78*J56</f>
        <v>#VALUE!</v>
      </c>
      <c r="P56" s="366" t="e">
        <f>$P$78/$J$78*J56</f>
        <v>#VALUE!</v>
      </c>
      <c r="Q56" s="366" t="e">
        <f>$Q$78/$J$78*J56</f>
        <v>#VALUE!</v>
      </c>
      <c r="R56" s="366" t="e">
        <f>O56+P56+Q56</f>
        <v>#VALUE!</v>
      </c>
      <c r="S56" s="366" t="e">
        <f>N56+R56</f>
        <v>#VALUE!</v>
      </c>
      <c r="T56" s="899"/>
      <c r="U56" s="173">
        <f>J56/N56</f>
        <v>0.73559822747415071</v>
      </c>
    </row>
    <row r="57" spans="2:22" ht="12" customHeight="1">
      <c r="B57" s="87"/>
      <c r="C57" s="1121"/>
      <c r="D57" s="938"/>
      <c r="E57" s="938"/>
      <c r="F57" s="1076"/>
      <c r="G57" s="87">
        <f>ROUNDDOWN(J56,0)</f>
        <v>49</v>
      </c>
      <c r="H57" s="936"/>
      <c r="I57" s="374" t="e">
        <f>H56/$H$76</f>
        <v>#VALUE!</v>
      </c>
      <c r="J57" s="111">
        <f t="shared" ref="J57:S57" si="11">ROUNDDOWN(J56*0.3025,2)</f>
        <v>15.06</v>
      </c>
      <c r="K57" s="111">
        <f t="shared" si="11"/>
        <v>1.1100000000000001</v>
      </c>
      <c r="L57" s="111">
        <f t="shared" si="11"/>
        <v>4.29</v>
      </c>
      <c r="M57" s="111">
        <f t="shared" si="11"/>
        <v>5.41</v>
      </c>
      <c r="N57" s="111">
        <f t="shared" si="11"/>
        <v>20.47</v>
      </c>
      <c r="O57" s="111" t="e">
        <f t="shared" si="11"/>
        <v>#VALUE!</v>
      </c>
      <c r="P57" s="111" t="e">
        <f t="shared" si="11"/>
        <v>#VALUE!</v>
      </c>
      <c r="Q57" s="278" t="e">
        <f t="shared" si="11"/>
        <v>#VALUE!</v>
      </c>
      <c r="R57" s="278" t="e">
        <f t="shared" si="11"/>
        <v>#VALUE!</v>
      </c>
      <c r="S57" s="278" t="e">
        <f t="shared" si="11"/>
        <v>#VALUE!</v>
      </c>
      <c r="T57" s="899"/>
      <c r="U57" s="173"/>
    </row>
    <row r="58" spans="2:22" ht="12" customHeight="1">
      <c r="B58" s="88"/>
      <c r="C58" s="1121"/>
      <c r="D58" s="940"/>
      <c r="E58" s="940" t="e">
        <f>H58/$H$76</f>
        <v>#VALUE!</v>
      </c>
      <c r="F58" s="1075"/>
      <c r="G58" s="88">
        <f>ROUNDDOWN(N59,0)</f>
        <v>25</v>
      </c>
      <c r="H58" s="939" t="e">
        <f>'설계개요(1단지)'!H62:H63+'설계개요(2)'!H58:H59</f>
        <v>#VALUE!</v>
      </c>
      <c r="I58" s="372" t="e">
        <f>H58/$H$78</f>
        <v>#VALUE!</v>
      </c>
      <c r="J58" s="366">
        <v>59.95</v>
      </c>
      <c r="K58" s="366">
        <v>6.2</v>
      </c>
      <c r="L58" s="366">
        <v>16.5</v>
      </c>
      <c r="M58" s="366">
        <f>K58+L58</f>
        <v>22.7</v>
      </c>
      <c r="N58" s="366">
        <f>M58+J58</f>
        <v>82.65</v>
      </c>
      <c r="O58" s="366" t="e">
        <f>$O$78/$J$78*J58</f>
        <v>#VALUE!</v>
      </c>
      <c r="P58" s="366" t="e">
        <f>$P$78/$J$78*J58</f>
        <v>#VALUE!</v>
      </c>
      <c r="Q58" s="366" t="e">
        <f>$Q$78/$J$78*J58</f>
        <v>#VALUE!</v>
      </c>
      <c r="R58" s="366" t="e">
        <f>O58+P58+Q58</f>
        <v>#VALUE!</v>
      </c>
      <c r="S58" s="367" t="e">
        <f>N58+R58</f>
        <v>#VALUE!</v>
      </c>
      <c r="T58" s="899"/>
      <c r="U58" s="173">
        <f>J58/N58</f>
        <v>0.72534785238959465</v>
      </c>
    </row>
    <row r="59" spans="2:22" ht="12" customHeight="1">
      <c r="B59" s="87"/>
      <c r="C59" s="1121"/>
      <c r="D59" s="938"/>
      <c r="E59" s="938"/>
      <c r="F59" s="1076"/>
      <c r="G59" s="87">
        <f>ROUNDDOWN(J58,0)</f>
        <v>59</v>
      </c>
      <c r="H59" s="936"/>
      <c r="I59" s="374" t="e">
        <f>H58/$H$76</f>
        <v>#VALUE!</v>
      </c>
      <c r="J59" s="111">
        <f t="shared" ref="J59:S59" si="12">ROUNDDOWN(J58*0.3025,2)</f>
        <v>18.13</v>
      </c>
      <c r="K59" s="111">
        <f t="shared" si="12"/>
        <v>1.87</v>
      </c>
      <c r="L59" s="111">
        <f t="shared" si="12"/>
        <v>4.99</v>
      </c>
      <c r="M59" s="111">
        <f t="shared" si="12"/>
        <v>6.86</v>
      </c>
      <c r="N59" s="111">
        <f t="shared" si="12"/>
        <v>25</v>
      </c>
      <c r="O59" s="111" t="e">
        <f t="shared" si="12"/>
        <v>#VALUE!</v>
      </c>
      <c r="P59" s="111" t="e">
        <f t="shared" si="12"/>
        <v>#VALUE!</v>
      </c>
      <c r="Q59" s="111" t="e">
        <f t="shared" si="12"/>
        <v>#VALUE!</v>
      </c>
      <c r="R59" s="111" t="e">
        <f t="shared" si="12"/>
        <v>#VALUE!</v>
      </c>
      <c r="S59" s="111" t="e">
        <f t="shared" si="12"/>
        <v>#VALUE!</v>
      </c>
      <c r="T59" s="899"/>
      <c r="U59" s="173"/>
    </row>
    <row r="60" spans="2:22" ht="12" customHeight="1">
      <c r="B60" s="88"/>
      <c r="C60" s="1121"/>
      <c r="D60" s="940"/>
      <c r="E60" s="940" t="e">
        <f>H60/$H$76</f>
        <v>#VALUE!</v>
      </c>
      <c r="F60" s="1076"/>
      <c r="G60" s="88">
        <f>ROUNDDOWN(N61,0)</f>
        <v>30</v>
      </c>
      <c r="H60" s="939" t="e">
        <f>'설계개요(1단지)'!H64:H65+'설계개요(2)'!H60:H61</f>
        <v>#VALUE!</v>
      </c>
      <c r="I60" s="377" t="e">
        <f>H60/$H$78</f>
        <v>#VALUE!</v>
      </c>
      <c r="J60" s="366">
        <v>74</v>
      </c>
      <c r="K60" s="366">
        <v>7.03</v>
      </c>
      <c r="L60" s="366">
        <v>18.5</v>
      </c>
      <c r="M60" s="366">
        <f>K60+L60</f>
        <v>25.53</v>
      </c>
      <c r="N60" s="366">
        <f>J60+M60</f>
        <v>99.53</v>
      </c>
      <c r="O60" s="366" t="e">
        <f>$O$78/$J$78*J60</f>
        <v>#VALUE!</v>
      </c>
      <c r="P60" s="366" t="e">
        <f>$P$78/$J$78*J60</f>
        <v>#VALUE!</v>
      </c>
      <c r="Q60" s="366" t="e">
        <f>$Q$78/$J$78*J60</f>
        <v>#VALUE!</v>
      </c>
      <c r="R60" s="366" t="e">
        <f>O60+P60+Q60</f>
        <v>#VALUE!</v>
      </c>
      <c r="S60" s="366" t="e">
        <f>N60+R60</f>
        <v>#VALUE!</v>
      </c>
      <c r="T60" s="899"/>
      <c r="U60" s="173">
        <f>J60/N60</f>
        <v>0.74349442379182151</v>
      </c>
    </row>
    <row r="61" spans="2:22" ht="12" customHeight="1">
      <c r="B61" s="87"/>
      <c r="C61" s="1121"/>
      <c r="D61" s="938"/>
      <c r="E61" s="938"/>
      <c r="F61" s="1076"/>
      <c r="G61" s="87">
        <f>ROUNDDOWN(J60,0)</f>
        <v>74</v>
      </c>
      <c r="H61" s="936"/>
      <c r="I61" s="374" t="e">
        <f>H60/$H$76</f>
        <v>#VALUE!</v>
      </c>
      <c r="J61" s="111">
        <f t="shared" ref="J61:S61" si="13">ROUNDDOWN(J60*0.3025,2)</f>
        <v>22.38</v>
      </c>
      <c r="K61" s="111">
        <f t="shared" si="13"/>
        <v>2.12</v>
      </c>
      <c r="L61" s="111">
        <f t="shared" si="13"/>
        <v>5.59</v>
      </c>
      <c r="M61" s="111">
        <f t="shared" si="13"/>
        <v>7.72</v>
      </c>
      <c r="N61" s="111">
        <f t="shared" si="13"/>
        <v>30.1</v>
      </c>
      <c r="O61" s="111" t="e">
        <f t="shared" si="13"/>
        <v>#VALUE!</v>
      </c>
      <c r="P61" s="111" t="e">
        <f t="shared" si="13"/>
        <v>#VALUE!</v>
      </c>
      <c r="Q61" s="111" t="e">
        <f t="shared" si="13"/>
        <v>#VALUE!</v>
      </c>
      <c r="R61" s="111" t="e">
        <f t="shared" si="13"/>
        <v>#VALUE!</v>
      </c>
      <c r="S61" s="111" t="e">
        <f t="shared" si="13"/>
        <v>#VALUE!</v>
      </c>
      <c r="T61" s="899"/>
      <c r="U61" s="173"/>
    </row>
    <row r="62" spans="2:22" ht="12" customHeight="1">
      <c r="B62" s="88"/>
      <c r="C62" s="1121"/>
      <c r="D62" s="940"/>
      <c r="E62" s="940" t="e">
        <f>H62/$H$76</f>
        <v>#VALUE!</v>
      </c>
      <c r="F62" s="1075"/>
      <c r="G62" s="88">
        <f>ROUNDDOWN(N63,0)</f>
        <v>34</v>
      </c>
      <c r="H62" s="939" t="e">
        <f>'설계개요(1단지)'!H66:H67+'설계개요(2)'!H62:H63</f>
        <v>#VALUE!</v>
      </c>
      <c r="I62" s="372" t="e">
        <f>H62/$H$78</f>
        <v>#VALUE!</v>
      </c>
      <c r="J62" s="366">
        <v>84.95</v>
      </c>
      <c r="K62" s="366">
        <v>7.5</v>
      </c>
      <c r="L62" s="366">
        <v>20.5</v>
      </c>
      <c r="M62" s="366">
        <f>K62+L62</f>
        <v>28</v>
      </c>
      <c r="N62" s="366">
        <f>J62+M62</f>
        <v>112.95</v>
      </c>
      <c r="O62" s="366" t="e">
        <f>$O$78/$J$78*J62</f>
        <v>#VALUE!</v>
      </c>
      <c r="P62" s="366" t="e">
        <f>$P$78/$J$78*J62</f>
        <v>#VALUE!</v>
      </c>
      <c r="Q62" s="366" t="e">
        <f>$Q$78/$J$78*J62</f>
        <v>#VALUE!</v>
      </c>
      <c r="R62" s="366" t="e">
        <f>O62+P62+Q62</f>
        <v>#VALUE!</v>
      </c>
      <c r="S62" s="366" t="e">
        <f>N62+R62</f>
        <v>#VALUE!</v>
      </c>
      <c r="T62" s="899"/>
      <c r="U62" s="173">
        <f>J62/N62</f>
        <v>0.75210270030987159</v>
      </c>
    </row>
    <row r="63" spans="2:22" ht="12" customHeight="1">
      <c r="B63" s="87"/>
      <c r="C63" s="1121"/>
      <c r="D63" s="938"/>
      <c r="E63" s="938"/>
      <c r="F63" s="1076"/>
      <c r="G63" s="87">
        <f>ROUNDDOWN(J62,0)</f>
        <v>84</v>
      </c>
      <c r="H63" s="936"/>
      <c r="I63" s="374" t="e">
        <f>H62/$H$76</f>
        <v>#VALUE!</v>
      </c>
      <c r="J63" s="111">
        <f t="shared" ref="J63:S63" si="14">ROUNDDOWN(J62*0.3025,2)</f>
        <v>25.69</v>
      </c>
      <c r="K63" s="111">
        <f t="shared" si="14"/>
        <v>2.2599999999999998</v>
      </c>
      <c r="L63" s="111">
        <f t="shared" si="14"/>
        <v>6.2</v>
      </c>
      <c r="M63" s="111">
        <f t="shared" si="14"/>
        <v>8.4700000000000006</v>
      </c>
      <c r="N63" s="111">
        <f t="shared" si="14"/>
        <v>34.159999999999997</v>
      </c>
      <c r="O63" s="111" t="e">
        <f t="shared" si="14"/>
        <v>#VALUE!</v>
      </c>
      <c r="P63" s="111" t="e">
        <f t="shared" si="14"/>
        <v>#VALUE!</v>
      </c>
      <c r="Q63" s="111" t="e">
        <f t="shared" si="14"/>
        <v>#VALUE!</v>
      </c>
      <c r="R63" s="111" t="e">
        <f t="shared" si="14"/>
        <v>#VALUE!</v>
      </c>
      <c r="S63" s="111" t="e">
        <f t="shared" si="14"/>
        <v>#VALUE!</v>
      </c>
      <c r="T63" s="899"/>
      <c r="U63" s="173"/>
    </row>
    <row r="64" spans="2:22" ht="12" hidden="1" customHeight="1">
      <c r="B64" s="88"/>
      <c r="C64" s="1121"/>
      <c r="D64" s="940"/>
      <c r="E64" s="940" t="e">
        <f>C64/$H$78</f>
        <v>#VALUE!</v>
      </c>
      <c r="F64" s="1076"/>
      <c r="G64" s="88">
        <f>ROUNDDOWN(N65,0)</f>
        <v>40</v>
      </c>
      <c r="H64" s="939"/>
      <c r="I64" s="1210" t="e">
        <f>H64/$H$78</f>
        <v>#VALUE!</v>
      </c>
      <c r="J64" s="90">
        <v>102.98</v>
      </c>
      <c r="K64" s="90">
        <v>8.7200000000000006</v>
      </c>
      <c r="L64" s="90">
        <v>22.8</v>
      </c>
      <c r="M64" s="90">
        <f>K64+L64</f>
        <v>31.520000000000003</v>
      </c>
      <c r="N64" s="90">
        <f>J64+M64</f>
        <v>134.5</v>
      </c>
      <c r="O64" s="90" t="e">
        <f>$O$78/$J$78*J64</f>
        <v>#VALUE!</v>
      </c>
      <c r="P64" s="90" t="e">
        <f>$P$78/$J$78*J64</f>
        <v>#VALUE!</v>
      </c>
      <c r="Q64" s="90" t="e">
        <f>$Q$78/$J$78*J64</f>
        <v>#VALUE!</v>
      </c>
      <c r="R64" s="90" t="e">
        <f>O64+P64+Q64</f>
        <v>#VALUE!</v>
      </c>
      <c r="S64" s="90" t="e">
        <f>N64+R64</f>
        <v>#VALUE!</v>
      </c>
      <c r="T64" s="899"/>
      <c r="U64" s="173"/>
    </row>
    <row r="65" spans="2:22" ht="12" hidden="1" customHeight="1">
      <c r="B65" s="272"/>
      <c r="C65" s="1121"/>
      <c r="D65" s="938"/>
      <c r="E65" s="938"/>
      <c r="F65" s="838"/>
      <c r="G65" s="87">
        <f>ROUNDDOWN(J64,0)</f>
        <v>102</v>
      </c>
      <c r="H65" s="936"/>
      <c r="I65" s="1209"/>
      <c r="J65" s="111">
        <f t="shared" ref="J65:S65" si="15">ROUNDDOWN(J64*0.3025,2)</f>
        <v>31.15</v>
      </c>
      <c r="K65" s="111">
        <f t="shared" si="15"/>
        <v>2.63</v>
      </c>
      <c r="L65" s="111">
        <f t="shared" si="15"/>
        <v>6.89</v>
      </c>
      <c r="M65" s="111">
        <f t="shared" si="15"/>
        <v>9.5299999999999994</v>
      </c>
      <c r="N65" s="111">
        <f t="shared" si="15"/>
        <v>40.68</v>
      </c>
      <c r="O65" s="111" t="e">
        <f t="shared" si="15"/>
        <v>#VALUE!</v>
      </c>
      <c r="P65" s="111" t="e">
        <f t="shared" si="15"/>
        <v>#VALUE!</v>
      </c>
      <c r="Q65" s="111" t="e">
        <f t="shared" si="15"/>
        <v>#VALUE!</v>
      </c>
      <c r="R65" s="111" t="e">
        <f t="shared" si="15"/>
        <v>#VALUE!</v>
      </c>
      <c r="S65" s="111" t="e">
        <f t="shared" si="15"/>
        <v>#VALUE!</v>
      </c>
      <c r="T65" s="899"/>
      <c r="U65" s="173"/>
    </row>
    <row r="66" spans="2:22" ht="12" customHeight="1">
      <c r="B66" s="323"/>
      <c r="C66" s="308"/>
      <c r="D66" s="305"/>
      <c r="E66" s="940" t="e">
        <f>H66/$H$76</f>
        <v>#VALUE!</v>
      </c>
      <c r="F66" s="203"/>
      <c r="G66" s="88">
        <f>ROUNDDOWN(N67,0)</f>
        <v>46</v>
      </c>
      <c r="H66" s="939" t="e">
        <f>'설계개요(1단지)'!H70:H71+'설계개요(2)'!H66:H67</f>
        <v>#VALUE!</v>
      </c>
      <c r="I66" s="372" t="e">
        <f>H66/$H$78</f>
        <v>#VALUE!</v>
      </c>
      <c r="J66" s="366">
        <v>118</v>
      </c>
      <c r="K66" s="366">
        <v>8.6</v>
      </c>
      <c r="L66" s="366">
        <v>25.5</v>
      </c>
      <c r="M66" s="366">
        <f>K66+L66</f>
        <v>34.1</v>
      </c>
      <c r="N66" s="366">
        <f>J66+M66</f>
        <v>152.1</v>
      </c>
      <c r="O66" s="366" t="e">
        <f>$O$78/$J$78*J66</f>
        <v>#VALUE!</v>
      </c>
      <c r="P66" s="366" t="e">
        <f>$P$78/$J$78*J66</f>
        <v>#VALUE!</v>
      </c>
      <c r="Q66" s="366" t="e">
        <f>$Q$78/$J$78*J66</f>
        <v>#VALUE!</v>
      </c>
      <c r="R66" s="366" t="e">
        <f>O66+P66+Q66</f>
        <v>#VALUE!</v>
      </c>
      <c r="S66" s="366" t="e">
        <f>N66+R66</f>
        <v>#VALUE!</v>
      </c>
      <c r="T66" s="899"/>
      <c r="U66" s="173">
        <f>J66/N66</f>
        <v>0.77580539119000658</v>
      </c>
    </row>
    <row r="67" spans="2:22" ht="12" customHeight="1">
      <c r="B67" s="323"/>
      <c r="C67" s="308"/>
      <c r="D67" s="305"/>
      <c r="E67" s="938"/>
      <c r="F67" s="203"/>
      <c r="G67" s="87">
        <f>ROUNDDOWN(J66,0)</f>
        <v>118</v>
      </c>
      <c r="H67" s="936"/>
      <c r="I67" s="374" t="e">
        <f>H66/$H$76</f>
        <v>#VALUE!</v>
      </c>
      <c r="J67" s="111">
        <f t="shared" ref="J67:S67" si="16">ROUNDDOWN(J66*0.3025,2)</f>
        <v>35.69</v>
      </c>
      <c r="K67" s="111">
        <f t="shared" si="16"/>
        <v>2.6</v>
      </c>
      <c r="L67" s="111">
        <f t="shared" si="16"/>
        <v>7.71</v>
      </c>
      <c r="M67" s="111">
        <f t="shared" si="16"/>
        <v>10.31</v>
      </c>
      <c r="N67" s="111">
        <f t="shared" si="16"/>
        <v>46.01</v>
      </c>
      <c r="O67" s="111" t="e">
        <f t="shared" si="16"/>
        <v>#VALUE!</v>
      </c>
      <c r="P67" s="111" t="e">
        <f t="shared" si="16"/>
        <v>#VALUE!</v>
      </c>
      <c r="Q67" s="111" t="e">
        <f t="shared" si="16"/>
        <v>#VALUE!</v>
      </c>
      <c r="R67" s="111" t="e">
        <f t="shared" si="16"/>
        <v>#VALUE!</v>
      </c>
      <c r="S67" s="111" t="e">
        <f t="shared" si="16"/>
        <v>#VALUE!</v>
      </c>
      <c r="T67" s="899"/>
      <c r="U67" s="173"/>
    </row>
    <row r="68" spans="2:22" ht="12" hidden="1" customHeight="1">
      <c r="B68" s="323"/>
      <c r="C68" s="308"/>
      <c r="D68" s="305"/>
      <c r="E68" s="1084" t="e">
        <f>C68/$H$78</f>
        <v>#VALUE!</v>
      </c>
      <c r="F68" s="203"/>
      <c r="G68" s="88">
        <f>ROUNDDOWN(N69,0)</f>
        <v>47</v>
      </c>
      <c r="H68" s="1085"/>
      <c r="I68" s="1084" t="e">
        <f>H68/$H$78</f>
        <v>#VALUE!</v>
      </c>
      <c r="J68" s="90">
        <v>120.97</v>
      </c>
      <c r="K68" s="90">
        <v>10.72</v>
      </c>
      <c r="L68" s="90">
        <v>24.8</v>
      </c>
      <c r="M68" s="90">
        <f>K68+L68</f>
        <v>35.520000000000003</v>
      </c>
      <c r="N68" s="90">
        <f>J68+M68</f>
        <v>156.49</v>
      </c>
      <c r="O68" s="90" t="e">
        <f>$O$78/$J$78*J68</f>
        <v>#VALUE!</v>
      </c>
      <c r="P68" s="90" t="e">
        <f>$P$78/$J$78*J68</f>
        <v>#VALUE!</v>
      </c>
      <c r="Q68" s="90" t="e">
        <f>$Q$78/$J$78*J68</f>
        <v>#VALUE!</v>
      </c>
      <c r="R68" s="90" t="e">
        <f>O68+P68+Q68</f>
        <v>#VALUE!</v>
      </c>
      <c r="S68" s="90" t="e">
        <f>N68+R68</f>
        <v>#VALUE!</v>
      </c>
      <c r="T68" s="899"/>
      <c r="U68" s="173"/>
    </row>
    <row r="69" spans="2:22" ht="12" hidden="1" customHeight="1">
      <c r="B69" s="323"/>
      <c r="C69" s="308"/>
      <c r="D69" s="305"/>
      <c r="E69" s="938"/>
      <c r="F69" s="203"/>
      <c r="G69" s="87">
        <f>ROUNDDOWN(J68,0)</f>
        <v>120</v>
      </c>
      <c r="H69" s="936"/>
      <c r="I69" s="938"/>
      <c r="J69" s="111">
        <f t="shared" ref="J69:S69" si="17">ROUNDDOWN(J68*0.3025,2)</f>
        <v>36.590000000000003</v>
      </c>
      <c r="K69" s="111">
        <f t="shared" si="17"/>
        <v>3.24</v>
      </c>
      <c r="L69" s="111">
        <f t="shared" si="17"/>
        <v>7.5</v>
      </c>
      <c r="M69" s="111">
        <f t="shared" si="17"/>
        <v>10.74</v>
      </c>
      <c r="N69" s="111">
        <f t="shared" si="17"/>
        <v>47.33</v>
      </c>
      <c r="O69" s="111" t="e">
        <f t="shared" si="17"/>
        <v>#VALUE!</v>
      </c>
      <c r="P69" s="111" t="e">
        <f t="shared" si="17"/>
        <v>#VALUE!</v>
      </c>
      <c r="Q69" s="111" t="e">
        <f t="shared" si="17"/>
        <v>#VALUE!</v>
      </c>
      <c r="R69" s="111" t="e">
        <f t="shared" si="17"/>
        <v>#VALUE!</v>
      </c>
      <c r="S69" s="111" t="e">
        <f t="shared" si="17"/>
        <v>#VALUE!</v>
      </c>
      <c r="T69" s="899"/>
      <c r="U69" s="173"/>
    </row>
    <row r="70" spans="2:22" ht="12" hidden="1" customHeight="1">
      <c r="B70" s="88"/>
      <c r="C70" s="1121"/>
      <c r="D70" s="1084"/>
      <c r="E70" s="1084" t="e">
        <f>C70/$H$78</f>
        <v>#VALUE!</v>
      </c>
      <c r="F70" s="1211"/>
      <c r="G70" s="88">
        <f>ROUNDDOWN(N71,0)</f>
        <v>52</v>
      </c>
      <c r="H70" s="1085"/>
      <c r="I70" s="1084" t="e">
        <f>H70/$H$78</f>
        <v>#VALUE!</v>
      </c>
      <c r="J70" s="90">
        <v>137.35</v>
      </c>
      <c r="K70" s="90">
        <v>11.28</v>
      </c>
      <c r="L70" s="90">
        <v>25.54</v>
      </c>
      <c r="M70" s="90">
        <f>K70+L70</f>
        <v>36.82</v>
      </c>
      <c r="N70" s="90">
        <f>J70+M70</f>
        <v>174.17</v>
      </c>
      <c r="O70" s="90" t="e">
        <f>$O$78/$J$78*J70</f>
        <v>#VALUE!</v>
      </c>
      <c r="P70" s="90" t="e">
        <f>$P$78/$J$78*J70</f>
        <v>#VALUE!</v>
      </c>
      <c r="Q70" s="90" t="e">
        <f>$Q$78/$J$78*J70</f>
        <v>#VALUE!</v>
      </c>
      <c r="R70" s="90" t="e">
        <f>O70+P70+Q70</f>
        <v>#VALUE!</v>
      </c>
      <c r="S70" s="90" t="e">
        <f>N70+R70</f>
        <v>#VALUE!</v>
      </c>
      <c r="T70" s="899"/>
      <c r="U70" s="173"/>
    </row>
    <row r="71" spans="2:22" ht="12" hidden="1" customHeight="1">
      <c r="B71" s="87"/>
      <c r="C71" s="1121"/>
      <c r="D71" s="938"/>
      <c r="E71" s="938"/>
      <c r="F71" s="838"/>
      <c r="G71" s="87">
        <f>ROUNDDOWN(J70,0)</f>
        <v>137</v>
      </c>
      <c r="H71" s="936"/>
      <c r="I71" s="938"/>
      <c r="J71" s="111">
        <f t="shared" ref="J71:S71" si="18">ROUNDDOWN(J70*0.3025,2)</f>
        <v>41.54</v>
      </c>
      <c r="K71" s="111">
        <f t="shared" si="18"/>
        <v>3.41</v>
      </c>
      <c r="L71" s="111">
        <f t="shared" si="18"/>
        <v>7.72</v>
      </c>
      <c r="M71" s="111">
        <f t="shared" si="18"/>
        <v>11.13</v>
      </c>
      <c r="N71" s="111">
        <f t="shared" si="18"/>
        <v>52.68</v>
      </c>
      <c r="O71" s="111" t="e">
        <f t="shared" si="18"/>
        <v>#VALUE!</v>
      </c>
      <c r="P71" s="111" t="e">
        <f t="shared" si="18"/>
        <v>#VALUE!</v>
      </c>
      <c r="Q71" s="111" t="e">
        <f t="shared" si="18"/>
        <v>#VALUE!</v>
      </c>
      <c r="R71" s="111" t="e">
        <f t="shared" si="18"/>
        <v>#VALUE!</v>
      </c>
      <c r="S71" s="111" t="e">
        <f t="shared" si="18"/>
        <v>#VALUE!</v>
      </c>
      <c r="T71" s="899"/>
      <c r="U71" s="173"/>
    </row>
    <row r="72" spans="2:22" ht="12" hidden="1" customHeight="1">
      <c r="B72" s="324"/>
      <c r="C72" s="308"/>
      <c r="D72" s="305"/>
      <c r="E72" s="940" t="e">
        <f>C72/$H$75</f>
        <v>#DIV/0!</v>
      </c>
      <c r="F72" s="203"/>
      <c r="G72" s="88">
        <f>ROUNDDOWN(N73,0)</f>
        <v>62</v>
      </c>
      <c r="H72" s="939"/>
      <c r="I72" s="940" t="e">
        <f>H72/$H$75</f>
        <v>#DIV/0!</v>
      </c>
      <c r="J72" s="90">
        <v>165.89</v>
      </c>
      <c r="K72" s="90">
        <v>13.45</v>
      </c>
      <c r="L72" s="90">
        <v>26.42</v>
      </c>
      <c r="M72" s="90">
        <f>K72+L72</f>
        <v>39.870000000000005</v>
      </c>
      <c r="N72" s="90">
        <f>J72+M72</f>
        <v>205.76</v>
      </c>
      <c r="O72" s="90" t="e">
        <f>$O$75/$J$75*J72</f>
        <v>#VALUE!</v>
      </c>
      <c r="P72" s="90" t="e">
        <f>$P$75/$J$75*J72</f>
        <v>#VALUE!</v>
      </c>
      <c r="Q72" s="90" t="e">
        <f>$Q$75/$J$75*J72</f>
        <v>#VALUE!</v>
      </c>
      <c r="R72" s="90" t="e">
        <f>O72+P72+Q72</f>
        <v>#VALUE!</v>
      </c>
      <c r="S72" s="90" t="e">
        <f>N72+R72</f>
        <v>#VALUE!</v>
      </c>
      <c r="T72" s="899"/>
      <c r="U72" s="173"/>
    </row>
    <row r="73" spans="2:22" ht="12" hidden="1" customHeight="1">
      <c r="B73" s="324"/>
      <c r="C73" s="308"/>
      <c r="D73" s="305"/>
      <c r="E73" s="938"/>
      <c r="F73" s="203"/>
      <c r="G73" s="87">
        <f>ROUNDDOWN(J72,0)</f>
        <v>165</v>
      </c>
      <c r="H73" s="936"/>
      <c r="I73" s="938"/>
      <c r="J73" s="111">
        <f t="shared" ref="J73:S73" si="19">ROUNDDOWN(J72*0.3025,2)</f>
        <v>50.18</v>
      </c>
      <c r="K73" s="111">
        <f t="shared" si="19"/>
        <v>4.0599999999999996</v>
      </c>
      <c r="L73" s="111">
        <f t="shared" si="19"/>
        <v>7.99</v>
      </c>
      <c r="M73" s="111">
        <f t="shared" si="19"/>
        <v>12.06</v>
      </c>
      <c r="N73" s="111">
        <f t="shared" si="19"/>
        <v>62.24</v>
      </c>
      <c r="O73" s="111" t="e">
        <f t="shared" si="19"/>
        <v>#VALUE!</v>
      </c>
      <c r="P73" s="111" t="e">
        <f t="shared" si="19"/>
        <v>#VALUE!</v>
      </c>
      <c r="Q73" s="111" t="e">
        <f t="shared" si="19"/>
        <v>#VALUE!</v>
      </c>
      <c r="R73" s="111" t="e">
        <f t="shared" si="19"/>
        <v>#VALUE!</v>
      </c>
      <c r="S73" s="111" t="e">
        <f t="shared" si="19"/>
        <v>#VALUE!</v>
      </c>
      <c r="T73" s="899"/>
      <c r="U73" s="173"/>
    </row>
    <row r="74" spans="2:22" ht="12" hidden="1" customHeight="1">
      <c r="B74" s="88"/>
      <c r="C74" s="1121"/>
      <c r="D74" s="940"/>
      <c r="E74" s="940" t="e">
        <f>C74/$H$78</f>
        <v>#VALUE!</v>
      </c>
      <c r="F74" s="838"/>
      <c r="G74" s="88">
        <f>ROUNDDOWN(N75,0)</f>
        <v>49</v>
      </c>
      <c r="H74" s="939"/>
      <c r="I74" s="940" t="e">
        <f>H74/$H$78</f>
        <v>#VALUE!</v>
      </c>
      <c r="J74" s="90">
        <v>124.94</v>
      </c>
      <c r="K74" s="90">
        <v>11.85</v>
      </c>
      <c r="L74" s="90">
        <v>27.85</v>
      </c>
      <c r="M74" s="90">
        <f>K74+L74</f>
        <v>39.700000000000003</v>
      </c>
      <c r="N74" s="90">
        <f>J74+M74</f>
        <v>164.64</v>
      </c>
      <c r="O74" s="90" t="e">
        <f>$O$78/$J$78*J74</f>
        <v>#VALUE!</v>
      </c>
      <c r="P74" s="90" t="e">
        <f>$P$78/$J$78*J74</f>
        <v>#VALUE!</v>
      </c>
      <c r="Q74" s="90" t="e">
        <f>$Q$78/$J$78*J74</f>
        <v>#VALUE!</v>
      </c>
      <c r="R74" s="90" t="e">
        <f>O74+P74+Q74</f>
        <v>#VALUE!</v>
      </c>
      <c r="S74" s="90" t="e">
        <f>N74+R74</f>
        <v>#VALUE!</v>
      </c>
      <c r="T74" s="899"/>
      <c r="U74" s="173"/>
      <c r="V74" s="173" t="e">
        <f>N52+N76</f>
        <v>#VALUE!</v>
      </c>
    </row>
    <row r="75" spans="2:22" ht="12" hidden="1" customHeight="1">
      <c r="B75" s="87"/>
      <c r="C75" s="1121"/>
      <c r="D75" s="938"/>
      <c r="E75" s="938"/>
      <c r="F75" s="838"/>
      <c r="G75" s="273">
        <f>ROUNDDOWN(J74,0)</f>
        <v>124</v>
      </c>
      <c r="H75" s="936"/>
      <c r="I75" s="938"/>
      <c r="J75" s="111">
        <f t="shared" ref="J75:S75" si="20">ROUNDDOWN(J74*0.3025,2)</f>
        <v>37.79</v>
      </c>
      <c r="K75" s="111">
        <f t="shared" si="20"/>
        <v>3.58</v>
      </c>
      <c r="L75" s="111">
        <f t="shared" si="20"/>
        <v>8.42</v>
      </c>
      <c r="M75" s="111">
        <f t="shared" si="20"/>
        <v>12</v>
      </c>
      <c r="N75" s="111">
        <f t="shared" si="20"/>
        <v>49.8</v>
      </c>
      <c r="O75" s="111" t="e">
        <f t="shared" si="20"/>
        <v>#VALUE!</v>
      </c>
      <c r="P75" s="111" t="e">
        <f t="shared" si="20"/>
        <v>#VALUE!</v>
      </c>
      <c r="Q75" s="111" t="e">
        <f t="shared" si="20"/>
        <v>#VALUE!</v>
      </c>
      <c r="R75" s="111" t="e">
        <f t="shared" si="20"/>
        <v>#VALUE!</v>
      </c>
      <c r="S75" s="111" t="e">
        <f t="shared" si="20"/>
        <v>#VALUE!</v>
      </c>
      <c r="T75" s="899"/>
      <c r="U75" s="173"/>
      <c r="V75" s="144" t="e">
        <f>R52+R76</f>
        <v>#VALUE!</v>
      </c>
    </row>
    <row r="76" spans="2:22" ht="12" customHeight="1">
      <c r="B76" s="130"/>
      <c r="C76" s="130"/>
      <c r="D76" s="1131"/>
      <c r="E76" s="1131" t="e">
        <f>E56+E58+E60+E62+E66</f>
        <v>#VALUE!</v>
      </c>
      <c r="F76" s="77"/>
      <c r="G76" s="1202" t="s">
        <v>82</v>
      </c>
      <c r="H76" s="1253" t="e">
        <f>SUM(H54:H75)</f>
        <v>#VALUE!</v>
      </c>
      <c r="I76" s="371" t="e">
        <f>I56+I58+I60+I62+I66</f>
        <v>#VALUE!</v>
      </c>
      <c r="J76" s="365" t="e">
        <f>SUMPRODUCT(H54:H75,J54:J75)</f>
        <v>#VALUE!</v>
      </c>
      <c r="K76" s="365" t="e">
        <f>SUMPRODUCT(H54:H75,K54:K75)</f>
        <v>#VALUE!</v>
      </c>
      <c r="L76" s="365" t="e">
        <f>SUMPRODUCT(H54:H75,L54:L75)</f>
        <v>#VALUE!</v>
      </c>
      <c r="M76" s="365" t="e">
        <f>K76+L76</f>
        <v>#VALUE!</v>
      </c>
      <c r="N76" s="365" t="e">
        <f>J76+M76</f>
        <v>#VALUE!</v>
      </c>
      <c r="O76" s="365" t="e">
        <f>SUMPRODUCT(H54:H75,O54:O75)</f>
        <v>#VALUE!</v>
      </c>
      <c r="P76" s="365" t="e">
        <f>SUMPRODUCT(H54:H75,P54:P75)</f>
        <v>#VALUE!</v>
      </c>
      <c r="Q76" s="365" t="e">
        <f>SUMPRODUCT(H54:H75,Q54:Q75)</f>
        <v>#VALUE!</v>
      </c>
      <c r="R76" s="365" t="e">
        <f>O76+P76+Q76</f>
        <v>#VALUE!</v>
      </c>
      <c r="S76" s="365" t="e">
        <f>N76+R76</f>
        <v>#VALUE!</v>
      </c>
      <c r="T76" s="1220"/>
      <c r="U76" s="173"/>
      <c r="V76" s="173" t="e">
        <f>S52+S76</f>
        <v>#VALUE!</v>
      </c>
    </row>
    <row r="77" spans="2:22" ht="12" customHeight="1">
      <c r="D77" s="1132"/>
      <c r="E77" s="1132"/>
      <c r="F77" s="77"/>
      <c r="G77" s="1203"/>
      <c r="H77" s="1254"/>
      <c r="I77" s="375" t="e">
        <f>H76/$H$76</f>
        <v>#VALUE!</v>
      </c>
      <c r="J77" s="292" t="e">
        <f t="shared" ref="J77:S77" si="21">ROUNDDOWN(J76*0.3025,2)</f>
        <v>#VALUE!</v>
      </c>
      <c r="K77" s="292" t="e">
        <f t="shared" si="21"/>
        <v>#VALUE!</v>
      </c>
      <c r="L77" s="292" t="e">
        <f t="shared" si="21"/>
        <v>#VALUE!</v>
      </c>
      <c r="M77" s="292" t="e">
        <f t="shared" si="21"/>
        <v>#VALUE!</v>
      </c>
      <c r="N77" s="292" t="e">
        <f t="shared" si="21"/>
        <v>#VALUE!</v>
      </c>
      <c r="O77" s="292" t="e">
        <f t="shared" si="21"/>
        <v>#VALUE!</v>
      </c>
      <c r="P77" s="292" t="e">
        <f t="shared" si="21"/>
        <v>#VALUE!</v>
      </c>
      <c r="Q77" s="292" t="e">
        <f t="shared" si="21"/>
        <v>#VALUE!</v>
      </c>
      <c r="R77" s="292" t="e">
        <f t="shared" si="21"/>
        <v>#VALUE!</v>
      </c>
      <c r="S77" s="292" t="e">
        <f t="shared" si="21"/>
        <v>#VALUE!</v>
      </c>
      <c r="T77" s="1207"/>
    </row>
    <row r="78" spans="2:22" ht="17.25" customHeight="1">
      <c r="C78" s="1212"/>
      <c r="D78" s="940"/>
      <c r="F78" s="77"/>
      <c r="G78" s="1213" t="s">
        <v>69</v>
      </c>
      <c r="H78" s="1255" t="e">
        <f>H52+H76</f>
        <v>#VALUE!</v>
      </c>
      <c r="I78" s="1217" t="e">
        <f>I52+I76</f>
        <v>#VALUE!</v>
      </c>
      <c r="J78" s="368" t="e">
        <f>J52+J76</f>
        <v>#VALUE!</v>
      </c>
      <c r="K78" s="368" t="e">
        <f>K52+K76</f>
        <v>#VALUE!</v>
      </c>
      <c r="L78" s="368" t="e">
        <f>L52+L76</f>
        <v>#VALUE!</v>
      </c>
      <c r="M78" s="368" t="e">
        <f>K78+L78</f>
        <v>#VALUE!</v>
      </c>
      <c r="N78" s="368" t="e">
        <f>J78+M78</f>
        <v>#VALUE!</v>
      </c>
      <c r="O78" s="368">
        <v>1050</v>
      </c>
      <c r="P78" s="368">
        <f>R6+R7+R8+R9+R10+R11+R12</f>
        <v>14825</v>
      </c>
      <c r="Q78" s="368" t="e">
        <f>(R18*V17)</f>
        <v>#VALUE!</v>
      </c>
      <c r="R78" s="368" t="e">
        <f>O78+P78+Q78</f>
        <v>#VALUE!</v>
      </c>
      <c r="S78" s="368" t="e">
        <f>N78+R78</f>
        <v>#VALUE!</v>
      </c>
      <c r="T78" s="358"/>
    </row>
    <row r="79" spans="2:22" ht="17.25" customHeight="1">
      <c r="C79" s="1076"/>
      <c r="D79" s="938"/>
      <c r="F79" s="77"/>
      <c r="G79" s="1214"/>
      <c r="H79" s="1256"/>
      <c r="I79" s="1218"/>
      <c r="J79" s="359" t="e">
        <f t="shared" ref="J79:S79" si="22">ROUNDDOWN(J78*0.3025,2)</f>
        <v>#VALUE!</v>
      </c>
      <c r="K79" s="359" t="e">
        <f t="shared" si="22"/>
        <v>#VALUE!</v>
      </c>
      <c r="L79" s="359" t="e">
        <f t="shared" si="22"/>
        <v>#VALUE!</v>
      </c>
      <c r="M79" s="359" t="e">
        <f t="shared" si="22"/>
        <v>#VALUE!</v>
      </c>
      <c r="N79" s="359" t="e">
        <f t="shared" si="22"/>
        <v>#VALUE!</v>
      </c>
      <c r="O79" s="359">
        <f t="shared" si="22"/>
        <v>317.62</v>
      </c>
      <c r="P79" s="359">
        <f t="shared" si="22"/>
        <v>4484.5600000000004</v>
      </c>
      <c r="Q79" s="359" t="e">
        <f t="shared" si="22"/>
        <v>#VALUE!</v>
      </c>
      <c r="R79" s="359" t="e">
        <f t="shared" si="22"/>
        <v>#VALUE!</v>
      </c>
      <c r="S79" s="359" t="e">
        <f t="shared" si="22"/>
        <v>#VALUE!</v>
      </c>
      <c r="T79" s="360"/>
    </row>
    <row r="80" spans="2:22" ht="6" customHeight="1">
      <c r="F80" s="77"/>
      <c r="G80" s="1046"/>
      <c r="H80" s="1047"/>
      <c r="I80" s="1047"/>
      <c r="J80" s="1047"/>
      <c r="K80" s="1047"/>
      <c r="L80" s="1047"/>
      <c r="M80" s="1047"/>
      <c r="N80" s="1047"/>
      <c r="O80" s="1047"/>
      <c r="P80" s="1047"/>
      <c r="Q80" s="1047"/>
      <c r="R80" s="1047"/>
      <c r="S80" s="1047"/>
      <c r="T80" s="1048"/>
    </row>
    <row r="81" spans="4:43" ht="18" customHeight="1">
      <c r="D81" s="321"/>
      <c r="F81" s="77"/>
      <c r="G81" s="951" t="s">
        <v>87</v>
      </c>
      <c r="H81" s="951"/>
      <c r="I81" s="951"/>
      <c r="J81" s="951"/>
      <c r="K81" s="951"/>
      <c r="L81" s="951"/>
      <c r="M81" s="951"/>
      <c r="N81" s="951"/>
      <c r="O81" s="951"/>
      <c r="P81" s="951"/>
      <c r="Q81" s="951"/>
      <c r="R81" s="951"/>
      <c r="S81" s="951"/>
      <c r="T81" s="952"/>
    </row>
    <row r="82" spans="4:43" s="6" customFormat="1" ht="14.1" customHeight="1">
      <c r="E82" s="322"/>
      <c r="F82" s="79"/>
      <c r="G82" s="984" t="s">
        <v>16</v>
      </c>
      <c r="H82" s="985"/>
      <c r="I82" s="986" t="s">
        <v>7</v>
      </c>
      <c r="J82" s="987"/>
      <c r="K82" s="986" t="s">
        <v>83</v>
      </c>
      <c r="L82" s="987"/>
      <c r="M82" s="986" t="s">
        <v>22</v>
      </c>
      <c r="N82" s="987"/>
      <c r="O82" s="85" t="s">
        <v>218</v>
      </c>
      <c r="P82" s="85" t="s">
        <v>32</v>
      </c>
      <c r="Q82" s="1044" t="s">
        <v>73</v>
      </c>
      <c r="R82" s="1045"/>
      <c r="S82" s="1051" t="s">
        <v>74</v>
      </c>
      <c r="T82" s="1052"/>
    </row>
    <row r="83" spans="4:43" s="6" customFormat="1" ht="14.1" hidden="1" customHeight="1">
      <c r="F83" s="79"/>
      <c r="G83" s="1032" t="s">
        <v>50</v>
      </c>
      <c r="H83" s="1033"/>
      <c r="I83" s="1049">
        <f>M83*0.7</f>
        <v>0</v>
      </c>
      <c r="J83" s="1050"/>
      <c r="K83" s="1049">
        <f>M83*0.3</f>
        <v>0</v>
      </c>
      <c r="L83" s="1050"/>
      <c r="M83" s="1049">
        <v>0</v>
      </c>
      <c r="N83" s="1050"/>
      <c r="O83" s="58">
        <f>M83*0.15</f>
        <v>0</v>
      </c>
      <c r="P83" s="59" t="e">
        <f>#REF!*42</f>
        <v>#REF!</v>
      </c>
      <c r="Q83" s="988" t="e">
        <f>SUM(M83:P83)</f>
        <v>#REF!</v>
      </c>
      <c r="R83" s="989"/>
      <c r="S83" s="990"/>
      <c r="T83" s="991"/>
    </row>
    <row r="84" spans="4:43" s="6" customFormat="1" ht="14.1" hidden="1" customHeight="1">
      <c r="F84" s="79"/>
      <c r="G84" s="1034"/>
      <c r="H84" s="1035"/>
      <c r="I84" s="992">
        <f t="shared" ref="I84:I86" si="23">I83*0.3025</f>
        <v>0</v>
      </c>
      <c r="J84" s="993"/>
      <c r="K84" s="992">
        <f>K83*0.3025</f>
        <v>0</v>
      </c>
      <c r="L84" s="993"/>
      <c r="M84" s="1038">
        <f>M83*0.3025</f>
        <v>0</v>
      </c>
      <c r="N84" s="1039"/>
      <c r="O84" s="9">
        <f t="shared" ref="O84:O90" si="24">O83*0.3025</f>
        <v>0</v>
      </c>
      <c r="P84" s="60" t="e">
        <f>P83*0.3025</f>
        <v>#REF!</v>
      </c>
      <c r="Q84" s="1040" t="e">
        <f>Q83*0.3025</f>
        <v>#REF!</v>
      </c>
      <c r="R84" s="1041"/>
      <c r="S84" s="1042"/>
      <c r="T84" s="1043"/>
    </row>
    <row r="85" spans="4:43" s="6" customFormat="1" ht="14.1" customHeight="1">
      <c r="F85" s="79"/>
      <c r="G85" s="996" t="s">
        <v>38</v>
      </c>
      <c r="H85" s="1001" t="s">
        <v>45</v>
      </c>
      <c r="I85" s="1057">
        <f>M85*0.7</f>
        <v>3024</v>
      </c>
      <c r="J85" s="1000"/>
      <c r="K85" s="999">
        <f>M85*0.3</f>
        <v>1296</v>
      </c>
      <c r="L85" s="1000"/>
      <c r="M85" s="1058">
        <f>'설계개요(1단지)'!M89:N89+'설계개요(2)'!M85:N85</f>
        <v>4320</v>
      </c>
      <c r="N85" s="1059"/>
      <c r="O85" s="91">
        <f>$O$89*I85/$I$89</f>
        <v>795.09202453987734</v>
      </c>
      <c r="P85" s="91">
        <f>$P$89*I85/$I$89</f>
        <v>1855.2147239263804</v>
      </c>
      <c r="Q85" s="1017">
        <f>SUM(M85:P85)</f>
        <v>6970.3067484662579</v>
      </c>
      <c r="R85" s="1018"/>
      <c r="S85" s="1019"/>
      <c r="T85" s="1020"/>
      <c r="U85" s="7"/>
      <c r="V85" s="7">
        <f>I85/I89*Q89</f>
        <v>6970.306748466257</v>
      </c>
      <c r="W85" s="7"/>
      <c r="X85" s="8"/>
    </row>
    <row r="86" spans="4:43" s="6" customFormat="1" ht="14.1" customHeight="1">
      <c r="F86" s="79"/>
      <c r="G86" s="997"/>
      <c r="H86" s="1002"/>
      <c r="I86" s="1021">
        <f t="shared" si="23"/>
        <v>914.76</v>
      </c>
      <c r="J86" s="1022"/>
      <c r="K86" s="1023">
        <f>K85*0.3025</f>
        <v>392.03999999999996</v>
      </c>
      <c r="L86" s="1022"/>
      <c r="M86" s="1024">
        <f>M85*0.3025</f>
        <v>1306.8</v>
      </c>
      <c r="N86" s="1025"/>
      <c r="O86" s="92">
        <f>O85*0.3025</f>
        <v>240.5153374233129</v>
      </c>
      <c r="P86" s="92">
        <f>P85*0.3025</f>
        <v>561.20245398773011</v>
      </c>
      <c r="Q86" s="1024">
        <f>Q85*0.3025</f>
        <v>2108.5177914110432</v>
      </c>
      <c r="R86" s="1025"/>
      <c r="S86" s="1026"/>
      <c r="T86" s="1027"/>
      <c r="U86" s="7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spans="4:43" s="6" customFormat="1" ht="14.1" customHeight="1">
      <c r="F87" s="79"/>
      <c r="G87" s="997"/>
      <c r="H87" s="1077" t="s">
        <v>46</v>
      </c>
      <c r="I87" s="1057">
        <f>M87*0.7</f>
        <v>1540</v>
      </c>
      <c r="J87" s="1000"/>
      <c r="K87" s="999">
        <f>M87*0.3</f>
        <v>660</v>
      </c>
      <c r="L87" s="1000"/>
      <c r="M87" s="1058">
        <f>'설계개요(1단지)'!M91:N91+'설계개요(2)'!M87:N87</f>
        <v>2200</v>
      </c>
      <c r="N87" s="1059"/>
      <c r="O87" s="91">
        <f>$O$89*I87/$I$89</f>
        <v>404.90797546012271</v>
      </c>
      <c r="P87" s="91">
        <f>$P$89*I87/$I$89</f>
        <v>944.78527607361968</v>
      </c>
      <c r="Q87" s="1058">
        <f>SUM(M87:P87)</f>
        <v>3549.6932515337421</v>
      </c>
      <c r="R87" s="1059"/>
      <c r="S87" s="1060"/>
      <c r="T87" s="1061"/>
      <c r="U87"/>
      <c r="V87" s="7">
        <f>I87/I89*Q89</f>
        <v>3549.6932515337421</v>
      </c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spans="4:43" ht="14.1" customHeight="1">
      <c r="F88" s="77"/>
      <c r="G88" s="998"/>
      <c r="H88" s="1078"/>
      <c r="I88" s="1062">
        <f t="shared" ref="I88" si="25">I87*0.3025</f>
        <v>465.84999999999997</v>
      </c>
      <c r="J88" s="1063"/>
      <c r="K88" s="1064">
        <f>K87*0.3025</f>
        <v>199.65</v>
      </c>
      <c r="L88" s="1063"/>
      <c r="M88" s="1065">
        <f>M87*0.3025</f>
        <v>665.5</v>
      </c>
      <c r="N88" s="1066"/>
      <c r="O88" s="94">
        <f>O87*0.3025</f>
        <v>122.48466257668711</v>
      </c>
      <c r="P88" s="98">
        <f>P87*0.3025</f>
        <v>285.79754601226995</v>
      </c>
      <c r="Q88" s="1065">
        <f>Q87*0.3025</f>
        <v>1073.782208588957</v>
      </c>
      <c r="R88" s="1066"/>
      <c r="S88" s="1067"/>
      <c r="T88" s="1068"/>
      <c r="U88"/>
      <c r="AQ88" s="6"/>
    </row>
    <row r="89" spans="4:43" ht="14.1" customHeight="1">
      <c r="F89" s="77"/>
      <c r="G89" s="1225" t="s">
        <v>69</v>
      </c>
      <c r="H89" s="1226"/>
      <c r="I89" s="1229">
        <f>M89*0.7</f>
        <v>4564</v>
      </c>
      <c r="J89" s="1230"/>
      <c r="K89" s="1231">
        <f>M89*0.3</f>
        <v>1956</v>
      </c>
      <c r="L89" s="1230"/>
      <c r="M89" s="1231">
        <f>M85+M87</f>
        <v>6520</v>
      </c>
      <c r="N89" s="1230"/>
      <c r="O89" s="293">
        <f>'설계개요(1단지)'!O93+'설계개요(2)'!O89</f>
        <v>1200</v>
      </c>
      <c r="P89" s="293">
        <f>'설계개요(1단지)'!P93+'설계개요(2)'!P89</f>
        <v>2800</v>
      </c>
      <c r="Q89" s="1232">
        <f>SUM(M89:P89)</f>
        <v>10520</v>
      </c>
      <c r="R89" s="1233"/>
      <c r="S89" s="1234"/>
      <c r="T89" s="1235"/>
      <c r="U89" s="6"/>
      <c r="AQ89" s="6"/>
    </row>
    <row r="90" spans="4:43" ht="14.1" customHeight="1">
      <c r="F90" s="77"/>
      <c r="G90" s="1227"/>
      <c r="H90" s="1228"/>
      <c r="I90" s="1236">
        <f t="shared" ref="I90" si="26">I89*0.3025</f>
        <v>1380.61</v>
      </c>
      <c r="J90" s="1237"/>
      <c r="K90" s="1238">
        <f>K89*0.3025</f>
        <v>591.68999999999994</v>
      </c>
      <c r="L90" s="1237"/>
      <c r="M90" s="1221">
        <f>M89*0.3025</f>
        <v>1972.3</v>
      </c>
      <c r="N90" s="1222"/>
      <c r="O90" s="294">
        <f t="shared" si="24"/>
        <v>363</v>
      </c>
      <c r="P90" s="295">
        <f>P89*0.3025</f>
        <v>847</v>
      </c>
      <c r="Q90" s="1221">
        <f>Q89*0.3025</f>
        <v>3182.2999999999997</v>
      </c>
      <c r="R90" s="1222"/>
      <c r="S90" s="1223"/>
      <c r="T90" s="1224"/>
      <c r="U90" s="7"/>
      <c r="AQ90" s="6"/>
    </row>
    <row r="91" spans="4:43" ht="14.1" customHeight="1">
      <c r="Q91" s="5"/>
      <c r="R91" s="5"/>
      <c r="S91" s="5"/>
      <c r="T91" s="6"/>
      <c r="U91" s="6"/>
      <c r="AQ91" s="6"/>
    </row>
    <row r="92" spans="4:43" ht="14.1" customHeight="1">
      <c r="J92" s="2" t="e">
        <f>H56*J56+J58*H58+H60*J60+J62*H62+H66*J66</f>
        <v>#VALUE!</v>
      </c>
      <c r="K92" s="2" t="e">
        <f>H56*K56+K58*H58+H60*K60+K62*H62+H66*K66</f>
        <v>#VALUE!</v>
      </c>
      <c r="P92" s="379">
        <f>P85+P87</f>
        <v>2800</v>
      </c>
      <c r="T92" s="6"/>
      <c r="U92" s="6"/>
      <c r="AQ92" s="6"/>
    </row>
    <row r="93" spans="4:43" ht="14.1" customHeight="1">
      <c r="T93" s="6"/>
      <c r="U93" s="6"/>
      <c r="AQ93" s="6"/>
    </row>
    <row r="94" spans="4:43" ht="14.1" customHeight="1">
      <c r="T94" s="6"/>
      <c r="U94" s="6"/>
      <c r="AQ94" s="6"/>
    </row>
    <row r="95" spans="4:43" ht="14.1" customHeight="1">
      <c r="H95" s="11" t="e">
        <f>H38+H58</f>
        <v>#VALUE!</v>
      </c>
      <c r="I95" s="145" t="e">
        <f>I38+I58</f>
        <v>#VALUE!</v>
      </c>
      <c r="M95" s="144" t="e">
        <f t="shared" ref="M95:S95" si="27">M52+M76</f>
        <v>#VALUE!</v>
      </c>
      <c r="N95" s="144" t="e">
        <f t="shared" si="27"/>
        <v>#VALUE!</v>
      </c>
      <c r="O95" s="144" t="e">
        <f t="shared" si="27"/>
        <v>#VALUE!</v>
      </c>
      <c r="P95" s="144" t="e">
        <f t="shared" si="27"/>
        <v>#VALUE!</v>
      </c>
      <c r="Q95" s="144" t="e">
        <f t="shared" si="27"/>
        <v>#VALUE!</v>
      </c>
      <c r="R95" s="144" t="e">
        <f t="shared" si="27"/>
        <v>#VALUE!</v>
      </c>
      <c r="S95" s="144" t="e">
        <f t="shared" si="27"/>
        <v>#VALUE!</v>
      </c>
      <c r="T95" s="6"/>
      <c r="U95" s="6"/>
      <c r="AQ95" s="6"/>
    </row>
    <row r="96" spans="4:43" ht="14.1" customHeight="1">
      <c r="H96" s="11" t="e">
        <f>H58+H60+H64</f>
        <v>#VALUE!</v>
      </c>
      <c r="AQ96" s="6"/>
    </row>
    <row r="97" spans="7:43" ht="14.1" customHeight="1">
      <c r="AQ97" s="6"/>
    </row>
    <row r="98" spans="7:43" ht="14.1" customHeight="1">
      <c r="AQ98" s="6"/>
    </row>
    <row r="99" spans="7:43" ht="14.1" customHeight="1">
      <c r="AQ99" s="6"/>
    </row>
    <row r="100" spans="7:43" ht="14.1" customHeight="1">
      <c r="AQ100" s="6"/>
    </row>
    <row r="101" spans="7:43" ht="14.1" customHeight="1" thickBot="1">
      <c r="G101" s="1"/>
      <c r="K101" s="3"/>
      <c r="M101" s="1007" t="s">
        <v>89</v>
      </c>
      <c r="N101" s="1007"/>
      <c r="O101" s="1007"/>
      <c r="P101" s="112"/>
      <c r="Q101" s="113"/>
      <c r="R101" s="112"/>
      <c r="S101" s="6"/>
      <c r="AQ101" s="6"/>
    </row>
    <row r="102" spans="7:43" ht="14.1" customHeight="1">
      <c r="G102" s="34"/>
      <c r="H102" s="35"/>
      <c r="I102" s="36"/>
      <c r="J102" s="36"/>
      <c r="K102" s="37"/>
      <c r="M102" s="114"/>
      <c r="N102" s="115">
        <v>0</v>
      </c>
      <c r="O102" s="116">
        <v>300</v>
      </c>
      <c r="P102" s="117">
        <v>500</v>
      </c>
      <c r="Q102" s="118">
        <v>1000</v>
      </c>
      <c r="R102" s="117">
        <v>2000</v>
      </c>
      <c r="S102" s="6"/>
      <c r="AQ102" s="6"/>
    </row>
    <row r="103" spans="7:43" ht="14.1" customHeight="1">
      <c r="G103" s="38"/>
      <c r="H103" s="39"/>
      <c r="I103" s="40"/>
      <c r="J103" s="40"/>
      <c r="K103" s="41"/>
      <c r="M103" s="119"/>
      <c r="N103" s="120" t="s">
        <v>90</v>
      </c>
      <c r="O103" s="120" t="s">
        <v>91</v>
      </c>
      <c r="P103" s="120" t="s">
        <v>92</v>
      </c>
      <c r="Q103" s="120" t="s">
        <v>93</v>
      </c>
      <c r="R103" s="120" t="s">
        <v>94</v>
      </c>
      <c r="S103" s="6"/>
      <c r="AQ103" s="6"/>
    </row>
    <row r="104" spans="7:43" ht="14.1" customHeight="1">
      <c r="G104" s="980"/>
      <c r="H104" s="106"/>
      <c r="I104" s="106"/>
      <c r="J104" s="106"/>
      <c r="K104" s="42"/>
      <c r="M104" s="119" t="s">
        <v>4</v>
      </c>
      <c r="N104" s="121">
        <v>6</v>
      </c>
      <c r="O104" s="121">
        <v>8</v>
      </c>
      <c r="P104" s="121">
        <v>12</v>
      </c>
      <c r="Q104" s="122">
        <v>15</v>
      </c>
      <c r="R104" s="121">
        <v>20</v>
      </c>
      <c r="S104" s="6"/>
      <c r="AQ104" s="6"/>
    </row>
    <row r="105" spans="7:43" ht="14.1" customHeight="1">
      <c r="G105" s="981"/>
      <c r="H105" s="107"/>
      <c r="I105" s="107"/>
      <c r="J105" s="108"/>
      <c r="K105" s="43"/>
      <c r="M105" s="114"/>
      <c r="N105" s="112"/>
      <c r="O105" s="112"/>
      <c r="P105" s="112"/>
      <c r="Q105" s="113"/>
      <c r="R105" s="112"/>
      <c r="S105" s="6"/>
      <c r="AQ105" s="6"/>
    </row>
    <row r="106" spans="7:43" ht="14.1" customHeight="1">
      <c r="G106" s="994"/>
      <c r="H106" s="106"/>
      <c r="I106" s="106"/>
      <c r="J106" s="106"/>
      <c r="K106" s="42"/>
      <c r="M106" s="114"/>
      <c r="N106" s="112"/>
      <c r="O106" s="112"/>
      <c r="P106" s="112"/>
      <c r="Q106" s="113"/>
      <c r="R106" s="112"/>
      <c r="S106" s="6"/>
      <c r="AQ106" s="6"/>
    </row>
    <row r="107" spans="7:43" ht="14.1" customHeight="1">
      <c r="G107" s="995"/>
      <c r="H107" s="107"/>
      <c r="I107" s="107"/>
      <c r="J107" s="108"/>
      <c r="K107" s="43"/>
      <c r="M107" s="1007" t="s">
        <v>95</v>
      </c>
      <c r="N107" s="1007"/>
      <c r="O107" s="1007"/>
      <c r="P107" s="112"/>
      <c r="Q107" s="113"/>
      <c r="R107" s="112"/>
      <c r="S107" s="6"/>
      <c r="AQ107" s="6"/>
    </row>
    <row r="108" spans="7:43" ht="20.25" customHeight="1">
      <c r="G108" s="994"/>
      <c r="H108" s="106"/>
      <c r="I108" s="106"/>
      <c r="J108" s="106"/>
      <c r="K108" s="42"/>
      <c r="M108" s="123"/>
      <c r="N108" s="123">
        <v>0</v>
      </c>
      <c r="O108" s="142">
        <v>150</v>
      </c>
      <c r="P108" s="142">
        <v>300</v>
      </c>
      <c r="Q108" s="142">
        <v>500</v>
      </c>
      <c r="R108" s="142">
        <v>1000</v>
      </c>
      <c r="S108" s="142">
        <v>1500</v>
      </c>
      <c r="AQ108" s="6"/>
    </row>
    <row r="109" spans="7:43" ht="20.25" customHeight="1">
      <c r="G109" s="981"/>
      <c r="H109" s="107"/>
      <c r="I109" s="107"/>
      <c r="J109" s="108"/>
      <c r="K109" s="43"/>
      <c r="M109" s="125"/>
      <c r="N109" s="125" t="s">
        <v>96</v>
      </c>
      <c r="O109" s="125" t="s">
        <v>97</v>
      </c>
      <c r="P109" s="125" t="s">
        <v>91</v>
      </c>
      <c r="Q109" s="125" t="s">
        <v>92</v>
      </c>
      <c r="R109" s="125" t="s">
        <v>98</v>
      </c>
      <c r="S109" s="125" t="s">
        <v>99</v>
      </c>
    </row>
    <row r="110" spans="7:43" ht="14.1" customHeight="1">
      <c r="G110" s="980"/>
      <c r="H110" s="106"/>
      <c r="I110" s="106"/>
      <c r="J110" s="106"/>
      <c r="M110" s="126" t="s">
        <v>100</v>
      </c>
      <c r="N110" s="124">
        <v>0</v>
      </c>
      <c r="O110" s="127" t="e">
        <f>50+(H78*0.1)</f>
        <v>#VALUE!</v>
      </c>
      <c r="P110" s="127">
        <v>155</v>
      </c>
      <c r="Q110" s="127">
        <v>225</v>
      </c>
      <c r="R110" s="127">
        <v>375</v>
      </c>
      <c r="S110" s="128">
        <v>500</v>
      </c>
    </row>
    <row r="111" spans="7:43" ht="14.1" customHeight="1">
      <c r="G111" s="981"/>
      <c r="H111" s="108"/>
      <c r="I111" s="107"/>
      <c r="J111" s="108"/>
      <c r="M111" s="126" t="s">
        <v>24</v>
      </c>
      <c r="N111" s="124">
        <v>0</v>
      </c>
      <c r="O111" s="123">
        <v>0</v>
      </c>
      <c r="P111" s="127">
        <v>198</v>
      </c>
      <c r="Q111" s="127">
        <v>330</v>
      </c>
      <c r="R111" s="127">
        <v>580</v>
      </c>
      <c r="S111" s="127">
        <v>725</v>
      </c>
    </row>
    <row r="112" spans="7:43" ht="14.1" customHeight="1">
      <c r="G112" s="980"/>
      <c r="H112" s="106"/>
      <c r="I112" s="106"/>
      <c r="J112" s="106"/>
      <c r="K112" s="42"/>
      <c r="M112" s="126" t="s">
        <v>35</v>
      </c>
      <c r="N112" s="124">
        <v>0</v>
      </c>
      <c r="O112" s="123">
        <v>0</v>
      </c>
      <c r="P112" s="129">
        <v>108</v>
      </c>
      <c r="Q112" s="129">
        <v>158</v>
      </c>
      <c r="R112" s="129">
        <v>203</v>
      </c>
      <c r="S112" s="129">
        <v>298</v>
      </c>
    </row>
    <row r="113" spans="7:19" ht="14.1" customHeight="1">
      <c r="G113" s="981"/>
      <c r="H113" s="107"/>
      <c r="I113" s="107"/>
      <c r="J113" s="108"/>
      <c r="K113" s="43"/>
      <c r="S113" s="6"/>
    </row>
    <row r="114" spans="7:19" ht="14.1" customHeight="1">
      <c r="G114" s="81"/>
      <c r="H114" s="106"/>
      <c r="I114" s="106"/>
      <c r="J114" s="106"/>
      <c r="K114" s="42"/>
      <c r="M114" s="1007" t="s">
        <v>101</v>
      </c>
      <c r="N114" s="1007"/>
      <c r="O114" s="1007"/>
      <c r="S114" s="6"/>
    </row>
    <row r="115" spans="7:19" ht="14.1" customHeight="1" thickBot="1">
      <c r="G115" s="44"/>
      <c r="H115" s="109"/>
      <c r="I115" s="109"/>
      <c r="J115" s="110"/>
      <c r="K115" s="45"/>
      <c r="N115" s="130">
        <v>0</v>
      </c>
      <c r="O115" s="130">
        <v>500</v>
      </c>
      <c r="P115" s="130">
        <v>1000</v>
      </c>
      <c r="Q115" s="130">
        <v>1500</v>
      </c>
      <c r="R115" s="6"/>
      <c r="S115" s="6"/>
    </row>
    <row r="116" spans="7:19" ht="14.1" customHeight="1">
      <c r="M116" s="131"/>
      <c r="N116" s="132" t="s">
        <v>102</v>
      </c>
      <c r="O116" s="132" t="s">
        <v>103</v>
      </c>
      <c r="P116" s="132" t="s">
        <v>104</v>
      </c>
      <c r="Q116" s="125" t="s">
        <v>99</v>
      </c>
      <c r="R116" s="6"/>
      <c r="S116" s="6"/>
    </row>
    <row r="117" spans="7:19" ht="14.1" customHeight="1">
      <c r="M117" s="133" t="s">
        <v>105</v>
      </c>
      <c r="N117" s="134">
        <v>90</v>
      </c>
      <c r="O117" s="134">
        <v>90</v>
      </c>
      <c r="P117" s="134">
        <v>108</v>
      </c>
      <c r="Q117" s="135">
        <v>138</v>
      </c>
      <c r="R117" s="6"/>
      <c r="S117" s="6"/>
    </row>
    <row r="118" spans="7:19" ht="14.1" customHeight="1">
      <c r="M118" s="133" t="s">
        <v>106</v>
      </c>
      <c r="N118" s="134">
        <v>188</v>
      </c>
      <c r="O118" s="134">
        <v>188</v>
      </c>
      <c r="P118" s="134">
        <v>324</v>
      </c>
      <c r="Q118" s="135">
        <v>454</v>
      </c>
    </row>
    <row r="119" spans="7:19" ht="14.1" customHeight="1">
      <c r="M119" s="136" t="s">
        <v>107</v>
      </c>
      <c r="N119" s="135">
        <v>146</v>
      </c>
      <c r="O119" s="134">
        <v>158</v>
      </c>
      <c r="P119" s="135">
        <v>184</v>
      </c>
      <c r="Q119" s="135">
        <v>210</v>
      </c>
    </row>
    <row r="120" spans="7:19" ht="14.1" customHeight="1">
      <c r="M120" s="133" t="s">
        <v>108</v>
      </c>
      <c r="N120" s="135">
        <v>60</v>
      </c>
      <c r="O120" s="134">
        <v>80</v>
      </c>
      <c r="P120" s="135">
        <v>100</v>
      </c>
      <c r="Q120" s="135">
        <v>150</v>
      </c>
    </row>
    <row r="121" spans="7:19" ht="14.1" customHeight="1">
      <c r="M121" s="137" t="s">
        <v>1</v>
      </c>
      <c r="N121" s="135">
        <f>SUM(N117:N120)</f>
        <v>484</v>
      </c>
      <c r="O121" s="135">
        <f t="shared" ref="O121:Q121" si="28">SUM(O117:O120)</f>
        <v>516</v>
      </c>
      <c r="P121" s="135">
        <f t="shared" si="28"/>
        <v>716</v>
      </c>
      <c r="Q121" s="135">
        <f t="shared" si="28"/>
        <v>952</v>
      </c>
    </row>
    <row r="122" spans="7:19" ht="14.1" customHeight="1">
      <c r="M122" s="1007" t="s">
        <v>109</v>
      </c>
      <c r="N122" s="1007"/>
      <c r="O122" s="1007"/>
    </row>
    <row r="123" spans="7:19" ht="14.1" customHeight="1">
      <c r="N123" s="130">
        <v>0</v>
      </c>
      <c r="O123" s="130">
        <v>500</v>
      </c>
      <c r="P123" s="130">
        <v>1000</v>
      </c>
      <c r="Q123" s="130">
        <v>1500</v>
      </c>
    </row>
    <row r="124" spans="7:19" ht="14.1" customHeight="1">
      <c r="M124" s="131"/>
      <c r="N124" s="132" t="s">
        <v>102</v>
      </c>
      <c r="O124" s="132" t="s">
        <v>103</v>
      </c>
      <c r="P124" s="132" t="s">
        <v>104</v>
      </c>
      <c r="Q124" s="125" t="s">
        <v>99</v>
      </c>
    </row>
    <row r="125" spans="7:19" ht="14.1" customHeight="1">
      <c r="M125" s="133" t="s">
        <v>114</v>
      </c>
      <c r="N125" s="138">
        <v>36</v>
      </c>
      <c r="O125" s="138">
        <v>48</v>
      </c>
      <c r="P125" s="138">
        <v>56</v>
      </c>
      <c r="Q125" s="139">
        <v>63</v>
      </c>
    </row>
    <row r="126" spans="7:19" ht="14.1" customHeight="1">
      <c r="M126" s="133" t="s">
        <v>115</v>
      </c>
      <c r="N126" s="138">
        <v>12</v>
      </c>
      <c r="O126" s="138">
        <v>18</v>
      </c>
      <c r="P126" s="138">
        <v>22</v>
      </c>
      <c r="Q126" s="139">
        <v>34</v>
      </c>
    </row>
    <row r="127" spans="7:19" ht="14.1" customHeight="1">
      <c r="M127" s="137" t="s">
        <v>1</v>
      </c>
      <c r="N127" s="140">
        <f>SUM(N125:N126)</f>
        <v>48</v>
      </c>
      <c r="O127" s="141">
        <f>SUM(O125:O126)</f>
        <v>66</v>
      </c>
      <c r="P127" s="140">
        <f>SUM(P125:P126)</f>
        <v>78</v>
      </c>
      <c r="Q127" s="140">
        <f>SUM(Q125:Q126)</f>
        <v>97</v>
      </c>
    </row>
  </sheetData>
  <mergeCells count="257">
    <mergeCell ref="H5:L5"/>
    <mergeCell ref="O5:Q5"/>
    <mergeCell ref="O6:P6"/>
    <mergeCell ref="S6:T6"/>
    <mergeCell ref="H7:L7"/>
    <mergeCell ref="S7:T7"/>
    <mergeCell ref="G2:L2"/>
    <mergeCell ref="V2:W2"/>
    <mergeCell ref="H3:L3"/>
    <mergeCell ref="S3:T3"/>
    <mergeCell ref="H4:L4"/>
    <mergeCell ref="O4:Q4"/>
    <mergeCell ref="G8:G14"/>
    <mergeCell ref="H8:I8"/>
    <mergeCell ref="O8:O14"/>
    <mergeCell ref="P8:P10"/>
    <mergeCell ref="S8:T8"/>
    <mergeCell ref="H9:H13"/>
    <mergeCell ref="S9:T9"/>
    <mergeCell ref="S12:T12"/>
    <mergeCell ref="H14:I14"/>
    <mergeCell ref="S14:T14"/>
    <mergeCell ref="G15:G24"/>
    <mergeCell ref="H15:I15"/>
    <mergeCell ref="J15:K15"/>
    <mergeCell ref="O15:P15"/>
    <mergeCell ref="S15:T15"/>
    <mergeCell ref="X15:AE16"/>
    <mergeCell ref="H16:H18"/>
    <mergeCell ref="L16:L18"/>
    <mergeCell ref="O16:P16"/>
    <mergeCell ref="S16:T16"/>
    <mergeCell ref="O17:P17"/>
    <mergeCell ref="S17:T17"/>
    <mergeCell ref="Y17:Z17"/>
    <mergeCell ref="AA17:AD17"/>
    <mergeCell ref="N18:N25"/>
    <mergeCell ref="O18:O20"/>
    <mergeCell ref="R18:R23"/>
    <mergeCell ref="S18:T23"/>
    <mergeCell ref="Y18:Z18"/>
    <mergeCell ref="AA18:AD18"/>
    <mergeCell ref="H19:H21"/>
    <mergeCell ref="L19:L21"/>
    <mergeCell ref="Y19:Z19"/>
    <mergeCell ref="AA19:AD19"/>
    <mergeCell ref="O21:O23"/>
    <mergeCell ref="H22:H24"/>
    <mergeCell ref="L22:L24"/>
    <mergeCell ref="S24:T24"/>
    <mergeCell ref="X24:X31"/>
    <mergeCell ref="AC24:AD24"/>
    <mergeCell ref="H25:I25"/>
    <mergeCell ref="O25:P25"/>
    <mergeCell ref="AC25:AD28"/>
    <mergeCell ref="H26:J26"/>
    <mergeCell ref="L26:L27"/>
    <mergeCell ref="N26:T26"/>
    <mergeCell ref="H27:K27"/>
    <mergeCell ref="N27:N31"/>
    <mergeCell ref="S27:S28"/>
    <mergeCell ref="T27:T31"/>
    <mergeCell ref="H28:J28"/>
    <mergeCell ref="L28:L29"/>
    <mergeCell ref="H29:K29"/>
    <mergeCell ref="S29:S31"/>
    <mergeCell ref="AC29:AC31"/>
    <mergeCell ref="AD29:AD31"/>
    <mergeCell ref="H30:K30"/>
    <mergeCell ref="V30:V31"/>
    <mergeCell ref="H31:J31"/>
    <mergeCell ref="G33:T33"/>
    <mergeCell ref="B34:B35"/>
    <mergeCell ref="C34:C35"/>
    <mergeCell ref="D34:D35"/>
    <mergeCell ref="E34:E35"/>
    <mergeCell ref="G34:G35"/>
    <mergeCell ref="H34:H35"/>
    <mergeCell ref="I34:I35"/>
    <mergeCell ref="J34:J35"/>
    <mergeCell ref="K34:M34"/>
    <mergeCell ref="V36:V37"/>
    <mergeCell ref="B38:B39"/>
    <mergeCell ref="C38:C39"/>
    <mergeCell ref="D38:D39"/>
    <mergeCell ref="E38:E39"/>
    <mergeCell ref="F38:F39"/>
    <mergeCell ref="H38:H39"/>
    <mergeCell ref="N34:N35"/>
    <mergeCell ref="O34:Q34"/>
    <mergeCell ref="R34:R35"/>
    <mergeCell ref="S34:S35"/>
    <mergeCell ref="T34:T35"/>
    <mergeCell ref="B36:B37"/>
    <mergeCell ref="C36:C37"/>
    <mergeCell ref="D36:D37"/>
    <mergeCell ref="E36:E37"/>
    <mergeCell ref="F36:F37"/>
    <mergeCell ref="I38:I39"/>
    <mergeCell ref="F40:F41"/>
    <mergeCell ref="H40:H41"/>
    <mergeCell ref="I40:I41"/>
    <mergeCell ref="E42:E43"/>
    <mergeCell ref="H42:H43"/>
    <mergeCell ref="H36:H37"/>
    <mergeCell ref="I36:I37"/>
    <mergeCell ref="T36:T41"/>
    <mergeCell ref="T42:T51"/>
    <mergeCell ref="E44:E45"/>
    <mergeCell ref="H44:H45"/>
    <mergeCell ref="I44:I45"/>
    <mergeCell ref="I48:I49"/>
    <mergeCell ref="B46:B47"/>
    <mergeCell ref="C46:C47"/>
    <mergeCell ref="D46:D47"/>
    <mergeCell ref="E46:E47"/>
    <mergeCell ref="H46:H47"/>
    <mergeCell ref="E48:E49"/>
    <mergeCell ref="B52:B53"/>
    <mergeCell ref="C52:C53"/>
    <mergeCell ref="D52:D53"/>
    <mergeCell ref="E52:E53"/>
    <mergeCell ref="G52:G53"/>
    <mergeCell ref="H52:H53"/>
    <mergeCell ref="H48:H49"/>
    <mergeCell ref="B50:B51"/>
    <mergeCell ref="C50:C51"/>
    <mergeCell ref="D50:D51"/>
    <mergeCell ref="E50:E51"/>
    <mergeCell ref="H50:H51"/>
    <mergeCell ref="E56:E57"/>
    <mergeCell ref="F56:F57"/>
    <mergeCell ref="H56:H57"/>
    <mergeCell ref="C58:C59"/>
    <mergeCell ref="D58:D59"/>
    <mergeCell ref="E58:E59"/>
    <mergeCell ref="F58:F59"/>
    <mergeCell ref="H58:H59"/>
    <mergeCell ref="T52:T53"/>
    <mergeCell ref="C54:C55"/>
    <mergeCell ref="D54:D55"/>
    <mergeCell ref="E54:E55"/>
    <mergeCell ref="F54:F55"/>
    <mergeCell ref="H54:H55"/>
    <mergeCell ref="I54:I55"/>
    <mergeCell ref="T54:T75"/>
    <mergeCell ref="C56:C57"/>
    <mergeCell ref="D56:D57"/>
    <mergeCell ref="C64:C65"/>
    <mergeCell ref="D64:D65"/>
    <mergeCell ref="E64:E65"/>
    <mergeCell ref="F64:F65"/>
    <mergeCell ref="H64:H65"/>
    <mergeCell ref="I64:I65"/>
    <mergeCell ref="C60:C61"/>
    <mergeCell ref="D60:D61"/>
    <mergeCell ref="E60:E61"/>
    <mergeCell ref="F60:F61"/>
    <mergeCell ref="H60:H61"/>
    <mergeCell ref="C62:C63"/>
    <mergeCell ref="D62:D63"/>
    <mergeCell ref="E62:E63"/>
    <mergeCell ref="F62:F63"/>
    <mergeCell ref="H62:H63"/>
    <mergeCell ref="E66:E67"/>
    <mergeCell ref="H66:H67"/>
    <mergeCell ref="E68:E69"/>
    <mergeCell ref="H68:H69"/>
    <mergeCell ref="I68:I69"/>
    <mergeCell ref="C70:C71"/>
    <mergeCell ref="D70:D71"/>
    <mergeCell ref="E70:E71"/>
    <mergeCell ref="F70:F71"/>
    <mergeCell ref="H70:H71"/>
    <mergeCell ref="C78:C79"/>
    <mergeCell ref="D78:D79"/>
    <mergeCell ref="G78:G79"/>
    <mergeCell ref="H78:H79"/>
    <mergeCell ref="I78:I79"/>
    <mergeCell ref="I70:I71"/>
    <mergeCell ref="E72:E73"/>
    <mergeCell ref="H72:H73"/>
    <mergeCell ref="I72:I73"/>
    <mergeCell ref="C74:C75"/>
    <mergeCell ref="D74:D75"/>
    <mergeCell ref="E74:E75"/>
    <mergeCell ref="F74:F75"/>
    <mergeCell ref="H74:H75"/>
    <mergeCell ref="I74:I75"/>
    <mergeCell ref="G80:T80"/>
    <mergeCell ref="G81:T81"/>
    <mergeCell ref="G82:H82"/>
    <mergeCell ref="I82:J82"/>
    <mergeCell ref="K82:L82"/>
    <mergeCell ref="M82:N82"/>
    <mergeCell ref="Q82:R82"/>
    <mergeCell ref="S82:T82"/>
    <mergeCell ref="D76:D77"/>
    <mergeCell ref="E76:E77"/>
    <mergeCell ref="G76:G77"/>
    <mergeCell ref="H76:H77"/>
    <mergeCell ref="T76:T77"/>
    <mergeCell ref="S84:T84"/>
    <mergeCell ref="G85:G88"/>
    <mergeCell ref="H85:H86"/>
    <mergeCell ref="I85:J85"/>
    <mergeCell ref="K85:L85"/>
    <mergeCell ref="M85:N85"/>
    <mergeCell ref="Q85:R85"/>
    <mergeCell ref="S85:T85"/>
    <mergeCell ref="I86:J86"/>
    <mergeCell ref="K86:L86"/>
    <mergeCell ref="G83:H84"/>
    <mergeCell ref="I83:J83"/>
    <mergeCell ref="K83:L83"/>
    <mergeCell ref="M83:N83"/>
    <mergeCell ref="Q83:R83"/>
    <mergeCell ref="S83:T83"/>
    <mergeCell ref="I84:J84"/>
    <mergeCell ref="K84:L84"/>
    <mergeCell ref="M84:N84"/>
    <mergeCell ref="Q84:R84"/>
    <mergeCell ref="S89:T89"/>
    <mergeCell ref="M86:N86"/>
    <mergeCell ref="Q86:R86"/>
    <mergeCell ref="S86:T86"/>
    <mergeCell ref="H87:H88"/>
    <mergeCell ref="I87:J87"/>
    <mergeCell ref="K87:L87"/>
    <mergeCell ref="M87:N87"/>
    <mergeCell ref="Q87:R87"/>
    <mergeCell ref="S87:T87"/>
    <mergeCell ref="I88:J88"/>
    <mergeCell ref="M114:O114"/>
    <mergeCell ref="M122:O122"/>
    <mergeCell ref="W33:Y33"/>
    <mergeCell ref="G104:G105"/>
    <mergeCell ref="G106:G107"/>
    <mergeCell ref="M107:O107"/>
    <mergeCell ref="G108:G109"/>
    <mergeCell ref="G110:G111"/>
    <mergeCell ref="G112:G113"/>
    <mergeCell ref="I90:J90"/>
    <mergeCell ref="K90:L90"/>
    <mergeCell ref="M90:N90"/>
    <mergeCell ref="Q90:R90"/>
    <mergeCell ref="S90:T90"/>
    <mergeCell ref="M101:O101"/>
    <mergeCell ref="K88:L88"/>
    <mergeCell ref="M88:N88"/>
    <mergeCell ref="Q88:R88"/>
    <mergeCell ref="S88:T88"/>
    <mergeCell ref="G89:H90"/>
    <mergeCell ref="I89:J89"/>
    <mergeCell ref="K89:L89"/>
    <mergeCell ref="M89:N89"/>
    <mergeCell ref="Q89:R89"/>
  </mergeCells>
  <phoneticPr fontId="2" type="noConversion"/>
  <printOptions horizontalCentered="1"/>
  <pageMargins left="0.7" right="0.7" top="0.75" bottom="0.75" header="0.3" footer="0.3"/>
  <pageSetup paperSize="8" scale="75" orientation="landscape" r:id="rId1"/>
  <headerFooter alignWithMargins="0"/>
  <rowBreaks count="1" manualBreakCount="1">
    <brk id="86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4F81BD"/>
    <pageSetUpPr autoPageBreaks="0" fitToPage="1"/>
  </sheetPr>
  <dimension ref="B1:AQ141"/>
  <sheetViews>
    <sheetView tabSelected="1" view="pageBreakPreview" topLeftCell="A5" zoomScale="85" zoomScaleNormal="100" zoomScaleSheetLayoutView="85" workbookViewId="0">
      <selection activeCell="V22" sqref="V22"/>
    </sheetView>
  </sheetViews>
  <sheetFormatPr defaultColWidth="8.77734375" defaultRowHeight="14.1" customHeight="1"/>
  <cols>
    <col min="1" max="1" width="8.77734375" style="2"/>
    <col min="2" max="2" width="11.33203125" style="2" bestFit="1" customWidth="1"/>
    <col min="3" max="3" width="10.21875" style="2" bestFit="1" customWidth="1"/>
    <col min="4" max="4" width="15.33203125" style="2" customWidth="1"/>
    <col min="5" max="5" width="9.77734375" style="2" bestFit="1" customWidth="1"/>
    <col min="6" max="6" width="8.77734375" style="2"/>
    <col min="7" max="7" width="13.21875" style="2" customWidth="1"/>
    <col min="8" max="9" width="9.21875" style="2" customWidth="1"/>
    <col min="10" max="11" width="12.77734375" style="2" customWidth="1"/>
    <col min="12" max="13" width="11.6640625" style="2" customWidth="1"/>
    <col min="14" max="14" width="12.21875" style="2" bestFit="1" customWidth="1"/>
    <col min="15" max="15" width="14.44140625" style="2" customWidth="1"/>
    <col min="16" max="16" width="18.44140625" style="2" customWidth="1"/>
    <col min="17" max="17" width="13.5546875" style="2" customWidth="1"/>
    <col min="18" max="18" width="12.33203125" style="2" customWidth="1"/>
    <col min="19" max="20" width="14.109375" style="2" customWidth="1"/>
    <col min="21" max="21" width="4.5546875" style="2" customWidth="1"/>
    <col min="22" max="22" width="10.77734375" style="2" customWidth="1"/>
    <col min="23" max="23" width="6.6640625" style="2" customWidth="1"/>
    <col min="24" max="24" width="25.88671875" style="2" customWidth="1"/>
    <col min="25" max="25" width="9.33203125" style="2" bestFit="1" customWidth="1"/>
    <col min="26" max="26" width="6.44140625" style="2" customWidth="1"/>
    <col min="27" max="27" width="6.88671875" style="2" customWidth="1"/>
    <col min="28" max="28" width="6.21875" style="2" customWidth="1"/>
    <col min="29" max="29" width="8.6640625" style="2" customWidth="1"/>
    <col min="30" max="30" width="7" style="2" customWidth="1"/>
    <col min="31" max="31" width="8.21875" style="2" customWidth="1"/>
    <col min="32" max="32" width="8.44140625" style="2" customWidth="1"/>
    <col min="33" max="33" width="7.77734375" style="2" customWidth="1"/>
    <col min="34" max="34" width="7.109375" style="2" customWidth="1"/>
    <col min="35" max="35" width="10.5546875" style="2" bestFit="1" customWidth="1"/>
    <col min="36" max="16384" width="8.77734375" style="2"/>
  </cols>
  <sheetData>
    <row r="1" spans="3:34" ht="14.1" customHeight="1"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</row>
    <row r="2" spans="3:34" ht="18" customHeight="1" thickBot="1">
      <c r="F2" s="77"/>
      <c r="G2" s="839" t="s">
        <v>486</v>
      </c>
      <c r="H2" s="839"/>
      <c r="I2" s="839"/>
      <c r="J2" s="839"/>
      <c r="K2" s="839"/>
      <c r="L2" s="840"/>
      <c r="M2" s="70"/>
      <c r="N2" s="418" t="s">
        <v>33</v>
      </c>
      <c r="O2" s="419"/>
      <c r="P2" s="419"/>
      <c r="Q2" s="419"/>
      <c r="R2" s="419"/>
    </row>
    <row r="3" spans="3:34" ht="17.100000000000001" customHeight="1">
      <c r="E3" s="310">
        <v>0.88</v>
      </c>
      <c r="F3" s="77"/>
      <c r="G3" s="72" t="s">
        <v>52</v>
      </c>
      <c r="H3" s="844" t="s">
        <v>254</v>
      </c>
      <c r="I3" s="845"/>
      <c r="J3" s="845"/>
      <c r="K3" s="845"/>
      <c r="L3" s="846"/>
      <c r="M3" s="415"/>
      <c r="N3" s="420" t="s">
        <v>65</v>
      </c>
      <c r="O3" s="421"/>
      <c r="P3" s="422" t="s">
        <v>61</v>
      </c>
      <c r="Q3" s="423"/>
      <c r="R3" s="424" t="s">
        <v>10</v>
      </c>
      <c r="S3" s="1346" t="s">
        <v>51</v>
      </c>
      <c r="T3" s="1347"/>
      <c r="W3" s="1076" t="s">
        <v>268</v>
      </c>
      <c r="X3" s="1076"/>
      <c r="Y3" s="1076"/>
      <c r="Z3" s="1076" t="s">
        <v>269</v>
      </c>
      <c r="AA3" s="1076"/>
      <c r="AB3" s="1076"/>
      <c r="AC3" s="1076" t="s">
        <v>282</v>
      </c>
      <c r="AD3" s="1076"/>
      <c r="AE3" s="1076"/>
      <c r="AF3" s="1076" t="s">
        <v>290</v>
      </c>
      <c r="AG3" s="1076"/>
      <c r="AH3" s="1076"/>
    </row>
    <row r="4" spans="3:34" ht="17.100000000000001" customHeight="1" thickBot="1">
      <c r="E4" s="311">
        <f>J27/(J14*E3)</f>
        <v>2.9867700134823867</v>
      </c>
      <c r="F4" s="77"/>
      <c r="G4" s="73" t="s">
        <v>11</v>
      </c>
      <c r="H4" s="849" t="s">
        <v>390</v>
      </c>
      <c r="I4" s="850"/>
      <c r="J4" s="850"/>
      <c r="K4" s="850"/>
      <c r="L4" s="851"/>
      <c r="M4" s="415"/>
      <c r="N4" s="425" t="s">
        <v>4</v>
      </c>
      <c r="O4" s="852"/>
      <c r="P4" s="852"/>
      <c r="Q4" s="853"/>
      <c r="R4" s="32"/>
      <c r="S4" s="21"/>
      <c r="T4" s="426"/>
    </row>
    <row r="5" spans="3:34" ht="17.100000000000001" customHeight="1">
      <c r="F5" s="77"/>
      <c r="G5" s="73" t="s">
        <v>27</v>
      </c>
      <c r="H5" s="849" t="s">
        <v>231</v>
      </c>
      <c r="I5" s="850"/>
      <c r="J5" s="850"/>
      <c r="K5" s="850"/>
      <c r="L5" s="851"/>
      <c r="M5" s="415"/>
      <c r="N5" s="427" t="s">
        <v>5</v>
      </c>
      <c r="O5" s="857"/>
      <c r="P5" s="857"/>
      <c r="Q5" s="861"/>
      <c r="R5" s="389"/>
      <c r="S5" s="22"/>
      <c r="T5" s="428"/>
      <c r="W5" s="130" t="s">
        <v>255</v>
      </c>
      <c r="X5" s="130" t="s">
        <v>331</v>
      </c>
      <c r="Y5" s="130" t="s">
        <v>271</v>
      </c>
      <c r="Z5" s="130" t="s">
        <v>275</v>
      </c>
      <c r="AA5" s="130"/>
      <c r="AB5" s="130" t="s">
        <v>271</v>
      </c>
      <c r="AC5" s="130" t="s">
        <v>298</v>
      </c>
      <c r="AD5" s="130"/>
      <c r="AE5" s="130" t="s">
        <v>302</v>
      </c>
      <c r="AF5" s="130" t="s">
        <v>292</v>
      </c>
      <c r="AG5" s="130"/>
      <c r="AH5" s="130" t="s">
        <v>272</v>
      </c>
    </row>
    <row r="6" spans="3:34" ht="17.100000000000001" customHeight="1">
      <c r="F6" s="77"/>
      <c r="G6" s="73" t="s">
        <v>39</v>
      </c>
      <c r="H6" s="50" t="s">
        <v>388</v>
      </c>
      <c r="I6" s="185">
        <f>ROUNDUP(E4,0)</f>
        <v>3</v>
      </c>
      <c r="J6" s="186"/>
      <c r="K6" s="186"/>
      <c r="L6" s="186"/>
      <c r="M6" s="415"/>
      <c r="N6" s="427" t="s">
        <v>6</v>
      </c>
      <c r="O6" s="862">
        <f>H82</f>
        <v>5158</v>
      </c>
      <c r="P6" s="862"/>
      <c r="Q6" s="23">
        <f>IF(H82&gt;=50, ROUNDUP((10+(H82-50)*0.05),2), "해당없음")</f>
        <v>265.39999999999998</v>
      </c>
      <c r="R6" s="762">
        <f>'설계개요(1단지)'!R6+'설계개요(2단지)'!R6+'설계개요(3단지)'!R6+'설계개요(4단지)'!R6</f>
        <v>800</v>
      </c>
      <c r="S6" s="1143" t="s">
        <v>13</v>
      </c>
      <c r="T6" s="1366"/>
      <c r="W6" s="130" t="s">
        <v>257</v>
      </c>
      <c r="X6" s="130" t="s">
        <v>327</v>
      </c>
      <c r="Y6" s="130" t="s">
        <v>270</v>
      </c>
      <c r="Z6" s="130" t="s">
        <v>276</v>
      </c>
      <c r="AA6" s="130"/>
      <c r="AB6" s="130" t="s">
        <v>271</v>
      </c>
      <c r="AC6" s="130" t="s">
        <v>283</v>
      </c>
      <c r="AD6" s="130"/>
      <c r="AE6" s="130" t="s">
        <v>302</v>
      </c>
      <c r="AF6" s="130" t="s">
        <v>293</v>
      </c>
      <c r="AG6" s="130"/>
      <c r="AH6" s="130" t="s">
        <v>272</v>
      </c>
    </row>
    <row r="7" spans="3:34" ht="17.100000000000001" customHeight="1">
      <c r="F7" s="77" t="s">
        <v>468</v>
      </c>
      <c r="G7" s="74" t="s">
        <v>40</v>
      </c>
      <c r="H7" s="863" t="s">
        <v>78</v>
      </c>
      <c r="I7" s="864"/>
      <c r="J7" s="864"/>
      <c r="K7" s="864"/>
      <c r="L7" s="865"/>
      <c r="M7" s="415"/>
      <c r="N7" s="429" t="s">
        <v>66</v>
      </c>
      <c r="O7" s="24"/>
      <c r="P7" s="63"/>
      <c r="Q7" s="25"/>
      <c r="R7" s="763">
        <f>'설계개요(1단지)'!R7+'설계개요(2단지)'!R7+'설계개요(3단지)'!R7+'설계개요(4단지)'!R7</f>
        <v>600</v>
      </c>
      <c r="S7" s="859"/>
      <c r="T7" s="1348"/>
      <c r="W7" s="130" t="s">
        <v>259</v>
      </c>
      <c r="X7" s="130" t="s">
        <v>328</v>
      </c>
      <c r="Y7" s="130" t="s">
        <v>270</v>
      </c>
      <c r="Z7" s="130" t="s">
        <v>277</v>
      </c>
      <c r="AA7" s="130"/>
      <c r="AB7" s="130" t="s">
        <v>280</v>
      </c>
      <c r="AC7" s="130" t="s">
        <v>284</v>
      </c>
      <c r="AD7" s="130"/>
      <c r="AE7" s="130" t="s">
        <v>302</v>
      </c>
      <c r="AF7" s="130" t="s">
        <v>294</v>
      </c>
      <c r="AG7" s="130"/>
      <c r="AH7" s="130" t="s">
        <v>280</v>
      </c>
    </row>
    <row r="8" spans="3:34" ht="17.100000000000001" customHeight="1">
      <c r="F8" s="766">
        <v>252642.1</v>
      </c>
      <c r="G8" s="1134" t="s">
        <v>41</v>
      </c>
      <c r="H8" s="884" t="s">
        <v>3</v>
      </c>
      <c r="I8" s="885"/>
      <c r="J8" s="325">
        <v>250722.1</v>
      </c>
      <c r="K8" s="331">
        <f t="shared" ref="K8:K14" si="0">ROUNDDOWN(J8*0.3025,2)</f>
        <v>75843.429999999993</v>
      </c>
      <c r="L8" s="105">
        <f t="shared" ref="L8:L14" si="1">J8/$J$8</f>
        <v>1</v>
      </c>
      <c r="M8" s="415"/>
      <c r="N8" s="425" t="s">
        <v>67</v>
      </c>
      <c r="O8" s="1093" t="s">
        <v>75</v>
      </c>
      <c r="P8" s="1356" t="s">
        <v>469</v>
      </c>
      <c r="Q8" s="26">
        <f>725+((H82-2000)*0.2)</f>
        <v>1356.6</v>
      </c>
      <c r="R8" s="761">
        <f>'설계개요(1단지)'!R8+'설계개요(2단지)'!R8+'설계개요(3단지)'!R8+'설계개요(4단지)'!R8</f>
        <v>3240</v>
      </c>
      <c r="S8" s="1349" t="s">
        <v>247</v>
      </c>
      <c r="T8" s="1350"/>
      <c r="V8" s="2">
        <f>V9*0.3025</f>
        <v>10729.674999999999</v>
      </c>
      <c r="W8" s="130" t="s">
        <v>260</v>
      </c>
      <c r="X8" s="130" t="s">
        <v>329</v>
      </c>
      <c r="Y8" s="130" t="s">
        <v>272</v>
      </c>
      <c r="Z8" s="130" t="s">
        <v>278</v>
      </c>
      <c r="AA8" s="130"/>
      <c r="AB8" s="130" t="s">
        <v>280</v>
      </c>
      <c r="AC8" s="130" t="s">
        <v>285</v>
      </c>
      <c r="AD8" s="130"/>
      <c r="AE8" s="130" t="s">
        <v>271</v>
      </c>
      <c r="AF8" s="130" t="s">
        <v>295</v>
      </c>
      <c r="AG8" s="130"/>
      <c r="AH8" s="130" t="s">
        <v>280</v>
      </c>
    </row>
    <row r="9" spans="3:34" ht="17.100000000000001" customHeight="1">
      <c r="F9" s="766">
        <v>49953.2</v>
      </c>
      <c r="G9" s="1135"/>
      <c r="H9" s="1137" t="s">
        <v>14</v>
      </c>
      <c r="I9" s="65" t="s">
        <v>348</v>
      </c>
      <c r="J9" s="326">
        <f>'설계개요(1단지)'!J12</f>
        <v>41998.6</v>
      </c>
      <c r="K9" s="332">
        <f t="shared" si="0"/>
        <v>12704.57</v>
      </c>
      <c r="L9" s="15">
        <f t="shared" si="1"/>
        <v>0.16751056249130011</v>
      </c>
      <c r="M9" s="416"/>
      <c r="N9" s="427" t="s">
        <v>24</v>
      </c>
      <c r="O9" s="1093"/>
      <c r="P9" s="1356"/>
      <c r="Q9" s="26">
        <f>725+((H82-2000)*0.2)</f>
        <v>1356.6</v>
      </c>
      <c r="R9" s="762">
        <f>'설계개요(1단지)'!R9+'설계개요(2단지)'!R9+'설계개요(3단지)'!R9+'설계개요(4단지)'!R9</f>
        <v>3550</v>
      </c>
      <c r="S9" s="1241" t="s">
        <v>247</v>
      </c>
      <c r="T9" s="1351"/>
      <c r="V9" s="825">
        <f>SUM(R7:R12)</f>
        <v>35470</v>
      </c>
      <c r="W9" s="130" t="s">
        <v>261</v>
      </c>
      <c r="X9" s="130" t="s">
        <v>329</v>
      </c>
      <c r="Y9" s="130" t="s">
        <v>272</v>
      </c>
      <c r="Z9" s="130" t="s">
        <v>279</v>
      </c>
      <c r="AA9" s="130"/>
      <c r="AB9" s="130" t="s">
        <v>280</v>
      </c>
      <c r="AC9" s="130" t="s">
        <v>286</v>
      </c>
      <c r="AD9" s="130"/>
      <c r="AE9" s="130" t="s">
        <v>271</v>
      </c>
      <c r="AF9" s="130" t="s">
        <v>296</v>
      </c>
      <c r="AG9" s="130"/>
      <c r="AH9" s="130" t="s">
        <v>272</v>
      </c>
    </row>
    <row r="10" spans="3:34" ht="17.100000000000001" customHeight="1">
      <c r="C10" s="130" t="s">
        <v>158</v>
      </c>
      <c r="D10" s="289">
        <v>3</v>
      </c>
      <c r="E10" s="312">
        <f>$H$82*D10</f>
        <v>15474</v>
      </c>
      <c r="F10" s="766"/>
      <c r="G10" s="1135"/>
      <c r="H10" s="1138"/>
      <c r="I10" s="65"/>
      <c r="J10" s="326"/>
      <c r="K10" s="332"/>
      <c r="L10" s="15"/>
      <c r="M10" s="415"/>
      <c r="N10" s="427" t="s">
        <v>35</v>
      </c>
      <c r="O10" s="1093"/>
      <c r="P10" s="1357"/>
      <c r="Q10" s="26">
        <f>298+((H82-2000)*0.1)</f>
        <v>613.79999999999995</v>
      </c>
      <c r="R10" s="762">
        <f>'설계개요(1단지)'!R10+'설계개요(2단지)'!R10+'설계개요(3단지)'!R10+'설계개요(4단지)'!R10</f>
        <v>3000</v>
      </c>
      <c r="S10" s="773"/>
      <c r="T10" s="428"/>
      <c r="V10" s="173">
        <f>R8+R9+R10+R11+R12+R15</f>
        <v>40007.949999999997</v>
      </c>
      <c r="W10" s="130" t="s">
        <v>262</v>
      </c>
      <c r="X10" s="130" t="s">
        <v>329</v>
      </c>
      <c r="Y10" s="130" t="s">
        <v>272</v>
      </c>
      <c r="Z10" s="130"/>
      <c r="AA10" s="130"/>
      <c r="AB10" s="130"/>
      <c r="AC10" s="130" t="s">
        <v>287</v>
      </c>
      <c r="AD10" s="130"/>
      <c r="AE10" s="130" t="s">
        <v>280</v>
      </c>
      <c r="AF10" s="130" t="s">
        <v>297</v>
      </c>
      <c r="AG10" s="130"/>
      <c r="AH10" s="130" t="s">
        <v>280</v>
      </c>
    </row>
    <row r="11" spans="3:34" ht="17.100000000000001" customHeight="1">
      <c r="F11" s="766"/>
      <c r="G11" s="1135"/>
      <c r="H11" s="1138"/>
      <c r="I11" s="65"/>
      <c r="J11" s="326"/>
      <c r="K11" s="332"/>
      <c r="L11" s="15"/>
      <c r="M11" s="415"/>
      <c r="N11" s="430" t="s">
        <v>88</v>
      </c>
      <c r="O11" s="1093"/>
      <c r="P11" s="147" t="s">
        <v>479</v>
      </c>
      <c r="Q11" s="26">
        <v>66</v>
      </c>
      <c r="R11" s="762">
        <f>'설계개요(1단지)'!R11+'설계개요(2단지)'!R11+'설계개요(3단지)'!R11+'설계개요(4단지)'!R11</f>
        <v>1300</v>
      </c>
      <c r="S11" s="773"/>
      <c r="T11" s="428"/>
      <c r="V11" s="2">
        <f>V10/H82</f>
        <v>7.7564850717332297</v>
      </c>
      <c r="W11" s="130" t="s">
        <v>263</v>
      </c>
      <c r="X11" s="130" t="s">
        <v>329</v>
      </c>
      <c r="Y11" s="130" t="s">
        <v>272</v>
      </c>
      <c r="Z11" s="130"/>
      <c r="AA11" s="130"/>
      <c r="AB11" s="130"/>
      <c r="AC11" s="130" t="s">
        <v>288</v>
      </c>
      <c r="AD11" s="130"/>
      <c r="AE11" s="130" t="s">
        <v>280</v>
      </c>
      <c r="AF11" s="130" t="s">
        <v>291</v>
      </c>
      <c r="AG11" s="130"/>
      <c r="AH11" s="130" t="s">
        <v>272</v>
      </c>
    </row>
    <row r="12" spans="3:34" ht="17.100000000000001" customHeight="1">
      <c r="F12" s="766"/>
      <c r="G12" s="1135"/>
      <c r="H12" s="1138"/>
      <c r="I12" s="65"/>
      <c r="J12" s="326"/>
      <c r="K12" s="332"/>
      <c r="L12" s="15"/>
      <c r="M12" s="415"/>
      <c r="N12" s="430" t="s">
        <v>34</v>
      </c>
      <c r="O12" s="1093"/>
      <c r="P12" s="759" t="s">
        <v>466</v>
      </c>
      <c r="Q12" s="767" t="s">
        <v>480</v>
      </c>
      <c r="R12" s="762">
        <f>'설계개요(1단지)'!R12+'설계개요(2단지)'!R12+'설계개요(3단지)'!R12+'설계개요(4단지)'!R12</f>
        <v>23780</v>
      </c>
      <c r="S12" s="1352"/>
      <c r="T12" s="1353"/>
      <c r="V12" s="2">
        <f>V9/H82</f>
        <v>6.8766963939511436</v>
      </c>
      <c r="W12" s="130" t="s">
        <v>264</v>
      </c>
      <c r="X12" s="130" t="s">
        <v>328</v>
      </c>
      <c r="Y12" s="130" t="s">
        <v>270</v>
      </c>
      <c r="Z12" s="130"/>
      <c r="AA12" s="130"/>
      <c r="AB12" s="130"/>
      <c r="AC12" s="130" t="s">
        <v>289</v>
      </c>
      <c r="AD12" s="130"/>
      <c r="AE12" s="130" t="s">
        <v>271</v>
      </c>
      <c r="AF12" s="130" t="s">
        <v>299</v>
      </c>
      <c r="AG12" s="130"/>
      <c r="AH12" s="130" t="s">
        <v>272</v>
      </c>
    </row>
    <row r="13" spans="3:34" ht="16.5" customHeight="1">
      <c r="F13" s="766">
        <v>49953.2</v>
      </c>
      <c r="G13" s="1135"/>
      <c r="H13" s="1139"/>
      <c r="I13" s="65" t="s">
        <v>47</v>
      </c>
      <c r="J13" s="327">
        <f>J9+J10+J11+J12</f>
        <v>41998.6</v>
      </c>
      <c r="K13" s="333">
        <f t="shared" si="0"/>
        <v>12704.57</v>
      </c>
      <c r="L13" s="102">
        <f t="shared" si="1"/>
        <v>0.16751056249130011</v>
      </c>
      <c r="M13" s="415"/>
      <c r="N13" s="430" t="s">
        <v>76</v>
      </c>
      <c r="O13" s="1093"/>
      <c r="P13" s="758" t="str">
        <f>IF(H82&gt;=500,"500세대이상 의무설치", "해당없음")</f>
        <v>500세대이상 의무설치</v>
      </c>
      <c r="Q13" s="767" t="s">
        <v>480</v>
      </c>
      <c r="R13" s="762">
        <f>'설계개요(1단지)'!R13+'설계개요(2단지)'!R13+'설계개요(3단지)'!R13+'설계개요(4단지)'!R13</f>
        <v>4000</v>
      </c>
      <c r="S13" s="22"/>
      <c r="T13" s="428"/>
      <c r="V13" s="826">
        <f>V12*0.3025</f>
        <v>2.0802006591702207</v>
      </c>
      <c r="W13" s="130" t="s">
        <v>265</v>
      </c>
      <c r="X13" s="130" t="s">
        <v>328</v>
      </c>
      <c r="Y13" s="130" t="s">
        <v>270</v>
      </c>
      <c r="Z13" s="130"/>
      <c r="AA13" s="130"/>
      <c r="AB13" s="130"/>
      <c r="AC13" s="130"/>
      <c r="AD13" s="130"/>
      <c r="AE13" s="130"/>
      <c r="AF13" s="130" t="s">
        <v>300</v>
      </c>
      <c r="AG13" s="130"/>
      <c r="AH13" s="130" t="s">
        <v>302</v>
      </c>
    </row>
    <row r="14" spans="3:34" ht="17.100000000000001" customHeight="1">
      <c r="F14" s="766">
        <v>202688.9</v>
      </c>
      <c r="G14" s="1135"/>
      <c r="H14" s="1137" t="s">
        <v>42</v>
      </c>
      <c r="I14" s="1329"/>
      <c r="J14" s="1332">
        <f>J8-J13</f>
        <v>208723.5</v>
      </c>
      <c r="K14" s="1334">
        <f t="shared" si="0"/>
        <v>63138.85</v>
      </c>
      <c r="L14" s="1336">
        <f t="shared" si="1"/>
        <v>0.83248943750869986</v>
      </c>
      <c r="M14" s="415"/>
      <c r="N14" s="774" t="s">
        <v>77</v>
      </c>
      <c r="O14" s="1093"/>
      <c r="P14" s="818" t="str">
        <f>IF(H82&lt;100,"해당없음",IF(H82&lt;300,"지역여건에 맞게 설치",IF(H82&lt;1000,"200㎡+세대당 1㎡",IF(H82&gt;1000,"500㎡+세대당 0.7㎡"))))</f>
        <v>500㎡+세대당 0.7㎡</v>
      </c>
      <c r="Q14" s="819">
        <f>500+(H82*0.7)</f>
        <v>4110.6000000000004</v>
      </c>
      <c r="R14" s="814">
        <f>'설계개요(1단지)'!R14+'설계개요(2단지)'!R14+'설계개요(3단지)'!R14+'설계개요(4단지)'!R14</f>
        <v>8300</v>
      </c>
      <c r="S14" s="1354"/>
      <c r="T14" s="1355"/>
      <c r="V14" s="2">
        <f>V11*0.3025</f>
        <v>2.3463367341993018</v>
      </c>
      <c r="W14" s="130" t="s">
        <v>266</v>
      </c>
      <c r="X14" s="130" t="s">
        <v>329</v>
      </c>
      <c r="Y14" s="130" t="s">
        <v>272</v>
      </c>
      <c r="Z14" s="130"/>
      <c r="AA14" s="130"/>
      <c r="AB14" s="130"/>
      <c r="AC14" s="130"/>
      <c r="AD14" s="130"/>
      <c r="AE14" s="130"/>
      <c r="AF14" s="130" t="s">
        <v>301</v>
      </c>
      <c r="AG14" s="130"/>
      <c r="AH14" s="130" t="s">
        <v>302</v>
      </c>
    </row>
    <row r="15" spans="3:34" ht="17.100000000000001" customHeight="1">
      <c r="F15" s="766"/>
      <c r="G15" s="1136"/>
      <c r="H15" s="1330"/>
      <c r="I15" s="1331"/>
      <c r="J15" s="1333"/>
      <c r="K15" s="1335"/>
      <c r="L15" s="1337"/>
      <c r="M15" s="415"/>
      <c r="N15" s="420" t="s">
        <v>470</v>
      </c>
      <c r="O15" s="820"/>
      <c r="P15" s="821"/>
      <c r="Q15" s="822"/>
      <c r="R15" s="829">
        <f>'설계개요(1단지)'!R15+'설계개요(2단지)'!R15+'설계개요(3단지)'!R15+'설계개요(4단지)'!R15</f>
        <v>5137.95</v>
      </c>
      <c r="S15" s="1338" t="s">
        <v>475</v>
      </c>
      <c r="T15" s="1339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130"/>
    </row>
    <row r="16" spans="3:34" ht="17.100000000000001" customHeight="1">
      <c r="C16" s="2">
        <v>120698</v>
      </c>
      <c r="F16" s="77"/>
      <c r="G16" s="881" t="s">
        <v>43</v>
      </c>
      <c r="H16" s="1145" t="s">
        <v>70</v>
      </c>
      <c r="I16" s="1082"/>
      <c r="J16" s="1146" t="s">
        <v>71</v>
      </c>
      <c r="K16" s="1147"/>
      <c r="L16" s="335" t="s">
        <v>72</v>
      </c>
      <c r="M16" s="415"/>
      <c r="N16" s="815" t="s">
        <v>26</v>
      </c>
      <c r="O16" s="1340" t="s">
        <v>238</v>
      </c>
      <c r="P16" s="1341"/>
      <c r="Q16" s="816">
        <f>500+(H82*2)*1.25</f>
        <v>13395</v>
      </c>
      <c r="R16" s="817">
        <f>'설계개요(1단지)'!R16+'설계개요(2단지)'!R16+'설계개요(3단지)'!R16+'설계개요(4단지)'!R16</f>
        <v>47170</v>
      </c>
      <c r="S16" s="1342" t="s">
        <v>485</v>
      </c>
      <c r="T16" s="1343"/>
      <c r="W16" s="130" t="s">
        <v>267</v>
      </c>
      <c r="X16" s="130" t="s">
        <v>330</v>
      </c>
      <c r="Y16" s="130" t="s">
        <v>272</v>
      </c>
      <c r="Z16" s="130"/>
      <c r="AA16" s="130"/>
      <c r="AB16" s="130"/>
      <c r="AC16" s="130"/>
      <c r="AD16" s="130"/>
      <c r="AE16" s="130"/>
      <c r="AF16" s="130"/>
      <c r="AG16" s="130"/>
      <c r="AH16" s="130"/>
    </row>
    <row r="17" spans="3:34" ht="17.100000000000001" customHeight="1">
      <c r="C17" s="2">
        <v>93504.3</v>
      </c>
      <c r="D17" s="145">
        <f>C17/C16</f>
        <v>0.77469634956668709</v>
      </c>
      <c r="F17" s="77"/>
      <c r="G17" s="882"/>
      <c r="H17" s="1112" t="s">
        <v>44</v>
      </c>
      <c r="I17" s="66" t="s">
        <v>45</v>
      </c>
      <c r="J17" s="329">
        <f>N82+R8+R9+R7+R11+R15</f>
        <v>627842.03999999992</v>
      </c>
      <c r="K17" s="332">
        <f t="shared" ref="K17:K28" si="2">ROUNDDOWN(J17*0.3025,2)</f>
        <v>189922.21</v>
      </c>
      <c r="L17" s="1148">
        <f>J17/$J$26</f>
        <v>0.99014748418383935</v>
      </c>
      <c r="M17" s="415"/>
      <c r="N17" s="432" t="s">
        <v>36</v>
      </c>
      <c r="O17" s="1344" t="s">
        <v>85</v>
      </c>
      <c r="P17" s="1345"/>
      <c r="Q17" s="433">
        <f>J14*0.15</f>
        <v>31308.524999999998</v>
      </c>
      <c r="R17" s="813">
        <f>'설계개요(1단지)'!R17+'설계개요(2단지)'!R17+'설계개요(3단지)'!R17+'설계개요(4단지)'!R17</f>
        <v>31900</v>
      </c>
      <c r="S17" s="1360"/>
      <c r="T17" s="1361"/>
      <c r="V17" s="337" t="s">
        <v>188</v>
      </c>
      <c r="W17" s="130"/>
      <c r="X17" s="130"/>
      <c r="Y17" s="130"/>
      <c r="Z17" s="130"/>
      <c r="AA17" s="130"/>
      <c r="AB17" s="130"/>
      <c r="AC17" s="130"/>
      <c r="AD17" s="130"/>
      <c r="AE17" s="130"/>
      <c r="AF17" s="130"/>
      <c r="AG17" s="130"/>
      <c r="AH17" s="130"/>
    </row>
    <row r="18" spans="3:34" ht="17.100000000000001" customHeight="1">
      <c r="F18" s="77"/>
      <c r="G18" s="882"/>
      <c r="H18" s="1113"/>
      <c r="I18" s="66" t="s">
        <v>46</v>
      </c>
      <c r="J18" s="329">
        <f>O82+Q82+R6+R10+R12</f>
        <v>544680</v>
      </c>
      <c r="K18" s="332">
        <f t="shared" si="2"/>
        <v>164765.70000000001</v>
      </c>
      <c r="L18" s="1149"/>
      <c r="M18" s="415"/>
      <c r="N18" s="1362"/>
      <c r="O18" s="1362"/>
      <c r="P18" s="1362"/>
      <c r="Q18" s="1362"/>
      <c r="R18" s="1362"/>
      <c r="S18" s="1362"/>
      <c r="T18" s="1362"/>
      <c r="V18" s="338">
        <v>40</v>
      </c>
      <c r="W18" s="130" t="s">
        <v>1</v>
      </c>
      <c r="X18" s="130"/>
      <c r="Y18" s="385" t="s">
        <v>274</v>
      </c>
      <c r="Z18" s="130"/>
      <c r="AA18" s="130"/>
      <c r="AB18" s="130" t="s">
        <v>281</v>
      </c>
      <c r="AC18" s="130"/>
      <c r="AD18" s="130"/>
      <c r="AE18" s="130" t="s">
        <v>304</v>
      </c>
      <c r="AF18" s="130"/>
      <c r="AG18" s="130"/>
      <c r="AH18" s="2" t="s">
        <v>303</v>
      </c>
    </row>
    <row r="19" spans="3:34" ht="17.100000000000001" customHeight="1">
      <c r="F19" s="77"/>
      <c r="G19" s="882"/>
      <c r="H19" s="1114"/>
      <c r="I19" s="66" t="s">
        <v>47</v>
      </c>
      <c r="J19" s="329">
        <f>SUM(J17:J18)</f>
        <v>1172522.04</v>
      </c>
      <c r="K19" s="332">
        <f t="shared" si="2"/>
        <v>354687.91</v>
      </c>
      <c r="L19" s="1150"/>
      <c r="M19" s="415"/>
      <c r="N19" s="1363" t="s">
        <v>37</v>
      </c>
      <c r="O19" s="874" t="s">
        <v>81</v>
      </c>
      <c r="P19" s="197" t="s">
        <v>122</v>
      </c>
      <c r="Q19" s="284">
        <f>ROUNDUP((SUMPRODUCT(H40:H55,J40:J55)+SUMPRODUCT(H60:H67,J60:J67))/75,0)</f>
        <v>3213</v>
      </c>
      <c r="R19" s="1404">
        <f>H82*S19</f>
        <v>12895</v>
      </c>
      <c r="S19" s="968">
        <v>2.5</v>
      </c>
      <c r="T19" s="1407"/>
      <c r="Z19" s="384"/>
      <c r="AA19" s="384"/>
      <c r="AB19" s="384"/>
      <c r="AC19" s="384"/>
      <c r="AD19" s="384"/>
      <c r="AE19" s="384"/>
      <c r="AF19" s="384"/>
      <c r="AG19" s="384"/>
      <c r="AH19" s="384"/>
    </row>
    <row r="20" spans="3:34" ht="17.100000000000001" customHeight="1">
      <c r="F20" s="77"/>
      <c r="G20" s="882"/>
      <c r="H20" s="1161" t="s">
        <v>38</v>
      </c>
      <c r="I20" s="65" t="s">
        <v>45</v>
      </c>
      <c r="J20" s="329">
        <f>M89+M91</f>
        <v>6247.3760000000002</v>
      </c>
      <c r="K20" s="332">
        <f t="shared" si="2"/>
        <v>1889.83</v>
      </c>
      <c r="L20" s="1148">
        <f>J20/$J$26</f>
        <v>9.8525158161605411E-3</v>
      </c>
      <c r="M20" s="415"/>
      <c r="N20" s="1364"/>
      <c r="O20" s="875"/>
      <c r="P20" s="150" t="s">
        <v>123</v>
      </c>
      <c r="Q20" s="286">
        <f>ROUNDUP((SUMPRODUCT(H68:H79,J68:J79))/65,0)</f>
        <v>3395</v>
      </c>
      <c r="R20" s="1405"/>
      <c r="S20" s="970"/>
      <c r="T20" s="1408"/>
      <c r="V20" s="173">
        <f>R6+R7+R8+R9+R10+R11+R12</f>
        <v>36270</v>
      </c>
      <c r="X20" s="384" t="s">
        <v>310</v>
      </c>
      <c r="Y20" s="386" t="s">
        <v>319</v>
      </c>
      <c r="Z20" s="384"/>
      <c r="AA20" s="384"/>
      <c r="AB20" s="384"/>
      <c r="AC20" s="384"/>
      <c r="AD20" s="384"/>
      <c r="AE20" s="384"/>
      <c r="AF20" s="384"/>
      <c r="AG20" s="384"/>
      <c r="AH20" s="384"/>
    </row>
    <row r="21" spans="3:34" ht="17.100000000000001" customHeight="1">
      <c r="F21" s="77"/>
      <c r="G21" s="882"/>
      <c r="H21" s="1162"/>
      <c r="I21" s="65" t="s">
        <v>46</v>
      </c>
      <c r="J21" s="329">
        <f>O93+P93</f>
        <v>3920</v>
      </c>
      <c r="K21" s="332">
        <f t="shared" si="2"/>
        <v>1185.8</v>
      </c>
      <c r="L21" s="1149"/>
      <c r="M21" s="415"/>
      <c r="N21" s="1364"/>
      <c r="O21" s="876"/>
      <c r="P21" s="151" t="s">
        <v>82</v>
      </c>
      <c r="Q21" s="285">
        <f>SUM(Q19:Q20)</f>
        <v>6608</v>
      </c>
      <c r="R21" s="1405"/>
      <c r="S21" s="970"/>
      <c r="T21" s="1408"/>
      <c r="V21" s="2">
        <f>V20*0.3025</f>
        <v>10971.674999999999</v>
      </c>
      <c r="X21" s="384" t="s">
        <v>256</v>
      </c>
      <c r="Y21" s="386" t="s">
        <v>332</v>
      </c>
      <c r="Z21" s="384"/>
      <c r="AA21" s="384"/>
      <c r="AB21" s="384"/>
      <c r="AC21" s="384"/>
      <c r="AD21" s="384"/>
      <c r="AE21" s="384"/>
      <c r="AF21" s="384"/>
      <c r="AG21" s="384"/>
      <c r="AH21" s="384"/>
    </row>
    <row r="22" spans="3:34" ht="17.100000000000001" customHeight="1">
      <c r="F22" s="77"/>
      <c r="G22" s="882"/>
      <c r="H22" s="1163"/>
      <c r="I22" s="65" t="s">
        <v>47</v>
      </c>
      <c r="J22" s="329">
        <f>J20+J21</f>
        <v>10167.376</v>
      </c>
      <c r="K22" s="332">
        <f t="shared" si="2"/>
        <v>3075.63</v>
      </c>
      <c r="L22" s="1150"/>
      <c r="M22" s="415"/>
      <c r="N22" s="1364"/>
      <c r="O22" s="874" t="s">
        <v>86</v>
      </c>
      <c r="P22" s="159" t="s">
        <v>240</v>
      </c>
      <c r="Q22" s="284">
        <f>(SUM(H40:H43)+SUM(H60:H63)+SUM(H50))*0.8</f>
        <v>732</v>
      </c>
      <c r="R22" s="1405"/>
      <c r="S22" s="970"/>
      <c r="T22" s="1408"/>
      <c r="U22"/>
      <c r="V22">
        <f>V21/H82</f>
        <v>2.1271180690189997</v>
      </c>
      <c r="X22" s="384" t="s">
        <v>311</v>
      </c>
      <c r="Y22" s="386" t="s">
        <v>333</v>
      </c>
      <c r="Z22" s="384"/>
      <c r="AA22" s="384"/>
      <c r="AB22" s="384"/>
      <c r="AC22" s="384"/>
      <c r="AD22" s="384"/>
      <c r="AE22" s="384"/>
      <c r="AF22" s="384"/>
      <c r="AG22" s="384"/>
      <c r="AH22" s="384"/>
    </row>
    <row r="23" spans="3:34" ht="17.100000000000001" customHeight="1">
      <c r="F23" s="77"/>
      <c r="G23" s="882"/>
      <c r="H23" s="1161"/>
      <c r="I23" s="65"/>
      <c r="J23" s="329"/>
      <c r="K23" s="332"/>
      <c r="L23" s="1148"/>
      <c r="M23" s="415"/>
      <c r="N23" s="1364"/>
      <c r="O23" s="875"/>
      <c r="P23" s="160" t="s">
        <v>241</v>
      </c>
      <c r="Q23" s="286">
        <f>(SUM(H52:H55)+SUM(H64:H79)+SUM(H44))*1</f>
        <v>4243</v>
      </c>
      <c r="R23" s="1405"/>
      <c r="S23" s="970"/>
      <c r="T23" s="1408"/>
      <c r="U23"/>
      <c r="V23"/>
      <c r="X23" s="384"/>
      <c r="Y23" s="386"/>
      <c r="Z23" s="384"/>
      <c r="AA23" s="384"/>
      <c r="AB23" s="384"/>
      <c r="AC23" s="384"/>
      <c r="AD23" s="384"/>
      <c r="AE23" s="384"/>
      <c r="AF23" s="384"/>
      <c r="AG23" s="384"/>
      <c r="AH23" s="384"/>
    </row>
    <row r="24" spans="3:34" ht="17.100000000000001" customHeight="1">
      <c r="F24" s="77"/>
      <c r="G24" s="882"/>
      <c r="H24" s="1162"/>
      <c r="I24" s="65"/>
      <c r="J24" s="329"/>
      <c r="K24" s="332"/>
      <c r="L24" s="1149"/>
      <c r="M24" s="415"/>
      <c r="N24" s="1364"/>
      <c r="O24" s="798"/>
      <c r="P24" s="152" t="s">
        <v>82</v>
      </c>
      <c r="Q24" s="285">
        <f>SUM(Q22:Q23)</f>
        <v>4975</v>
      </c>
      <c r="R24" s="1406"/>
      <c r="S24" s="972"/>
      <c r="T24" s="1409"/>
      <c r="U24"/>
      <c r="V24"/>
      <c r="X24" s="384"/>
      <c r="Y24" s="386"/>
      <c r="Z24" s="384"/>
      <c r="AA24" s="384"/>
      <c r="AB24" s="384"/>
      <c r="AC24" s="384"/>
      <c r="AD24" s="384"/>
      <c r="AE24" s="384"/>
      <c r="AF24" s="384"/>
      <c r="AG24" s="384"/>
      <c r="AH24" s="384"/>
    </row>
    <row r="25" spans="3:34" ht="17.100000000000001" customHeight="1">
      <c r="F25" s="77"/>
      <c r="G25" s="882"/>
      <c r="H25" s="1163"/>
      <c r="I25" s="65"/>
      <c r="J25" s="329"/>
      <c r="K25" s="332"/>
      <c r="L25" s="1150"/>
      <c r="M25" s="415"/>
      <c r="N25" s="1364"/>
      <c r="O25" s="789"/>
      <c r="P25" s="160"/>
      <c r="Q25" s="286"/>
      <c r="R25" s="790"/>
      <c r="S25" s="1410"/>
      <c r="T25" s="1411"/>
      <c r="U25"/>
      <c r="V25"/>
      <c r="X25" s="384"/>
      <c r="Y25" s="386"/>
      <c r="Z25" s="384"/>
      <c r="AA25" s="384"/>
      <c r="AB25" s="384"/>
      <c r="AC25" s="384"/>
      <c r="AD25" s="384"/>
      <c r="AE25" s="384"/>
      <c r="AF25" s="384"/>
      <c r="AG25" s="384"/>
      <c r="AH25" s="384"/>
    </row>
    <row r="26" spans="3:34" ht="17.100000000000001" customHeight="1">
      <c r="F26" s="77"/>
      <c r="G26" s="882"/>
      <c r="H26" s="1161" t="s">
        <v>1</v>
      </c>
      <c r="I26" s="65" t="s">
        <v>45</v>
      </c>
      <c r="J26" s="326">
        <f>J17+J20+J23</f>
        <v>634089.41599999997</v>
      </c>
      <c r="K26" s="332">
        <f t="shared" si="2"/>
        <v>191812.04</v>
      </c>
      <c r="L26" s="1148">
        <f>J26/$J$26</f>
        <v>1</v>
      </c>
      <c r="M26" s="417"/>
      <c r="N26" s="1364"/>
      <c r="O26" s="789"/>
      <c r="P26" s="791"/>
      <c r="Q26" s="792"/>
      <c r="R26" s="793"/>
      <c r="S26" s="1412"/>
      <c r="T26" s="1413"/>
      <c r="U26"/>
      <c r="V26"/>
      <c r="X26" s="384" t="s">
        <v>258</v>
      </c>
      <c r="Y26" s="386" t="s">
        <v>334</v>
      </c>
      <c r="Z26" s="384"/>
      <c r="AA26" s="384"/>
      <c r="AB26" s="384"/>
      <c r="AC26" s="384"/>
      <c r="AD26" s="384"/>
      <c r="AE26" s="384"/>
      <c r="AF26" s="384"/>
      <c r="AG26" s="384"/>
      <c r="AH26" s="384"/>
    </row>
    <row r="27" spans="3:34" ht="17.100000000000001" customHeight="1">
      <c r="F27" s="77"/>
      <c r="G27" s="882"/>
      <c r="H27" s="1162"/>
      <c r="I27" s="65" t="s">
        <v>46</v>
      </c>
      <c r="J27" s="326">
        <f>J18+J21+J24</f>
        <v>548600</v>
      </c>
      <c r="K27" s="332">
        <f t="shared" si="2"/>
        <v>165951.5</v>
      </c>
      <c r="L27" s="1149"/>
      <c r="M27" s="415"/>
      <c r="N27" s="1364"/>
      <c r="O27" s="794"/>
      <c r="P27" s="795"/>
      <c r="Q27" s="796"/>
      <c r="R27" s="797"/>
      <c r="S27" s="1358"/>
      <c r="T27" s="1359"/>
      <c r="U27"/>
      <c r="V27"/>
      <c r="X27" s="384" t="s">
        <v>313</v>
      </c>
      <c r="Y27" s="386" t="s">
        <v>272</v>
      </c>
      <c r="Z27" s="384"/>
      <c r="AA27" s="384"/>
      <c r="AB27" s="384"/>
      <c r="AC27" s="384"/>
      <c r="AD27" s="384"/>
      <c r="AE27" s="384"/>
      <c r="AF27" s="384"/>
      <c r="AG27" s="384"/>
      <c r="AH27" s="384"/>
    </row>
    <row r="28" spans="3:34" ht="17.100000000000001" customHeight="1">
      <c r="F28" s="77"/>
      <c r="G28" s="1144"/>
      <c r="H28" s="1164"/>
      <c r="I28" s="263" t="s">
        <v>1</v>
      </c>
      <c r="J28" s="330">
        <f>J19+J22+J25</f>
        <v>1182689.416</v>
      </c>
      <c r="K28" s="334">
        <f t="shared" si="2"/>
        <v>357763.54</v>
      </c>
      <c r="L28" s="1165"/>
      <c r="M28" s="415"/>
      <c r="N28" s="1364"/>
      <c r="O28" s="153" t="s">
        <v>38</v>
      </c>
      <c r="P28" s="154">
        <v>134</v>
      </c>
      <c r="Q28" s="287">
        <f>(M93+O93)/P28</f>
        <v>55.5774328358209</v>
      </c>
      <c r="R28" s="290">
        <f>ROUNDUP(Q28*S28,0)</f>
        <v>67</v>
      </c>
      <c r="S28" s="1358">
        <v>1.2</v>
      </c>
      <c r="T28" s="1359"/>
      <c r="U28"/>
      <c r="V28"/>
      <c r="X28" s="384"/>
      <c r="Y28" s="384"/>
      <c r="Z28" s="384"/>
      <c r="AA28" s="384"/>
      <c r="AB28" s="384"/>
      <c r="AC28" s="384"/>
      <c r="AD28" s="384"/>
      <c r="AE28" s="384"/>
      <c r="AF28" s="384"/>
      <c r="AG28" s="384"/>
      <c r="AH28" s="384"/>
    </row>
    <row r="29" spans="3:34" ht="17.100000000000001" customHeight="1">
      <c r="F29" s="77"/>
      <c r="G29" s="309"/>
      <c r="H29" s="1168"/>
      <c r="I29" s="1169"/>
      <c r="J29" s="303"/>
      <c r="K29" s="304"/>
      <c r="M29" s="415"/>
      <c r="N29" s="1365"/>
      <c r="O29" s="912" t="s">
        <v>69</v>
      </c>
      <c r="P29" s="913"/>
      <c r="Q29" s="288">
        <f>Q21+Q28</f>
        <v>6663.5774328358211</v>
      </c>
      <c r="R29" s="291">
        <f>SUM(R19+R28+R27)</f>
        <v>12962</v>
      </c>
      <c r="S29" s="306"/>
      <c r="T29" s="431"/>
      <c r="U29"/>
      <c r="V29" s="313"/>
      <c r="X29" s="384"/>
      <c r="Y29" s="384"/>
      <c r="Z29" s="384"/>
      <c r="AA29" s="384"/>
      <c r="AB29" s="384"/>
      <c r="AC29" s="384"/>
      <c r="AD29" s="384"/>
      <c r="AE29" s="384"/>
      <c r="AF29" s="384"/>
      <c r="AG29" s="384"/>
      <c r="AH29" s="384"/>
    </row>
    <row r="30" spans="3:34" ht="17.100000000000001" customHeight="1">
      <c r="E30" s="321">
        <f>I50+I54+I62+I64+I66</f>
        <v>0.59945715393563392</v>
      </c>
      <c r="F30" s="77"/>
      <c r="G30" s="72" t="s">
        <v>48</v>
      </c>
      <c r="H30" s="1105">
        <f>'설계개요(1단지)'!H30:J30+'설계개요(2단지)'!H27:J27+'설계개요(3단지)'!H27:J27+'설계개요(4단지)'!H27:J27</f>
        <v>42470.557999999997</v>
      </c>
      <c r="I30" s="1106"/>
      <c r="J30" s="1107"/>
      <c r="K30" s="12">
        <f>ROUNDDOWN(H30*0.3025,2)</f>
        <v>12847.34</v>
      </c>
      <c r="L30" s="1170">
        <v>50</v>
      </c>
      <c r="M30" s="51"/>
      <c r="N30" s="1172"/>
      <c r="O30" s="1173"/>
      <c r="P30" s="1173"/>
      <c r="Q30" s="1173"/>
      <c r="R30" s="1173"/>
      <c r="S30" s="1173"/>
      <c r="T30" s="1173"/>
      <c r="U30"/>
      <c r="V30" s="313"/>
      <c r="X30" s="384"/>
      <c r="Y30" s="384"/>
      <c r="Z30" s="384"/>
      <c r="AA30" s="384"/>
      <c r="AB30" s="384"/>
      <c r="AC30" s="384"/>
      <c r="AD30" s="384"/>
      <c r="AE30" s="384"/>
      <c r="AF30" s="384"/>
      <c r="AG30" s="384"/>
      <c r="AH30" s="384"/>
    </row>
    <row r="31" spans="3:34" ht="17.100000000000001" customHeight="1">
      <c r="E31" s="321">
        <f>I70+I72+I78+I76+I68</f>
        <v>0.38076773943388909</v>
      </c>
      <c r="F31" s="77"/>
      <c r="G31" s="74" t="s">
        <v>0</v>
      </c>
      <c r="H31" s="1108">
        <f>H30/J14</f>
        <v>0.20347760554034403</v>
      </c>
      <c r="I31" s="1109"/>
      <c r="J31" s="1109"/>
      <c r="K31" s="1110"/>
      <c r="L31" s="1171"/>
      <c r="M31" s="415"/>
      <c r="N31" s="1372" t="s">
        <v>236</v>
      </c>
      <c r="O31" s="339">
        <v>3</v>
      </c>
      <c r="P31" s="340">
        <v>2.484</v>
      </c>
      <c r="Q31" s="341">
        <v>2</v>
      </c>
      <c r="R31" s="342">
        <f>(O31-P31)/Q31</f>
        <v>0.25800000000000001</v>
      </c>
      <c r="S31" s="1175">
        <f>R32</f>
        <v>53850.663</v>
      </c>
      <c r="T31" s="1375">
        <f>P33+P34+P35</f>
        <v>627</v>
      </c>
      <c r="U31"/>
      <c r="V31" s="313"/>
      <c r="X31" s="384"/>
      <c r="Y31" s="384"/>
      <c r="Z31" s="384"/>
      <c r="AA31" s="384"/>
      <c r="AB31" s="384"/>
      <c r="AC31" s="384"/>
      <c r="AD31" s="384"/>
      <c r="AE31" s="384"/>
      <c r="AF31" s="384"/>
      <c r="AG31" s="384"/>
      <c r="AH31" s="384"/>
    </row>
    <row r="32" spans="3:34" ht="17.100000000000001" customHeight="1">
      <c r="E32" s="321">
        <f>E30+E31</f>
        <v>0.98022489336952301</v>
      </c>
      <c r="F32" s="77"/>
      <c r="G32" s="75" t="s">
        <v>64</v>
      </c>
      <c r="H32" s="1105">
        <f>J26-R8-R9-R11</f>
        <v>625999.41599999997</v>
      </c>
      <c r="I32" s="1106"/>
      <c r="J32" s="1107"/>
      <c r="K32" s="12">
        <f>ROUNDDOWN(H32*0.3025,2)</f>
        <v>189364.82</v>
      </c>
      <c r="L32" s="1180" t="s">
        <v>201</v>
      </c>
      <c r="M32" s="415"/>
      <c r="N32" s="1373"/>
      <c r="O32" s="343"/>
      <c r="P32" s="344">
        <f>J14</f>
        <v>208723.5</v>
      </c>
      <c r="Q32" s="345">
        <f>R31</f>
        <v>0.25800000000000001</v>
      </c>
      <c r="R32" s="346">
        <f>P32*Q32</f>
        <v>53850.663</v>
      </c>
      <c r="S32" s="1176"/>
      <c r="T32" s="1376"/>
      <c r="U32" s="274"/>
      <c r="V32" s="275"/>
      <c r="X32" s="384">
        <f>'설계개요(1단지)'!S31+'설계개요(2단지)'!S28+'설계개요(3단지)'!S28+'설계개요(4단지)'!S28</f>
        <v>53850.66300000003</v>
      </c>
      <c r="Y32" s="384">
        <f>'설계개요(1단지)'!T31+'설계개요(2단지)'!T28+'설계개요(3단지)'!T28+'설계개요(4단지)'!T28</f>
        <v>627</v>
      </c>
      <c r="Z32" s="384"/>
      <c r="AA32" s="384"/>
      <c r="AB32" s="384"/>
      <c r="AC32" s="384"/>
      <c r="AD32" s="384"/>
      <c r="AE32" s="384"/>
      <c r="AF32" s="384"/>
      <c r="AG32" s="384"/>
      <c r="AH32" s="384"/>
    </row>
    <row r="33" spans="2:34" ht="17.100000000000001" customHeight="1">
      <c r="F33" s="77"/>
      <c r="G33" s="74" t="s">
        <v>62</v>
      </c>
      <c r="H33" s="854">
        <f>H32/J14</f>
        <v>2.9991803318744652</v>
      </c>
      <c r="I33" s="855"/>
      <c r="J33" s="855"/>
      <c r="K33" s="856"/>
      <c r="L33" s="1181"/>
      <c r="M33" s="415"/>
      <c r="N33" s="1373"/>
      <c r="O33" s="347"/>
      <c r="P33" s="348"/>
      <c r="Q33" s="349"/>
      <c r="R33" s="350"/>
      <c r="S33" s="1367">
        <f>R33+R34+R35</f>
        <v>53902.530000000006</v>
      </c>
      <c r="T33" s="1376"/>
      <c r="U33" s="274"/>
      <c r="V33" s="378">
        <f>S33-S31</f>
        <v>51.867000000005646</v>
      </c>
      <c r="X33" s="384">
        <f>'설계개요(1단지)'!S32+'설계개요(2단지)'!S29+'설계개요(3단지)'!S29+'설계개요(4단지)'!S29</f>
        <v>0</v>
      </c>
      <c r="Y33" s="384">
        <f>'설계개요(1단지)'!T32+'설계개요(2단지)'!T29+'설계개요(3단지)'!T29+'설계개요(4단지)'!T29</f>
        <v>0</v>
      </c>
      <c r="Z33" s="384"/>
      <c r="AA33" s="384"/>
      <c r="AB33" s="384"/>
      <c r="AC33" s="384"/>
      <c r="AD33" s="384"/>
      <c r="AE33" s="384"/>
      <c r="AF33" s="384"/>
      <c r="AG33" s="384"/>
      <c r="AH33" s="384"/>
    </row>
    <row r="34" spans="2:34" ht="17.100000000000001" customHeight="1">
      <c r="E34" s="11">
        <f>H62+H50</f>
        <v>824</v>
      </c>
      <c r="F34" s="77"/>
      <c r="G34" s="72" t="s">
        <v>63</v>
      </c>
      <c r="H34" s="1088">
        <f>H82</f>
        <v>5158</v>
      </c>
      <c r="I34" s="1089"/>
      <c r="J34" s="1089"/>
      <c r="K34" s="1090"/>
      <c r="L34" s="20"/>
      <c r="M34" s="415"/>
      <c r="N34" s="1373"/>
      <c r="O34" s="351">
        <f>G51</f>
        <v>59</v>
      </c>
      <c r="P34" s="352">
        <f>H50</f>
        <v>561</v>
      </c>
      <c r="Q34" s="353">
        <f>N50</f>
        <v>82.59</v>
      </c>
      <c r="R34" s="354">
        <f>P34*Q34</f>
        <v>46332.990000000005</v>
      </c>
      <c r="S34" s="1368"/>
      <c r="T34" s="1376"/>
      <c r="U34"/>
      <c r="V34" s="1185"/>
      <c r="X34" s="384">
        <f>'설계개요(1단지)'!S33+'설계개요(2단지)'!S30+'설계개요(3단지)'!S30+'설계개요(4단지)'!S30</f>
        <v>53902.53</v>
      </c>
      <c r="Y34" s="384">
        <f>'설계개요(1단지)'!T33+'설계개요(2단지)'!T30+'설계개요(3단지)'!T30+'설계개요(4단지)'!T30</f>
        <v>0</v>
      </c>
      <c r="Z34" s="384"/>
      <c r="AA34" s="384"/>
      <c r="AB34" s="384"/>
      <c r="AC34" s="384"/>
      <c r="AD34" s="384"/>
      <c r="AE34" s="384"/>
      <c r="AF34" s="384"/>
      <c r="AG34" s="384"/>
      <c r="AH34" s="384"/>
    </row>
    <row r="35" spans="2:34" ht="17.100000000000001" customHeight="1">
      <c r="E35" s="11">
        <f>H66+H54</f>
        <v>1500</v>
      </c>
      <c r="F35" s="77"/>
      <c r="G35" s="74" t="s">
        <v>37</v>
      </c>
      <c r="H35" s="1370">
        <f>R29</f>
        <v>12962</v>
      </c>
      <c r="I35" s="1371"/>
      <c r="J35" s="1371"/>
      <c r="K35" s="828"/>
      <c r="L35" s="62">
        <f>$R$19/$H$82</f>
        <v>2.5</v>
      </c>
      <c r="M35" s="415"/>
      <c r="N35" s="1374"/>
      <c r="O35" s="355">
        <f>G55</f>
        <v>84</v>
      </c>
      <c r="P35" s="356">
        <f>H54</f>
        <v>66</v>
      </c>
      <c r="Q35" s="357">
        <f>N54</f>
        <v>114.69</v>
      </c>
      <c r="R35" s="346">
        <f>P35*Q35</f>
        <v>7569.54</v>
      </c>
      <c r="S35" s="1369"/>
      <c r="T35" s="1377"/>
      <c r="U35"/>
      <c r="V35" s="1186"/>
      <c r="X35" s="384"/>
      <c r="Y35" s="384"/>
      <c r="Z35" s="384"/>
      <c r="AA35" s="384"/>
      <c r="AB35" s="384"/>
      <c r="AC35" s="384"/>
      <c r="AD35" s="384"/>
      <c r="AE35" s="384"/>
      <c r="AF35" s="384"/>
      <c r="AG35" s="384"/>
      <c r="AH35" s="384"/>
    </row>
    <row r="36" spans="2:34" ht="6.75" customHeight="1">
      <c r="F36" s="77"/>
      <c r="G36" s="76"/>
      <c r="H36" s="57"/>
      <c r="I36" s="57"/>
      <c r="J36" s="57"/>
      <c r="K36" s="57"/>
      <c r="L36" s="57"/>
      <c r="M36" s="52"/>
      <c r="N36" s="57"/>
      <c r="O36" s="57"/>
      <c r="P36" s="57"/>
      <c r="Q36" s="57"/>
      <c r="R36" s="57"/>
      <c r="S36" s="57"/>
      <c r="T36" s="57"/>
      <c r="U36"/>
      <c r="V36" s="10"/>
      <c r="Y36" s="130"/>
      <c r="Z36" s="130"/>
      <c r="AA36" s="130"/>
      <c r="AB36" s="130"/>
      <c r="AC36" s="130"/>
    </row>
    <row r="37" spans="2:34" ht="18" thickBot="1">
      <c r="F37" s="77"/>
      <c r="G37" s="951" t="s">
        <v>31</v>
      </c>
      <c r="H37" s="951"/>
      <c r="I37" s="951"/>
      <c r="J37" s="951"/>
      <c r="K37" s="951"/>
      <c r="L37" s="951"/>
      <c r="M37" s="951"/>
      <c r="N37" s="951"/>
      <c r="O37" s="951"/>
      <c r="P37" s="951"/>
      <c r="Q37" s="951"/>
      <c r="R37" s="951"/>
      <c r="S37" s="951"/>
      <c r="T37" s="952"/>
      <c r="Y37" s="130"/>
      <c r="Z37" s="130"/>
      <c r="AA37" s="130"/>
      <c r="AB37" s="130"/>
      <c r="AC37" s="130"/>
    </row>
    <row r="38" spans="2:34" s="4" customFormat="1" ht="15.75" customHeight="1">
      <c r="B38" s="1318" t="s">
        <v>446</v>
      </c>
      <c r="C38" s="1122"/>
      <c r="D38" s="1122"/>
      <c r="E38" s="1122"/>
      <c r="F38" s="78"/>
      <c r="G38" s="957" t="s">
        <v>16</v>
      </c>
      <c r="H38" s="877" t="s">
        <v>2</v>
      </c>
      <c r="I38" s="877" t="s">
        <v>17</v>
      </c>
      <c r="J38" s="877" t="s">
        <v>18</v>
      </c>
      <c r="K38" s="877" t="s">
        <v>19</v>
      </c>
      <c r="L38" s="877"/>
      <c r="M38" s="877"/>
      <c r="N38" s="877" t="s">
        <v>8</v>
      </c>
      <c r="O38" s="877" t="s">
        <v>30</v>
      </c>
      <c r="P38" s="877"/>
      <c r="Q38" s="877"/>
      <c r="R38" s="877" t="s">
        <v>23</v>
      </c>
      <c r="S38" s="877" t="s">
        <v>20</v>
      </c>
      <c r="T38" s="956" t="s">
        <v>68</v>
      </c>
      <c r="V38" s="1275" t="s">
        <v>465</v>
      </c>
      <c r="W38" s="1277" t="s">
        <v>460</v>
      </c>
      <c r="Y38" s="382"/>
      <c r="Z38" s="382"/>
      <c r="AA38" s="382"/>
      <c r="AB38" s="382"/>
      <c r="AC38" s="382"/>
    </row>
    <row r="39" spans="2:34" s="4" customFormat="1" ht="15.75" customHeight="1" thickBot="1">
      <c r="B39" s="1319"/>
      <c r="C39" s="1122"/>
      <c r="D39" s="1122"/>
      <c r="E39" s="1122"/>
      <c r="F39" s="78"/>
      <c r="G39" s="958"/>
      <c r="H39" s="878"/>
      <c r="I39" s="878"/>
      <c r="J39" s="878"/>
      <c r="K39" s="80" t="s">
        <v>21</v>
      </c>
      <c r="L39" s="80" t="s">
        <v>142</v>
      </c>
      <c r="M39" s="80" t="s">
        <v>22</v>
      </c>
      <c r="N39" s="878"/>
      <c r="O39" s="80" t="s">
        <v>28</v>
      </c>
      <c r="P39" s="80" t="s">
        <v>15</v>
      </c>
      <c r="Q39" s="80" t="s">
        <v>32</v>
      </c>
      <c r="R39" s="878"/>
      <c r="S39" s="878"/>
      <c r="T39" s="878"/>
      <c r="V39" s="1276"/>
      <c r="W39" s="1278"/>
      <c r="Y39" s="382"/>
      <c r="Z39" s="382"/>
      <c r="AA39" s="382"/>
      <c r="AB39" s="382"/>
      <c r="AC39" s="382"/>
    </row>
    <row r="40" spans="2:34" ht="11.25" hidden="1" customHeight="1">
      <c r="B40" s="1301"/>
      <c r="C40" s="1121"/>
      <c r="D40" s="1121"/>
      <c r="E40" s="1121">
        <f>ROUNDUP(H82*0.05,0)</f>
        <v>258</v>
      </c>
      <c r="F40" s="1187" t="e">
        <f>H40/#REF!</f>
        <v>#REF!</v>
      </c>
      <c r="G40" s="297">
        <f>ROUNDDOWN(N41,0)</f>
        <v>17</v>
      </c>
      <c r="H40" s="1194"/>
      <c r="I40" s="1316">
        <f>H40/$H$82</f>
        <v>0</v>
      </c>
      <c r="J40" s="299">
        <f>J58</f>
        <v>39.96</v>
      </c>
      <c r="K40" s="299">
        <f>K58</f>
        <v>3.65</v>
      </c>
      <c r="L40" s="299">
        <f>L58</f>
        <v>14.8</v>
      </c>
      <c r="M40" s="299">
        <f>K40+L40</f>
        <v>18.45</v>
      </c>
      <c r="N40" s="299">
        <f>J40+M40</f>
        <v>58.41</v>
      </c>
      <c r="O40" s="1320"/>
      <c r="P40" s="1321"/>
      <c r="Q40" s="1321"/>
      <c r="R40" s="1321"/>
      <c r="S40" s="1322"/>
      <c r="T40" s="1196" t="s">
        <v>478</v>
      </c>
      <c r="V40" s="1285"/>
      <c r="W40" s="740"/>
      <c r="X40" s="716"/>
    </row>
    <row r="41" spans="2:34" ht="11.25" hidden="1" customHeight="1">
      <c r="B41" s="1302"/>
      <c r="C41" s="1121"/>
      <c r="D41" s="1121"/>
      <c r="E41" s="1121"/>
      <c r="F41" s="1187"/>
      <c r="G41" s="296">
        <v>39</v>
      </c>
      <c r="H41" s="1189"/>
      <c r="I41" s="1317"/>
      <c r="J41" s="298">
        <f t="shared" ref="J41:N41" si="3">ROUNDDOWN(J40*0.3025,2)</f>
        <v>12.08</v>
      </c>
      <c r="K41" s="298">
        <f t="shared" si="3"/>
        <v>1.1000000000000001</v>
      </c>
      <c r="L41" s="298">
        <f t="shared" si="3"/>
        <v>4.47</v>
      </c>
      <c r="M41" s="298">
        <f t="shared" si="3"/>
        <v>5.58</v>
      </c>
      <c r="N41" s="298">
        <f t="shared" si="3"/>
        <v>17.66</v>
      </c>
      <c r="O41" s="1323"/>
      <c r="P41" s="1324"/>
      <c r="Q41" s="1324"/>
      <c r="R41" s="1324"/>
      <c r="S41" s="1325"/>
      <c r="T41" s="1197"/>
      <c r="V41" s="1286"/>
      <c r="W41" s="740"/>
      <c r="X41" s="717"/>
    </row>
    <row r="42" spans="2:34" ht="12" customHeight="1">
      <c r="B42" s="1301"/>
      <c r="C42" s="1121"/>
      <c r="D42" s="1121"/>
      <c r="E42" s="1121"/>
      <c r="F42" s="1187" t="e">
        <f>H42/#REF!</f>
        <v>#REF!</v>
      </c>
      <c r="G42" s="300">
        <f>ROUNDDOWN(N43,0)</f>
        <v>24</v>
      </c>
      <c r="H42" s="1188">
        <f>'설계개요(1단지)'!H42+'설계개요(2단지)'!H39+'설계개요(3단지)'!H39+'설계개요(4단지)'!H39</f>
        <v>91</v>
      </c>
      <c r="I42" s="801">
        <f>H42/$H$82</f>
        <v>1.7642497091896085E-2</v>
      </c>
      <c r="J42" s="802">
        <v>59.99</v>
      </c>
      <c r="K42" s="802">
        <f>K50</f>
        <v>6.1</v>
      </c>
      <c r="L42" s="802">
        <v>16.5</v>
      </c>
      <c r="M42" s="802">
        <f>K42+L42</f>
        <v>22.6</v>
      </c>
      <c r="N42" s="802">
        <f>M42+J42</f>
        <v>82.59</v>
      </c>
      <c r="O42" s="1323"/>
      <c r="P42" s="1324"/>
      <c r="Q42" s="1324"/>
      <c r="R42" s="1324"/>
      <c r="S42" s="1325"/>
      <c r="T42" s="1197"/>
      <c r="U42" s="173">
        <f>J42/N42</f>
        <v>0.72635912338055453</v>
      </c>
      <c r="V42" s="751"/>
      <c r="W42" s="740"/>
      <c r="X42" s="130"/>
    </row>
    <row r="43" spans="2:34" ht="12" customHeight="1">
      <c r="B43" s="1302"/>
      <c r="C43" s="1121"/>
      <c r="D43" s="1121"/>
      <c r="E43" s="1121"/>
      <c r="F43" s="1187"/>
      <c r="G43" s="296">
        <f>ROUNDDOWN(J42,0)</f>
        <v>59</v>
      </c>
      <c r="H43" s="1189"/>
      <c r="I43" s="803">
        <f>H42/$H$56</f>
        <v>0.12482853223593965</v>
      </c>
      <c r="J43" s="804">
        <f t="shared" ref="J43:N43" si="4">ROUNDDOWN(J42*0.3025,2)</f>
        <v>18.14</v>
      </c>
      <c r="K43" s="804">
        <f t="shared" si="4"/>
        <v>1.84</v>
      </c>
      <c r="L43" s="804">
        <f t="shared" si="4"/>
        <v>4.99</v>
      </c>
      <c r="M43" s="804">
        <f t="shared" si="4"/>
        <v>6.83</v>
      </c>
      <c r="N43" s="804">
        <f t="shared" si="4"/>
        <v>24.98</v>
      </c>
      <c r="O43" s="1323"/>
      <c r="P43" s="1324"/>
      <c r="Q43" s="1324"/>
      <c r="R43" s="1324"/>
      <c r="S43" s="1325"/>
      <c r="T43" s="1197"/>
      <c r="V43" s="752"/>
      <c r="W43" s="740"/>
      <c r="X43" s="193"/>
    </row>
    <row r="44" spans="2:34" ht="12" customHeight="1">
      <c r="B44" s="695"/>
      <c r="C44" s="308"/>
      <c r="D44" s="308"/>
      <c r="E44" s="308"/>
      <c r="F44" s="1187" t="e">
        <f>H44/#REF!</f>
        <v>#REF!</v>
      </c>
      <c r="G44" s="300">
        <f>ROUNDDOWN(N45,0)</f>
        <v>34</v>
      </c>
      <c r="H44" s="1188">
        <f>'설계개요(1단지)'!H44+'설계개요(2단지)'!H41+'설계개요(3단지)'!H41+'설계개요(4단지)'!H41</f>
        <v>11</v>
      </c>
      <c r="I44" s="801">
        <f>H44/$H$82</f>
        <v>2.1326095385808454E-3</v>
      </c>
      <c r="J44" s="802">
        <v>84.99</v>
      </c>
      <c r="K44" s="802">
        <v>8.1999999999999993</v>
      </c>
      <c r="L44" s="802">
        <v>21.5</v>
      </c>
      <c r="M44" s="802">
        <f>K44+L44</f>
        <v>29.7</v>
      </c>
      <c r="N44" s="802">
        <f>M44+J44</f>
        <v>114.69</v>
      </c>
      <c r="O44" s="1323"/>
      <c r="P44" s="1324"/>
      <c r="Q44" s="1324"/>
      <c r="R44" s="1324"/>
      <c r="S44" s="1325"/>
      <c r="T44" s="1197"/>
      <c r="U44" s="173">
        <f>J44/N44</f>
        <v>0.74104106722469265</v>
      </c>
      <c r="V44" s="753"/>
      <c r="W44" s="740"/>
      <c r="X44" s="193"/>
    </row>
    <row r="45" spans="2:34" ht="12" customHeight="1">
      <c r="B45" s="695"/>
      <c r="C45" s="308"/>
      <c r="D45" s="308"/>
      <c r="E45" s="308"/>
      <c r="F45" s="1187"/>
      <c r="G45" s="296">
        <f>ROUNDDOWN(J44,0)</f>
        <v>84</v>
      </c>
      <c r="H45" s="1189"/>
      <c r="I45" s="803">
        <f>H44/$H$56</f>
        <v>1.5089163237311385E-2</v>
      </c>
      <c r="J45" s="804">
        <f t="shared" ref="J45:N45" si="5">ROUNDDOWN(J44*0.3025,2)</f>
        <v>25.7</v>
      </c>
      <c r="K45" s="804">
        <f t="shared" si="5"/>
        <v>2.48</v>
      </c>
      <c r="L45" s="804">
        <f t="shared" si="5"/>
        <v>6.5</v>
      </c>
      <c r="M45" s="804">
        <f t="shared" si="5"/>
        <v>8.98</v>
      </c>
      <c r="N45" s="804">
        <f t="shared" si="5"/>
        <v>34.69</v>
      </c>
      <c r="O45" s="1326"/>
      <c r="P45" s="1327"/>
      <c r="Q45" s="1327"/>
      <c r="R45" s="1327"/>
      <c r="S45" s="1328"/>
      <c r="T45" s="1197"/>
      <c r="V45" s="753"/>
      <c r="W45" s="740"/>
      <c r="X45" s="193"/>
    </row>
    <row r="46" spans="2:34" ht="12" hidden="1" customHeight="1">
      <c r="B46" s="695"/>
      <c r="C46" s="308"/>
      <c r="D46" s="308"/>
      <c r="E46" s="1128">
        <f>H46/$H$56</f>
        <v>0</v>
      </c>
      <c r="F46" s="336"/>
      <c r="G46" s="316">
        <f>ROUNDDOWN(N47,0)</f>
        <v>20</v>
      </c>
      <c r="H46" s="1192">
        <v>0</v>
      </c>
      <c r="I46" s="369">
        <f>H46/$H$82</f>
        <v>0</v>
      </c>
      <c r="J46" s="364">
        <v>49.8</v>
      </c>
      <c r="K46" s="364">
        <v>3.7</v>
      </c>
      <c r="L46" s="364">
        <v>14.2</v>
      </c>
      <c r="M46" s="364">
        <f>K46+L46</f>
        <v>17.899999999999999</v>
      </c>
      <c r="N46" s="364">
        <f>M46+J46</f>
        <v>67.699999999999989</v>
      </c>
      <c r="O46" s="1310" t="s">
        <v>387</v>
      </c>
      <c r="P46" s="1310"/>
      <c r="Q46" s="1310"/>
      <c r="R46" s="1310"/>
      <c r="S46" s="1311"/>
      <c r="T46" s="1198" t="s">
        <v>477</v>
      </c>
      <c r="U46" s="173">
        <f>J46/N46</f>
        <v>0.73559822747415071</v>
      </c>
      <c r="V46" s="753"/>
      <c r="W46" s="740"/>
      <c r="X46" s="193"/>
    </row>
    <row r="47" spans="2:34" ht="12" hidden="1" customHeight="1">
      <c r="B47" s="695"/>
      <c r="C47" s="308"/>
      <c r="D47" s="308"/>
      <c r="E47" s="1129"/>
      <c r="F47" s="336"/>
      <c r="G47" s="318">
        <f>ROUNDDOWN(J46,0)</f>
        <v>49</v>
      </c>
      <c r="H47" s="1193"/>
      <c r="I47" s="373">
        <f>H46/$H$56</f>
        <v>0</v>
      </c>
      <c r="J47" s="319">
        <f t="shared" ref="J47:N47" si="6">ROUNDDOWN(J46*0.3025,2)</f>
        <v>15.06</v>
      </c>
      <c r="K47" s="319">
        <f t="shared" si="6"/>
        <v>1.1100000000000001</v>
      </c>
      <c r="L47" s="319">
        <f t="shared" si="6"/>
        <v>4.29</v>
      </c>
      <c r="M47" s="319">
        <f t="shared" si="6"/>
        <v>5.41</v>
      </c>
      <c r="N47" s="319">
        <f t="shared" si="6"/>
        <v>20.47</v>
      </c>
      <c r="O47" s="1312"/>
      <c r="P47" s="1312"/>
      <c r="Q47" s="1312"/>
      <c r="R47" s="1312"/>
      <c r="S47" s="1313"/>
      <c r="T47" s="1198"/>
      <c r="U47" s="173"/>
      <c r="V47" s="753"/>
      <c r="W47" s="740"/>
      <c r="X47" s="193"/>
    </row>
    <row r="48" spans="2:34" ht="12" hidden="1" customHeight="1">
      <c r="B48" s="695"/>
      <c r="C48" s="308"/>
      <c r="D48" s="308"/>
      <c r="E48" s="1130">
        <f>C48/$H$82</f>
        <v>0</v>
      </c>
      <c r="F48" s="336"/>
      <c r="G48" s="316">
        <f>ROUNDDOWN(N47,0)</f>
        <v>20</v>
      </c>
      <c r="H48" s="1192"/>
      <c r="I48" s="1130">
        <f>H48/$H$82</f>
        <v>0</v>
      </c>
      <c r="J48" s="800"/>
      <c r="K48" s="800"/>
      <c r="L48" s="800"/>
      <c r="M48" s="800"/>
      <c r="N48" s="800"/>
      <c r="O48" s="1312"/>
      <c r="P48" s="1312"/>
      <c r="Q48" s="1312"/>
      <c r="R48" s="1312"/>
      <c r="S48" s="1313"/>
      <c r="T48" s="1198"/>
      <c r="U48" s="173"/>
      <c r="V48" s="753"/>
      <c r="W48" s="740"/>
      <c r="X48" s="193"/>
    </row>
    <row r="49" spans="2:29" ht="12" hidden="1" customHeight="1">
      <c r="B49" s="695"/>
      <c r="C49" s="308"/>
      <c r="D49" s="308"/>
      <c r="E49" s="1129"/>
      <c r="F49" s="336"/>
      <c r="G49" s="318">
        <f>ROUNDDOWN(J46,0)</f>
        <v>49</v>
      </c>
      <c r="H49" s="1193"/>
      <c r="I49" s="1129"/>
      <c r="J49" s="800"/>
      <c r="K49" s="800"/>
      <c r="L49" s="800"/>
      <c r="M49" s="800"/>
      <c r="N49" s="800"/>
      <c r="O49" s="1312"/>
      <c r="P49" s="1312"/>
      <c r="Q49" s="1312"/>
      <c r="R49" s="1312"/>
      <c r="S49" s="1313"/>
      <c r="T49" s="1198"/>
      <c r="U49" s="173"/>
      <c r="V49" s="753"/>
      <c r="W49" s="740"/>
      <c r="X49" s="193"/>
    </row>
    <row r="50" spans="2:29" ht="12" customHeight="1">
      <c r="B50" s="1305">
        <f>I56+I62+I64+I66</f>
        <v>0.61923226056611091</v>
      </c>
      <c r="C50" s="1121"/>
      <c r="D50" s="1121"/>
      <c r="E50" s="1307">
        <f>(H42+H50)/$H$56</f>
        <v>0.8943758573388203</v>
      </c>
      <c r="F50" s="130"/>
      <c r="G50" s="316">
        <f>ROUNDDOWN(N51,0)</f>
        <v>24</v>
      </c>
      <c r="H50" s="1200">
        <f>'설계개요(1단지)'!H50+'설계개요(2단지)'!H47+'설계개요(3단지)'!H47+'설계개요(4단지)'!H47</f>
        <v>561</v>
      </c>
      <c r="I50" s="393">
        <f>H50/$H$82</f>
        <v>0.10876308646762312</v>
      </c>
      <c r="J50" s="364">
        <v>59.99</v>
      </c>
      <c r="K50" s="364">
        <f>K62</f>
        <v>6.1</v>
      </c>
      <c r="L50" s="364">
        <v>16.5</v>
      </c>
      <c r="M50" s="364">
        <f>K50+L50</f>
        <v>22.6</v>
      </c>
      <c r="N50" s="364">
        <f>M50+J50</f>
        <v>82.59</v>
      </c>
      <c r="O50" s="1312"/>
      <c r="P50" s="1312"/>
      <c r="Q50" s="1312"/>
      <c r="R50" s="1312"/>
      <c r="S50" s="1313"/>
      <c r="T50" s="1198"/>
      <c r="U50" s="173">
        <f>J50/N50</f>
        <v>0.72635912338055453</v>
      </c>
      <c r="V50" s="1279">
        <v>333</v>
      </c>
      <c r="W50" s="741">
        <f>V50/$V$82</f>
        <v>6.656006396162302E-2</v>
      </c>
      <c r="X50" s="1279">
        <f>H50-V50</f>
        <v>228</v>
      </c>
      <c r="Y50" s="130" t="s">
        <v>305</v>
      </c>
      <c r="Z50" s="130" t="s">
        <v>314</v>
      </c>
      <c r="AA50" s="130"/>
      <c r="AB50" s="130" t="s">
        <v>325</v>
      </c>
      <c r="AC50" s="130">
        <v>720</v>
      </c>
    </row>
    <row r="51" spans="2:29" ht="12" customHeight="1">
      <c r="B51" s="1309"/>
      <c r="C51" s="1121"/>
      <c r="D51" s="1121"/>
      <c r="E51" s="1308"/>
      <c r="F51" s="130"/>
      <c r="G51" s="318">
        <f>ROUNDDOWN(J50,0)</f>
        <v>59</v>
      </c>
      <c r="H51" s="1193"/>
      <c r="I51" s="394">
        <f>H50/$H$56</f>
        <v>0.76954732510288071</v>
      </c>
      <c r="J51" s="395">
        <f t="shared" ref="J51:N51" si="7">ROUNDDOWN(J50*0.3025,2)</f>
        <v>18.14</v>
      </c>
      <c r="K51" s="395">
        <f t="shared" si="7"/>
        <v>1.84</v>
      </c>
      <c r="L51" s="395">
        <f t="shared" si="7"/>
        <v>4.99</v>
      </c>
      <c r="M51" s="395">
        <f t="shared" si="7"/>
        <v>6.83</v>
      </c>
      <c r="N51" s="395">
        <f t="shared" si="7"/>
        <v>24.98</v>
      </c>
      <c r="O51" s="1312"/>
      <c r="P51" s="1312"/>
      <c r="Q51" s="1312"/>
      <c r="R51" s="1312"/>
      <c r="S51" s="1313"/>
      <c r="T51" s="1198"/>
      <c r="U51" s="173"/>
      <c r="V51" s="1280"/>
      <c r="W51" s="742">
        <f>V50/$V$56</f>
        <v>0.59570661896243293</v>
      </c>
      <c r="X51" s="1280"/>
      <c r="Y51" s="130" t="s">
        <v>306</v>
      </c>
      <c r="Z51" s="130" t="s">
        <v>315</v>
      </c>
      <c r="AA51" s="130"/>
      <c r="AB51" s="130" t="s">
        <v>307</v>
      </c>
      <c r="AC51" s="130">
        <v>860</v>
      </c>
    </row>
    <row r="52" spans="2:29" ht="12" hidden="1" customHeight="1">
      <c r="B52" s="696"/>
      <c r="C52" s="308"/>
      <c r="D52" s="308"/>
      <c r="E52" s="1128">
        <f>C52/$H$82</f>
        <v>0</v>
      </c>
      <c r="F52" s="130"/>
      <c r="G52" s="316">
        <f>ROUNDDOWN(N53,0)</f>
        <v>30</v>
      </c>
      <c r="H52" s="1200">
        <f>'설계개요(1단지)'!H52+'설계개요(2단지)'!H49+'설계개요(3단지)'!H49+'설계개요(4단지)'!H49</f>
        <v>0</v>
      </c>
      <c r="I52" s="1303">
        <f>H52/$H$82</f>
        <v>0</v>
      </c>
      <c r="J52" s="396">
        <f>J64</f>
        <v>74.989999999999995</v>
      </c>
      <c r="K52" s="396">
        <f>K64</f>
        <v>7.03</v>
      </c>
      <c r="L52" s="396">
        <f>L64</f>
        <v>18.5</v>
      </c>
      <c r="M52" s="396">
        <f>K52+L52</f>
        <v>25.53</v>
      </c>
      <c r="N52" s="396">
        <f>M52+J52</f>
        <v>100.52</v>
      </c>
      <c r="O52" s="1312"/>
      <c r="P52" s="1312"/>
      <c r="Q52" s="1312"/>
      <c r="R52" s="1312"/>
      <c r="S52" s="1313"/>
      <c r="T52" s="1198"/>
      <c r="U52" s="173"/>
      <c r="V52" s="1281"/>
      <c r="W52" s="1283">
        <f>V52/$H$82</f>
        <v>0</v>
      </c>
      <c r="X52" s="1281"/>
      <c r="Y52" s="130" t="s">
        <v>307</v>
      </c>
      <c r="Z52" s="130" t="s">
        <v>316</v>
      </c>
      <c r="AA52" s="130"/>
      <c r="AB52" s="130" t="s">
        <v>309</v>
      </c>
      <c r="AC52" s="130">
        <v>410</v>
      </c>
    </row>
    <row r="53" spans="2:29" ht="12" hidden="1" customHeight="1">
      <c r="B53" s="696"/>
      <c r="C53" s="308"/>
      <c r="D53" s="308"/>
      <c r="E53" s="1129"/>
      <c r="F53" s="130"/>
      <c r="G53" s="318">
        <f>ROUNDDOWN(J52,0)</f>
        <v>74</v>
      </c>
      <c r="H53" s="1193"/>
      <c r="I53" s="1304"/>
      <c r="J53" s="395">
        <f t="shared" ref="J53:N53" si="8">ROUNDDOWN(J52*0.3025,2)</f>
        <v>22.68</v>
      </c>
      <c r="K53" s="395">
        <f t="shared" si="8"/>
        <v>2.12</v>
      </c>
      <c r="L53" s="395">
        <f t="shared" si="8"/>
        <v>5.59</v>
      </c>
      <c r="M53" s="395">
        <f t="shared" si="8"/>
        <v>7.72</v>
      </c>
      <c r="N53" s="395">
        <f t="shared" si="8"/>
        <v>30.4</v>
      </c>
      <c r="O53" s="1312"/>
      <c r="P53" s="1312"/>
      <c r="Q53" s="1312"/>
      <c r="R53" s="1312"/>
      <c r="S53" s="1313"/>
      <c r="T53" s="1198"/>
      <c r="U53" s="173"/>
      <c r="V53" s="1282"/>
      <c r="W53" s="1284"/>
      <c r="X53" s="1282"/>
      <c r="Y53" s="130" t="s">
        <v>308</v>
      </c>
      <c r="Z53" s="130" t="s">
        <v>317</v>
      </c>
      <c r="AA53" s="130"/>
      <c r="AB53" s="130" t="s">
        <v>326</v>
      </c>
      <c r="AC53" s="130">
        <v>30</v>
      </c>
    </row>
    <row r="54" spans="2:29" ht="12" customHeight="1">
      <c r="B54" s="1305">
        <f>I68+I70+I72+I76+I78</f>
        <v>0.38076773943388914</v>
      </c>
      <c r="C54" s="1121"/>
      <c r="D54" s="1121">
        <f>H50+H54</f>
        <v>627</v>
      </c>
      <c r="E54" s="1307">
        <f>(H44+H54)/$H$56</f>
        <v>0.1056241426611797</v>
      </c>
      <c r="F54" s="130">
        <f>H54/H56*100</f>
        <v>9.0534979423868318</v>
      </c>
      <c r="G54" s="316">
        <f>ROUNDDOWN(N55,0)</f>
        <v>34</v>
      </c>
      <c r="H54" s="1200">
        <f>'설계개요(1단지)'!H54+'설계개요(2단지)'!H51+'설계개요(3단지)'!H51+'설계개요(4단지)'!H51</f>
        <v>66</v>
      </c>
      <c r="I54" s="393">
        <f>H54/$H$82</f>
        <v>1.2795657231485071E-2</v>
      </c>
      <c r="J54" s="364">
        <v>84.99</v>
      </c>
      <c r="K54" s="364">
        <v>8.1999999999999993</v>
      </c>
      <c r="L54" s="364">
        <v>21.5</v>
      </c>
      <c r="M54" s="364">
        <f>K54+L54</f>
        <v>29.7</v>
      </c>
      <c r="N54" s="364">
        <f>M54+J54</f>
        <v>114.69</v>
      </c>
      <c r="O54" s="1312"/>
      <c r="P54" s="1312"/>
      <c r="Q54" s="1312"/>
      <c r="R54" s="1312"/>
      <c r="S54" s="1313"/>
      <c r="T54" s="1198"/>
      <c r="U54" s="173">
        <f>J54/N54</f>
        <v>0.74104106722469265</v>
      </c>
      <c r="V54" s="1279">
        <v>226</v>
      </c>
      <c r="W54" s="741">
        <f>V54/$V$82</f>
        <v>4.5172896262242655E-2</v>
      </c>
      <c r="X54" s="1279">
        <f t="shared" ref="X54" si="9">H54-V54</f>
        <v>-160</v>
      </c>
      <c r="Y54" s="130" t="s">
        <v>307</v>
      </c>
      <c r="Z54" s="130" t="s">
        <v>316</v>
      </c>
      <c r="AA54" s="130"/>
      <c r="AB54" s="130" t="s">
        <v>311</v>
      </c>
      <c r="AC54" s="130">
        <v>875</v>
      </c>
    </row>
    <row r="55" spans="2:29" ht="12" customHeight="1" thickBot="1">
      <c r="B55" s="1306"/>
      <c r="C55" s="1121"/>
      <c r="D55" s="1121"/>
      <c r="E55" s="1308"/>
      <c r="G55" s="318">
        <f>ROUNDDOWN(J54,0)</f>
        <v>84</v>
      </c>
      <c r="H55" s="1193"/>
      <c r="I55" s="394">
        <f>H54/$H$56</f>
        <v>9.0534979423868317E-2</v>
      </c>
      <c r="J55" s="395">
        <f t="shared" ref="J55:N55" si="10">ROUNDDOWN(J54*0.3025,2)</f>
        <v>25.7</v>
      </c>
      <c r="K55" s="395">
        <f t="shared" si="10"/>
        <v>2.48</v>
      </c>
      <c r="L55" s="395">
        <f t="shared" si="10"/>
        <v>6.5</v>
      </c>
      <c r="M55" s="395">
        <f t="shared" si="10"/>
        <v>8.98</v>
      </c>
      <c r="N55" s="395">
        <f t="shared" si="10"/>
        <v>34.69</v>
      </c>
      <c r="O55" s="1314"/>
      <c r="P55" s="1314"/>
      <c r="Q55" s="1314"/>
      <c r="R55" s="1314"/>
      <c r="S55" s="1315"/>
      <c r="T55" s="1199"/>
      <c r="U55" s="173"/>
      <c r="V55" s="1280"/>
      <c r="W55" s="742">
        <f>V54/$V$56</f>
        <v>0.40429338103756707</v>
      </c>
      <c r="X55" s="1280"/>
      <c r="Y55" s="130" t="s">
        <v>308</v>
      </c>
      <c r="Z55" s="130" t="s">
        <v>317</v>
      </c>
      <c r="AA55" s="130"/>
      <c r="AB55" s="130" t="s">
        <v>258</v>
      </c>
      <c r="AC55" s="130">
        <v>145</v>
      </c>
    </row>
    <row r="56" spans="2:29" ht="12" customHeight="1">
      <c r="B56" s="1301" t="s">
        <v>445</v>
      </c>
      <c r="C56" s="1121"/>
      <c r="D56" s="1121"/>
      <c r="E56" s="1402">
        <f>SUM(E46:E55)</f>
        <v>1</v>
      </c>
      <c r="G56" s="1202" t="s">
        <v>82</v>
      </c>
      <c r="H56" s="1257">
        <f>SUM(H40:H55)</f>
        <v>729</v>
      </c>
      <c r="I56" s="397">
        <f>I42+I44+I50+I54</f>
        <v>0.14133385032958512</v>
      </c>
      <c r="J56" s="398">
        <f>SUMPRODUCT(H40:H55,J40:J55)</f>
        <v>45657.71</v>
      </c>
      <c r="K56" s="799">
        <f>'설계개요(1단지)'!K56+'설계개요(2단지)'!K53+'설계개요(3단지)'!K53+'설계개요(4단지)'!K53</f>
        <v>4608.5999999999995</v>
      </c>
      <c r="L56" s="799">
        <f>'설계개요(1단지)'!L56+'설계개요(2단지)'!L53+'설계개요(3단지)'!L53+'설계개요(4단지)'!L53</f>
        <v>12413.5</v>
      </c>
      <c r="M56" s="799">
        <f>'설계개요(1단지)'!M56+'설계개요(2단지)'!M53+'설계개요(3단지)'!M53+'설계개요(4단지)'!M53</f>
        <v>17022.100000000002</v>
      </c>
      <c r="N56" s="799">
        <f>'설계개요(1단지)'!N56+'설계개요(2단지)'!N53+'설계개요(3단지)'!N53+'설계개요(4단지)'!N53</f>
        <v>62679.810000000005</v>
      </c>
      <c r="O56" s="1389"/>
      <c r="P56" s="1390"/>
      <c r="Q56" s="1390"/>
      <c r="R56" s="1390"/>
      <c r="S56" s="1391"/>
      <c r="T56" s="1206"/>
      <c r="U56" s="173"/>
      <c r="V56" s="1272">
        <f>SUM(V40:V55)</f>
        <v>559</v>
      </c>
      <c r="W56" s="743">
        <f>W46+W50+W54</f>
        <v>0.11173296022386567</v>
      </c>
      <c r="X56" s="1270">
        <f t="shared" ref="X56" si="11">H56-V56</f>
        <v>170</v>
      </c>
      <c r="Y56" s="130" t="s">
        <v>309</v>
      </c>
      <c r="Z56" s="130" t="s">
        <v>318</v>
      </c>
      <c r="AA56" s="130"/>
      <c r="AB56" s="130" t="s">
        <v>312</v>
      </c>
      <c r="AC56" s="130">
        <v>2</v>
      </c>
    </row>
    <row r="57" spans="2:29" ht="12" customHeight="1">
      <c r="B57" s="1302"/>
      <c r="C57" s="1121"/>
      <c r="D57" s="1121"/>
      <c r="E57" s="1403"/>
      <c r="G57" s="1203"/>
      <c r="H57" s="1254"/>
      <c r="I57" s="399">
        <f>I47+I51+I55</f>
        <v>0.86008230452674905</v>
      </c>
      <c r="J57" s="400">
        <f t="shared" ref="J57:N57" si="12">ROUNDDOWN(J56*0.3025,2)</f>
        <v>13811.45</v>
      </c>
      <c r="K57" s="400">
        <f t="shared" si="12"/>
        <v>1394.1</v>
      </c>
      <c r="L57" s="400">
        <f t="shared" si="12"/>
        <v>3755.08</v>
      </c>
      <c r="M57" s="400">
        <f t="shared" si="12"/>
        <v>5149.18</v>
      </c>
      <c r="N57" s="400">
        <f t="shared" si="12"/>
        <v>18960.64</v>
      </c>
      <c r="O57" s="1392"/>
      <c r="P57" s="1393"/>
      <c r="Q57" s="1393"/>
      <c r="R57" s="1393"/>
      <c r="S57" s="1394"/>
      <c r="T57" s="1207"/>
      <c r="U57" s="173"/>
      <c r="V57" s="1271"/>
      <c r="W57" s="744">
        <f>W51+W55</f>
        <v>1</v>
      </c>
      <c r="X57" s="1271"/>
      <c r="Y57" s="130" t="s">
        <v>310</v>
      </c>
      <c r="Z57" s="130" t="s">
        <v>319</v>
      </c>
      <c r="AA57" s="130"/>
      <c r="AB57" s="130" t="s">
        <v>313</v>
      </c>
      <c r="AC57" s="130">
        <v>58</v>
      </c>
    </row>
    <row r="58" spans="2:29" ht="12" hidden="1" customHeight="1">
      <c r="B58" s="697"/>
      <c r="C58" s="1121"/>
      <c r="D58" s="937"/>
      <c r="E58" s="937">
        <f>C58/$H$82</f>
        <v>0</v>
      </c>
      <c r="F58" s="1075"/>
      <c r="G58" s="86">
        <f>ROUNDDOWN(N59,0)</f>
        <v>17</v>
      </c>
      <c r="H58" s="935"/>
      <c r="I58" s="1401">
        <f>H58/$H$82</f>
        <v>0</v>
      </c>
      <c r="J58" s="401">
        <v>39.96</v>
      </c>
      <c r="K58" s="401">
        <v>3.65</v>
      </c>
      <c r="L58" s="401">
        <v>14.8</v>
      </c>
      <c r="M58" s="401">
        <f>K58+L58</f>
        <v>18.45</v>
      </c>
      <c r="N58" s="401">
        <f>J58+M58</f>
        <v>58.41</v>
      </c>
      <c r="O58" s="401"/>
      <c r="P58" s="401"/>
      <c r="Q58" s="401"/>
      <c r="R58" s="401"/>
      <c r="S58" s="401"/>
      <c r="T58" s="390" t="s">
        <v>137</v>
      </c>
      <c r="U58" s="173"/>
      <c r="V58" s="1273"/>
      <c r="W58" s="1274">
        <f>V58/$H$82</f>
        <v>0</v>
      </c>
      <c r="X58" s="1273">
        <f t="shared" ref="X58" si="13">H58-V58</f>
        <v>0</v>
      </c>
      <c r="Y58" s="130" t="s">
        <v>258</v>
      </c>
      <c r="Z58" s="130" t="s">
        <v>322</v>
      </c>
      <c r="AA58" s="130"/>
      <c r="AB58" s="130"/>
      <c r="AC58" s="130"/>
    </row>
    <row r="59" spans="2:29" ht="12" hidden="1" customHeight="1">
      <c r="B59" s="698"/>
      <c r="C59" s="1121"/>
      <c r="D59" s="938"/>
      <c r="E59" s="938"/>
      <c r="F59" s="1076"/>
      <c r="G59" s="87">
        <v>39</v>
      </c>
      <c r="H59" s="936"/>
      <c r="I59" s="1298"/>
      <c r="J59" s="402">
        <f t="shared" ref="J59:N59" si="14">ROUNDDOWN(J58*0.3025,2)</f>
        <v>12.08</v>
      </c>
      <c r="K59" s="402">
        <f t="shared" si="14"/>
        <v>1.1000000000000001</v>
      </c>
      <c r="L59" s="402">
        <f t="shared" si="14"/>
        <v>4.47</v>
      </c>
      <c r="M59" s="402">
        <f t="shared" si="14"/>
        <v>5.58</v>
      </c>
      <c r="N59" s="402">
        <f t="shared" si="14"/>
        <v>17.66</v>
      </c>
      <c r="O59" s="402"/>
      <c r="P59" s="402"/>
      <c r="Q59" s="402"/>
      <c r="R59" s="402"/>
      <c r="S59" s="402"/>
      <c r="T59" s="391"/>
      <c r="U59" s="173"/>
      <c r="V59" s="1263"/>
      <c r="W59" s="1265"/>
      <c r="X59" s="1263"/>
      <c r="Y59" s="130"/>
      <c r="Z59" s="130"/>
      <c r="AA59" s="130"/>
      <c r="AB59" s="130"/>
      <c r="AC59" s="130"/>
    </row>
    <row r="60" spans="2:29" ht="12" hidden="1" customHeight="1">
      <c r="B60" s="699"/>
      <c r="C60" s="1121"/>
      <c r="D60" s="940"/>
      <c r="E60" s="940">
        <f>H60/$H$80</f>
        <v>0</v>
      </c>
      <c r="F60" s="1075"/>
      <c r="G60" s="88">
        <f>ROUNDDOWN(N61,0)</f>
        <v>20</v>
      </c>
      <c r="H60" s="1085">
        <v>0</v>
      </c>
      <c r="I60" s="403">
        <f>H60/$H$82</f>
        <v>0</v>
      </c>
      <c r="J60" s="366">
        <v>49.8</v>
      </c>
      <c r="K60" s="366">
        <v>3.7</v>
      </c>
      <c r="L60" s="366">
        <v>14.2</v>
      </c>
      <c r="M60" s="366">
        <f>K60+L60</f>
        <v>17.899999999999999</v>
      </c>
      <c r="N60" s="366">
        <f>M60+J60</f>
        <v>67.699999999999989</v>
      </c>
      <c r="O60" s="366"/>
      <c r="P60" s="366"/>
      <c r="Q60" s="366"/>
      <c r="R60" s="366"/>
      <c r="S60" s="366"/>
      <c r="T60" s="391"/>
      <c r="U60" s="173">
        <f>J60/N60</f>
        <v>0.73559822747415071</v>
      </c>
      <c r="V60" s="1262">
        <v>0</v>
      </c>
      <c r="W60" s="745">
        <f>V60/$H$82</f>
        <v>0</v>
      </c>
      <c r="X60" s="1262">
        <f t="shared" ref="X60" si="15">H60-V60</f>
        <v>0</v>
      </c>
      <c r="Y60" s="130" t="s">
        <v>312</v>
      </c>
      <c r="Z60" s="130" t="s">
        <v>323</v>
      </c>
      <c r="AA60" s="130"/>
      <c r="AB60" s="130"/>
      <c r="AC60" s="130"/>
    </row>
    <row r="61" spans="2:29" ht="12" hidden="1" customHeight="1">
      <c r="B61" s="698"/>
      <c r="C61" s="1121"/>
      <c r="D61" s="938"/>
      <c r="E61" s="938"/>
      <c r="F61" s="1076"/>
      <c r="G61" s="87">
        <f>ROUNDDOWN(J60,0)</f>
        <v>49</v>
      </c>
      <c r="H61" s="936"/>
      <c r="I61" s="404">
        <f>H60/$H$80</f>
        <v>0</v>
      </c>
      <c r="J61" s="402">
        <f t="shared" ref="J61:N61" si="16">ROUNDDOWN(J60*0.3025,2)</f>
        <v>15.06</v>
      </c>
      <c r="K61" s="402">
        <f t="shared" si="16"/>
        <v>1.1100000000000001</v>
      </c>
      <c r="L61" s="402">
        <f t="shared" si="16"/>
        <v>4.29</v>
      </c>
      <c r="M61" s="402">
        <f t="shared" si="16"/>
        <v>5.41</v>
      </c>
      <c r="N61" s="402">
        <f t="shared" si="16"/>
        <v>20.47</v>
      </c>
      <c r="O61" s="402"/>
      <c r="P61" s="402"/>
      <c r="Q61" s="402"/>
      <c r="R61" s="402"/>
      <c r="S61" s="402"/>
      <c r="T61" s="391"/>
      <c r="U61" s="173"/>
      <c r="V61" s="1263"/>
      <c r="W61" s="746">
        <f>V60/$H$80</f>
        <v>0</v>
      </c>
      <c r="X61" s="1263"/>
      <c r="Y61" s="382" t="s">
        <v>313</v>
      </c>
      <c r="Z61" s="382" t="s">
        <v>324</v>
      </c>
      <c r="AA61" s="382"/>
      <c r="AB61" s="382"/>
      <c r="AC61" s="382"/>
    </row>
    <row r="62" spans="2:29" ht="12" customHeight="1">
      <c r="B62" s="1294">
        <f>C62</f>
        <v>0.15975184179914698</v>
      </c>
      <c r="C62" s="1290">
        <f>I50+I62</f>
        <v>0.15975184179914698</v>
      </c>
      <c r="D62" s="940"/>
      <c r="E62" s="940">
        <f>H62/$H$80</f>
        <v>5.9381350191916912E-2</v>
      </c>
      <c r="F62" s="1075" t="s">
        <v>253</v>
      </c>
      <c r="G62" s="88">
        <f>ROUNDDOWN(N63,0)</f>
        <v>24</v>
      </c>
      <c r="H62" s="939">
        <f>'설계개요(1단지)'!H62+'설계개요(2단지)'!H59+'설계개요(3단지)'!H59+'설계개요(4단지)'!H59</f>
        <v>263</v>
      </c>
      <c r="I62" s="403">
        <f>H62/$H$82</f>
        <v>5.0988755331523847E-2</v>
      </c>
      <c r="J62" s="366">
        <v>59.99</v>
      </c>
      <c r="K62" s="366">
        <v>6.1</v>
      </c>
      <c r="L62" s="366">
        <v>16.5</v>
      </c>
      <c r="M62" s="366">
        <f>K62+L62</f>
        <v>22.6</v>
      </c>
      <c r="N62" s="366">
        <f>M62+J62</f>
        <v>82.59</v>
      </c>
      <c r="O62" s="1380" t="s">
        <v>387</v>
      </c>
      <c r="P62" s="1381"/>
      <c r="Q62" s="1381"/>
      <c r="R62" s="1381"/>
      <c r="S62" s="1382"/>
      <c r="T62" s="899" t="s">
        <v>137</v>
      </c>
      <c r="U62" s="173">
        <f>J62/N62</f>
        <v>0.72635912338055453</v>
      </c>
      <c r="V62" s="1267">
        <v>369</v>
      </c>
      <c r="W62" s="745">
        <f>V62/$V$82</f>
        <v>7.3755746552068763E-2</v>
      </c>
      <c r="X62" s="1269">
        <f t="shared" ref="X62" si="17">H62-V62</f>
        <v>-106</v>
      </c>
      <c r="Y62" s="2" t="s">
        <v>256</v>
      </c>
      <c r="Z62" s="2" t="s">
        <v>320</v>
      </c>
    </row>
    <row r="63" spans="2:29" ht="12" customHeight="1">
      <c r="B63" s="1293"/>
      <c r="C63" s="1291"/>
      <c r="D63" s="938"/>
      <c r="E63" s="938"/>
      <c r="F63" s="1076"/>
      <c r="G63" s="87">
        <f>ROUNDDOWN(J62,0)</f>
        <v>59</v>
      </c>
      <c r="H63" s="936"/>
      <c r="I63" s="404">
        <f>H62/$H$80</f>
        <v>5.9381350191916912E-2</v>
      </c>
      <c r="J63" s="402">
        <f t="shared" ref="J63:N63" si="18">ROUNDDOWN(J62*0.3025,2)</f>
        <v>18.14</v>
      </c>
      <c r="K63" s="402">
        <f t="shared" si="18"/>
        <v>1.84</v>
      </c>
      <c r="L63" s="402">
        <f t="shared" si="18"/>
        <v>4.99</v>
      </c>
      <c r="M63" s="402">
        <f t="shared" si="18"/>
        <v>6.83</v>
      </c>
      <c r="N63" s="402">
        <f t="shared" si="18"/>
        <v>24.98</v>
      </c>
      <c r="O63" s="1383"/>
      <c r="P63" s="1384"/>
      <c r="Q63" s="1384"/>
      <c r="R63" s="1384"/>
      <c r="S63" s="1385"/>
      <c r="T63" s="899"/>
      <c r="U63" s="173"/>
      <c r="V63" s="1268"/>
      <c r="W63" s="746">
        <f>V62/$V$80</f>
        <v>8.3033303330333028E-2</v>
      </c>
      <c r="X63" s="1268"/>
      <c r="Y63" s="2" t="s">
        <v>311</v>
      </c>
      <c r="Z63" s="2" t="s">
        <v>321</v>
      </c>
    </row>
    <row r="64" spans="2:29" ht="12" customHeight="1">
      <c r="B64" s="1294">
        <f>C64+C66</f>
        <v>0.439705312136487</v>
      </c>
      <c r="C64" s="1290">
        <f>I64</f>
        <v>0.14889492051182629</v>
      </c>
      <c r="D64" s="940"/>
      <c r="E64" s="940">
        <f>H64/$H$80</f>
        <v>0.17340257394445699</v>
      </c>
      <c r="F64" s="1075"/>
      <c r="G64" s="88">
        <f>ROUNDDOWN(N65,0)</f>
        <v>30</v>
      </c>
      <c r="H64" s="939">
        <f>'설계개요(1단지)'!H64+'설계개요(2단지)'!H61+'설계개요(3단지)'!H61+'설계개요(4단지)'!H61</f>
        <v>768</v>
      </c>
      <c r="I64" s="405">
        <f>H64/$H$82</f>
        <v>0.14889492051182629</v>
      </c>
      <c r="J64" s="366">
        <v>74.989999999999995</v>
      </c>
      <c r="K64" s="366">
        <v>7.03</v>
      </c>
      <c r="L64" s="366">
        <v>18.5</v>
      </c>
      <c r="M64" s="366">
        <f>K64+L64</f>
        <v>25.53</v>
      </c>
      <c r="N64" s="366">
        <f>J64+M64</f>
        <v>100.52</v>
      </c>
      <c r="O64" s="1383"/>
      <c r="P64" s="1384"/>
      <c r="Q64" s="1384"/>
      <c r="R64" s="1384"/>
      <c r="S64" s="1385"/>
      <c r="T64" s="899"/>
      <c r="U64" s="173">
        <f>J64/N64</f>
        <v>0.74602069239952251</v>
      </c>
      <c r="V64" s="1267">
        <v>843</v>
      </c>
      <c r="W64" s="745">
        <f>V64/$V$82</f>
        <v>0.16849890065960424</v>
      </c>
      <c r="X64" s="1269">
        <f t="shared" ref="X64" si="19">H64-V64</f>
        <v>-75</v>
      </c>
      <c r="Y64" s="2" t="s">
        <v>258</v>
      </c>
      <c r="Z64" s="2" t="s">
        <v>322</v>
      </c>
    </row>
    <row r="65" spans="2:26" ht="12" customHeight="1">
      <c r="B65" s="1292"/>
      <c r="C65" s="1291"/>
      <c r="D65" s="938"/>
      <c r="E65" s="938"/>
      <c r="F65" s="1076"/>
      <c r="G65" s="87">
        <f>ROUNDDOWN(J64,0)</f>
        <v>74</v>
      </c>
      <c r="H65" s="936"/>
      <c r="I65" s="404">
        <f>H64/$H$80</f>
        <v>0.17340257394445699</v>
      </c>
      <c r="J65" s="402">
        <f t="shared" ref="J65:N65" si="20">ROUNDDOWN(J64*0.3025,2)</f>
        <v>22.68</v>
      </c>
      <c r="K65" s="402">
        <f t="shared" si="20"/>
        <v>2.12</v>
      </c>
      <c r="L65" s="402">
        <f t="shared" si="20"/>
        <v>5.59</v>
      </c>
      <c r="M65" s="402">
        <f t="shared" si="20"/>
        <v>7.72</v>
      </c>
      <c r="N65" s="402">
        <f t="shared" si="20"/>
        <v>30.4</v>
      </c>
      <c r="O65" s="1383"/>
      <c r="P65" s="1384"/>
      <c r="Q65" s="1384"/>
      <c r="R65" s="1384"/>
      <c r="S65" s="1385"/>
      <c r="T65" s="899"/>
      <c r="U65" s="173"/>
      <c r="V65" s="1268"/>
      <c r="W65" s="746">
        <f>V64/$V$80</f>
        <v>0.18969396939693969</v>
      </c>
      <c r="X65" s="1268"/>
      <c r="Y65" s="2" t="s">
        <v>312</v>
      </c>
      <c r="Z65" s="2" t="s">
        <v>323</v>
      </c>
    </row>
    <row r="66" spans="2:26" ht="12" customHeight="1">
      <c r="B66" s="1292"/>
      <c r="C66" s="1300">
        <f>I66+I54</f>
        <v>0.29081039162466071</v>
      </c>
      <c r="D66" s="940"/>
      <c r="E66" s="940">
        <f>H66/$H$80</f>
        <v>0.32377511853691576</v>
      </c>
      <c r="F66" s="1075"/>
      <c r="G66" s="88">
        <f>ROUNDDOWN(N67,0)</f>
        <v>34</v>
      </c>
      <c r="H66" s="939">
        <f>'설계개요(1단지)'!H66+'설계개요(2단지)'!H63+'설계개요(3단지)'!H63+'설계개요(4단지)'!H63</f>
        <v>1434</v>
      </c>
      <c r="I66" s="403">
        <f>H66/$H$82</f>
        <v>0.27801473439317564</v>
      </c>
      <c r="J66" s="366">
        <v>84.99</v>
      </c>
      <c r="K66" s="366">
        <v>8.1999999999999993</v>
      </c>
      <c r="L66" s="366">
        <v>21.5</v>
      </c>
      <c r="M66" s="366">
        <f>K66+L66</f>
        <v>29.7</v>
      </c>
      <c r="N66" s="366">
        <f>J66+M66</f>
        <v>114.69</v>
      </c>
      <c r="O66" s="1383"/>
      <c r="P66" s="1384"/>
      <c r="Q66" s="1384"/>
      <c r="R66" s="1384"/>
      <c r="S66" s="1385"/>
      <c r="T66" s="899"/>
      <c r="U66" s="173">
        <f>J66/N66</f>
        <v>0.74104106722469265</v>
      </c>
      <c r="V66" s="1267">
        <v>1575</v>
      </c>
      <c r="W66" s="745">
        <f>V66/$V$82</f>
        <v>0.31481111333200079</v>
      </c>
      <c r="X66" s="1269">
        <f t="shared" ref="X66" si="21">H66-V66</f>
        <v>-141</v>
      </c>
      <c r="Y66" s="2" t="s">
        <v>313</v>
      </c>
      <c r="Z66" s="2" t="s">
        <v>324</v>
      </c>
    </row>
    <row r="67" spans="2:26" ht="12" customHeight="1">
      <c r="B67" s="1293"/>
      <c r="C67" s="1291"/>
      <c r="D67" s="938"/>
      <c r="E67" s="938"/>
      <c r="F67" s="1076"/>
      <c r="G67" s="87">
        <f>ROUNDDOWN(J66,0)</f>
        <v>84</v>
      </c>
      <c r="H67" s="936"/>
      <c r="I67" s="404">
        <f>H66/$H$80</f>
        <v>0.32377511853691576</v>
      </c>
      <c r="J67" s="402">
        <f t="shared" ref="J67:N67" si="22">ROUNDDOWN(J66*0.3025,2)</f>
        <v>25.7</v>
      </c>
      <c r="K67" s="402">
        <f t="shared" si="22"/>
        <v>2.48</v>
      </c>
      <c r="L67" s="402">
        <f t="shared" si="22"/>
        <v>6.5</v>
      </c>
      <c r="M67" s="402">
        <f t="shared" si="22"/>
        <v>8.98</v>
      </c>
      <c r="N67" s="402">
        <f t="shared" si="22"/>
        <v>34.69</v>
      </c>
      <c r="O67" s="1383"/>
      <c r="P67" s="1384"/>
      <c r="Q67" s="1384"/>
      <c r="R67" s="1384"/>
      <c r="S67" s="1385"/>
      <c r="T67" s="899"/>
      <c r="U67" s="173"/>
      <c r="V67" s="1268"/>
      <c r="W67" s="746">
        <f>V66/$V$80</f>
        <v>0.35441044104410441</v>
      </c>
      <c r="X67" s="1268"/>
    </row>
    <row r="68" spans="2:26" ht="12" customHeight="1">
      <c r="B68" s="1294">
        <f>C68+C70</f>
        <v>0.33191159364094613</v>
      </c>
      <c r="C68" s="1290">
        <f>I68</f>
        <v>0.15936409461031409</v>
      </c>
      <c r="D68" s="940"/>
      <c r="E68" s="940">
        <f>C68/$H$82</f>
        <v>3.0896489843023284E-5</v>
      </c>
      <c r="F68" s="1076"/>
      <c r="G68" s="88">
        <f>ROUNDDOWN(N69,0)</f>
        <v>40</v>
      </c>
      <c r="H68" s="939">
        <f>'설계개요(1단지)'!H68+'설계개요(2단지)'!H65+'설계개요(3단지)'!H65+'설계개요(4단지)'!H65</f>
        <v>822</v>
      </c>
      <c r="I68" s="403">
        <f>H68/$H$82</f>
        <v>0.15936409461031409</v>
      </c>
      <c r="J68" s="366">
        <v>99.99</v>
      </c>
      <c r="K68" s="366">
        <v>8.7200000000000006</v>
      </c>
      <c r="L68" s="366">
        <v>23.8</v>
      </c>
      <c r="M68" s="366">
        <f>K68+L68</f>
        <v>32.520000000000003</v>
      </c>
      <c r="N68" s="366">
        <f>J68+M68</f>
        <v>132.51</v>
      </c>
      <c r="O68" s="1383"/>
      <c r="P68" s="1384"/>
      <c r="Q68" s="1384"/>
      <c r="R68" s="1384"/>
      <c r="S68" s="1385"/>
      <c r="T68" s="899"/>
      <c r="U68" s="173"/>
      <c r="V68" s="1267">
        <v>653</v>
      </c>
      <c r="W68" s="745">
        <f>V68/$V$82</f>
        <v>0.13052168698780731</v>
      </c>
      <c r="X68" s="1269">
        <f t="shared" ref="X68" si="23">H68-V68</f>
        <v>169</v>
      </c>
    </row>
    <row r="69" spans="2:26" ht="12" customHeight="1">
      <c r="B69" s="1292"/>
      <c r="C69" s="1291"/>
      <c r="D69" s="938"/>
      <c r="E69" s="938"/>
      <c r="F69" s="838"/>
      <c r="G69" s="87">
        <f>ROUNDDOWN(J68,0)</f>
        <v>99</v>
      </c>
      <c r="H69" s="936"/>
      <c r="I69" s="404">
        <f>H68/$H$80</f>
        <v>0.18559494242492661</v>
      </c>
      <c r="J69" s="402">
        <f t="shared" ref="J69:N69" si="24">ROUNDDOWN(J68*0.3025,2)</f>
        <v>30.24</v>
      </c>
      <c r="K69" s="402">
        <f t="shared" si="24"/>
        <v>2.63</v>
      </c>
      <c r="L69" s="402">
        <f t="shared" si="24"/>
        <v>7.19</v>
      </c>
      <c r="M69" s="402">
        <f t="shared" si="24"/>
        <v>9.83</v>
      </c>
      <c r="N69" s="402">
        <f t="shared" si="24"/>
        <v>40.08</v>
      </c>
      <c r="O69" s="1383"/>
      <c r="P69" s="1384"/>
      <c r="Q69" s="1384"/>
      <c r="R69" s="1384"/>
      <c r="S69" s="1385"/>
      <c r="T69" s="899"/>
      <c r="U69" s="173"/>
      <c r="V69" s="1268"/>
      <c r="W69" s="746">
        <f>V68/$V$80</f>
        <v>0.14693969396939693</v>
      </c>
      <c r="X69" s="1268"/>
    </row>
    <row r="70" spans="2:26" ht="12" customHeight="1">
      <c r="B70" s="1292"/>
      <c r="C70" s="1290">
        <f>I70</f>
        <v>0.17254749903063202</v>
      </c>
      <c r="D70" s="305"/>
      <c r="E70" s="940">
        <f>H70/$H$80</f>
        <v>0.20094829532625874</v>
      </c>
      <c r="F70" s="203"/>
      <c r="G70" s="88">
        <f>ROUNDDOWN(N71,0)</f>
        <v>45</v>
      </c>
      <c r="H70" s="939">
        <f>'설계개요(1단지)'!H70+'설계개요(2단지)'!H67+'설계개요(3단지)'!H67+'설계개요(4단지)'!H67</f>
        <v>890</v>
      </c>
      <c r="I70" s="403">
        <f>H70/$H$82</f>
        <v>0.17254749903063202</v>
      </c>
      <c r="J70" s="366">
        <v>114.99</v>
      </c>
      <c r="K70" s="366">
        <v>9.1999999999999993</v>
      </c>
      <c r="L70" s="366">
        <v>25.5</v>
      </c>
      <c r="M70" s="366">
        <f>K70+L70</f>
        <v>34.700000000000003</v>
      </c>
      <c r="N70" s="366">
        <f>J70+M70</f>
        <v>149.69</v>
      </c>
      <c r="O70" s="1383"/>
      <c r="P70" s="1384"/>
      <c r="Q70" s="1384"/>
      <c r="R70" s="1384"/>
      <c r="S70" s="1385"/>
      <c r="T70" s="899"/>
      <c r="U70" s="173">
        <f>J70/N70</f>
        <v>0.76818758768120776</v>
      </c>
      <c r="V70" s="1267">
        <v>718</v>
      </c>
      <c r="W70" s="745">
        <f>V70/$V$82</f>
        <v>0.143513891665001</v>
      </c>
      <c r="X70" s="1269">
        <f t="shared" ref="X70" si="25">H70-V70</f>
        <v>172</v>
      </c>
    </row>
    <row r="71" spans="2:26" ht="12" customHeight="1">
      <c r="B71" s="1293"/>
      <c r="C71" s="1291"/>
      <c r="D71" s="305"/>
      <c r="E71" s="938"/>
      <c r="F71" s="203"/>
      <c r="G71" s="87">
        <f>ROUNDDOWN(J70,0)</f>
        <v>114</v>
      </c>
      <c r="H71" s="936"/>
      <c r="I71" s="404">
        <f>H70/$H$80</f>
        <v>0.20094829532625874</v>
      </c>
      <c r="J71" s="402">
        <f t="shared" ref="J71:N71" si="26">ROUNDDOWN(J70*0.3025,2)</f>
        <v>34.78</v>
      </c>
      <c r="K71" s="402">
        <f t="shared" si="26"/>
        <v>2.78</v>
      </c>
      <c r="L71" s="402">
        <f t="shared" si="26"/>
        <v>7.71</v>
      </c>
      <c r="M71" s="402">
        <f t="shared" si="26"/>
        <v>10.49</v>
      </c>
      <c r="N71" s="402">
        <f t="shared" si="26"/>
        <v>45.28</v>
      </c>
      <c r="O71" s="1383"/>
      <c r="P71" s="1384"/>
      <c r="Q71" s="1384"/>
      <c r="R71" s="1384"/>
      <c r="S71" s="1385"/>
      <c r="T71" s="899"/>
      <c r="U71" s="173"/>
      <c r="V71" s="1268"/>
      <c r="W71" s="746">
        <f>V70/$V$80</f>
        <v>0.16156615661566157</v>
      </c>
      <c r="X71" s="1268"/>
    </row>
    <row r="72" spans="2:26" ht="12" customHeight="1">
      <c r="B72" s="1292">
        <f>I72</f>
        <v>3.7611477316789453E-2</v>
      </c>
      <c r="D72" s="305"/>
      <c r="E72" s="1084">
        <f>B72/$H$82</f>
        <v>7.2918722987183895E-6</v>
      </c>
      <c r="F72" s="203"/>
      <c r="G72" s="88">
        <f>ROUNDDOWN(N73,0)</f>
        <v>52</v>
      </c>
      <c r="H72" s="939">
        <f>'설계개요(1단지)'!H72+'설계개요(2단지)'!H69+'설계개요(3단지)'!H69+'설계개요(4단지)'!H69</f>
        <v>194</v>
      </c>
      <c r="I72" s="408">
        <f>H72/$H$82</f>
        <v>3.7611477316789453E-2</v>
      </c>
      <c r="J72" s="366">
        <v>135.99</v>
      </c>
      <c r="K72" s="366">
        <v>10.72</v>
      </c>
      <c r="L72" s="366">
        <v>26.8</v>
      </c>
      <c r="M72" s="366">
        <f>K72+L72</f>
        <v>37.520000000000003</v>
      </c>
      <c r="N72" s="366">
        <f>J72+M72</f>
        <v>173.51000000000002</v>
      </c>
      <c r="O72" s="1383"/>
      <c r="P72" s="1384"/>
      <c r="Q72" s="1384"/>
      <c r="R72" s="1384"/>
      <c r="S72" s="1385"/>
      <c r="T72" s="899"/>
      <c r="U72" s="173">
        <f>J72/N72</f>
        <v>0.78375886116074001</v>
      </c>
      <c r="V72" s="1262">
        <v>215</v>
      </c>
      <c r="W72" s="748">
        <f>V72/$H$82</f>
        <v>4.1682822799534704E-2</v>
      </c>
      <c r="X72" s="1262">
        <f t="shared" ref="X72" si="27">H72-V72</f>
        <v>-21</v>
      </c>
    </row>
    <row r="73" spans="2:26" ht="12" customHeight="1">
      <c r="B73" s="1293"/>
      <c r="D73" s="305"/>
      <c r="E73" s="938"/>
      <c r="F73" s="203"/>
      <c r="G73" s="87">
        <f>ROUNDDOWN(J72,0)</f>
        <v>135</v>
      </c>
      <c r="H73" s="936"/>
      <c r="I73" s="404">
        <f>H72/$H$80</f>
        <v>4.3802212689094601E-2</v>
      </c>
      <c r="J73" s="402">
        <f t="shared" ref="J73:N73" si="28">ROUNDDOWN(J72*0.3025,2)</f>
        <v>41.13</v>
      </c>
      <c r="K73" s="402">
        <f t="shared" si="28"/>
        <v>3.24</v>
      </c>
      <c r="L73" s="402">
        <f t="shared" si="28"/>
        <v>8.1</v>
      </c>
      <c r="M73" s="402">
        <f t="shared" si="28"/>
        <v>11.34</v>
      </c>
      <c r="N73" s="402">
        <f t="shared" si="28"/>
        <v>52.48</v>
      </c>
      <c r="O73" s="1383"/>
      <c r="P73" s="1384"/>
      <c r="Q73" s="1384"/>
      <c r="R73" s="1384"/>
      <c r="S73" s="1385"/>
      <c r="T73" s="899"/>
      <c r="U73" s="173"/>
      <c r="V73" s="1263"/>
      <c r="W73" s="746">
        <f>V72/$H$80</f>
        <v>4.8543689320388349E-2</v>
      </c>
      <c r="X73" s="1263"/>
    </row>
    <row r="74" spans="2:26" ht="12" hidden="1" customHeight="1">
      <c r="B74" s="700"/>
      <c r="C74" s="1121"/>
      <c r="D74" s="1084"/>
      <c r="E74" s="1084">
        <f>C74/$H$82</f>
        <v>0</v>
      </c>
      <c r="F74" s="1211"/>
      <c r="G74" s="88">
        <f>ROUNDDOWN(N75,0)</f>
        <v>59</v>
      </c>
      <c r="H74" s="939">
        <f>'설계개요(1단지)'!H74+'설계개요(2단지)'!H71+'설계개요(3단지)'!H71+'설계개요(4단지)'!H71</f>
        <v>0</v>
      </c>
      <c r="I74" s="1297">
        <f>H74/$H$82</f>
        <v>0</v>
      </c>
      <c r="J74" s="409">
        <v>158.97999999999999</v>
      </c>
      <c r="K74" s="409">
        <v>11.28</v>
      </c>
      <c r="L74" s="409">
        <v>25.54</v>
      </c>
      <c r="M74" s="409">
        <f>K74+L74</f>
        <v>36.82</v>
      </c>
      <c r="N74" s="409">
        <f>J74+M74</f>
        <v>195.79999999999998</v>
      </c>
      <c r="O74" s="1383"/>
      <c r="P74" s="1384"/>
      <c r="Q74" s="1384"/>
      <c r="R74" s="1384"/>
      <c r="S74" s="1385"/>
      <c r="T74" s="899"/>
      <c r="U74" s="173"/>
      <c r="V74" s="1262"/>
      <c r="W74" s="1264">
        <f>V74/$H$82</f>
        <v>0</v>
      </c>
      <c r="X74" s="1262">
        <f t="shared" ref="X74" si="29">H74-V74</f>
        <v>0</v>
      </c>
    </row>
    <row r="75" spans="2:26" ht="12" hidden="1" customHeight="1">
      <c r="B75" s="701"/>
      <c r="C75" s="1121"/>
      <c r="D75" s="938"/>
      <c r="E75" s="938"/>
      <c r="F75" s="838"/>
      <c r="G75" s="87">
        <f>ROUNDDOWN(J74,0)</f>
        <v>158</v>
      </c>
      <c r="H75" s="936"/>
      <c r="I75" s="1298"/>
      <c r="J75" s="402">
        <f t="shared" ref="J75:N75" si="30">ROUNDDOWN(J74*0.3025,2)</f>
        <v>48.09</v>
      </c>
      <c r="K75" s="402">
        <f t="shared" si="30"/>
        <v>3.41</v>
      </c>
      <c r="L75" s="402">
        <f t="shared" si="30"/>
        <v>7.72</v>
      </c>
      <c r="M75" s="402">
        <f t="shared" si="30"/>
        <v>11.13</v>
      </c>
      <c r="N75" s="402">
        <f t="shared" si="30"/>
        <v>59.22</v>
      </c>
      <c r="O75" s="1383"/>
      <c r="P75" s="1384"/>
      <c r="Q75" s="1384"/>
      <c r="R75" s="1384"/>
      <c r="S75" s="1385"/>
      <c r="T75" s="899"/>
      <c r="U75" s="173"/>
      <c r="V75" s="1263"/>
      <c r="W75" s="1265"/>
      <c r="X75" s="1263"/>
    </row>
    <row r="76" spans="2:26" ht="12" customHeight="1">
      <c r="B76" s="1292">
        <f>I76</f>
        <v>9.1120589375727028E-3</v>
      </c>
      <c r="C76" s="308"/>
      <c r="D76" s="305"/>
      <c r="E76" s="940" t="e">
        <f>C76/$H$79</f>
        <v>#DIV/0!</v>
      </c>
      <c r="F76" s="203"/>
      <c r="G76" s="88">
        <f>ROUNDDOWN(N77,0)</f>
        <v>62</v>
      </c>
      <c r="H76" s="939">
        <f>'설계개요(1단지)'!H76+'설계개요(2단지)'!H73+'설계개요(3단지)'!H73+'설계개요(4단지)'!H73</f>
        <v>47</v>
      </c>
      <c r="I76" s="410">
        <f>H76/$H$82</f>
        <v>9.1120589375727028E-3</v>
      </c>
      <c r="J76" s="409">
        <v>165.89</v>
      </c>
      <c r="K76" s="409">
        <v>13.45</v>
      </c>
      <c r="L76" s="409">
        <v>26.42</v>
      </c>
      <c r="M76" s="409">
        <f>K76+L76</f>
        <v>39.870000000000005</v>
      </c>
      <c r="N76" s="409">
        <f>J76+M76</f>
        <v>205.76</v>
      </c>
      <c r="O76" s="1383"/>
      <c r="P76" s="1384"/>
      <c r="Q76" s="1384"/>
      <c r="R76" s="1384"/>
      <c r="S76" s="1385"/>
      <c r="T76" s="899"/>
      <c r="U76" s="173">
        <f>J76/N76</f>
        <v>0.80623055987558312</v>
      </c>
      <c r="V76" s="1266">
        <v>59</v>
      </c>
      <c r="W76" s="745">
        <f>V76/$V$82</f>
        <v>1.1792924245452729E-2</v>
      </c>
      <c r="X76" s="1262">
        <f t="shared" ref="X76" si="31">H76-V76</f>
        <v>-12</v>
      </c>
    </row>
    <row r="77" spans="2:26" ht="12" customHeight="1">
      <c r="B77" s="1293"/>
      <c r="C77" s="308"/>
      <c r="D77" s="305"/>
      <c r="E77" s="938"/>
      <c r="F77" s="203"/>
      <c r="G77" s="87">
        <f>ROUNDDOWN(J76,0)</f>
        <v>165</v>
      </c>
      <c r="H77" s="936"/>
      <c r="I77" s="404">
        <f>H76/$H$80</f>
        <v>1.0611876270038383E-2</v>
      </c>
      <c r="J77" s="402">
        <f t="shared" ref="J77:N77" si="32">ROUNDDOWN(J76*0.3025,2)</f>
        <v>50.18</v>
      </c>
      <c r="K77" s="402">
        <f t="shared" si="32"/>
        <v>4.0599999999999996</v>
      </c>
      <c r="L77" s="402">
        <f t="shared" si="32"/>
        <v>7.99</v>
      </c>
      <c r="M77" s="402">
        <f t="shared" si="32"/>
        <v>12.06</v>
      </c>
      <c r="N77" s="402">
        <f t="shared" si="32"/>
        <v>62.24</v>
      </c>
      <c r="O77" s="1383"/>
      <c r="P77" s="1384"/>
      <c r="Q77" s="1384"/>
      <c r="R77" s="1384"/>
      <c r="S77" s="1385"/>
      <c r="T77" s="899"/>
      <c r="U77" s="173"/>
      <c r="V77" s="1263"/>
      <c r="W77" s="746">
        <f>V76/$V$80</f>
        <v>1.3276327632763277E-2</v>
      </c>
      <c r="X77" s="1263"/>
    </row>
    <row r="78" spans="2:26" ht="12" customHeight="1">
      <c r="B78" s="1292">
        <f>I78</f>
        <v>2.1326095385808454E-3</v>
      </c>
      <c r="D78" s="940"/>
      <c r="E78" s="940">
        <f>B78/$H$82</f>
        <v>4.134566767314551E-7</v>
      </c>
      <c r="F78" s="838"/>
      <c r="G78" s="88">
        <f>ROUNDDOWN(N79,0)</f>
        <v>66</v>
      </c>
      <c r="H78" s="939">
        <f>'설계개요(1단지)'!H78+'설계개요(2단지)'!H75+'설계개요(3단지)'!H75+'설계개요(4단지)'!H75</f>
        <v>11</v>
      </c>
      <c r="I78" s="410">
        <f>H78/$H$82</f>
        <v>2.1326095385808454E-3</v>
      </c>
      <c r="J78" s="366">
        <v>175</v>
      </c>
      <c r="K78" s="366">
        <v>15.3</v>
      </c>
      <c r="L78" s="366">
        <v>30.85</v>
      </c>
      <c r="M78" s="366">
        <f>K78+L78</f>
        <v>46.150000000000006</v>
      </c>
      <c r="N78" s="366">
        <f>J78+M78</f>
        <v>221.15</v>
      </c>
      <c r="O78" s="1383"/>
      <c r="P78" s="1384"/>
      <c r="Q78" s="1384"/>
      <c r="R78" s="1384"/>
      <c r="S78" s="1385"/>
      <c r="T78" s="899"/>
      <c r="U78" s="173">
        <f>J78/N78</f>
        <v>0.79131810988017182</v>
      </c>
      <c r="V78" s="1267">
        <v>12</v>
      </c>
      <c r="W78" s="745">
        <f>V78/$V$82</f>
        <v>2.3985608634819106E-3</v>
      </c>
      <c r="X78" s="1269">
        <f t="shared" ref="X78" si="33">H78-V78</f>
        <v>-1</v>
      </c>
      <c r="Y78" s="173">
        <f>N56+N80</f>
        <v>613977.43000000005</v>
      </c>
    </row>
    <row r="79" spans="2:26" ht="12" customHeight="1" thickBot="1">
      <c r="B79" s="1299"/>
      <c r="D79" s="938"/>
      <c r="E79" s="938"/>
      <c r="F79" s="838"/>
      <c r="G79" s="87">
        <f>ROUNDDOWN(J78,0)</f>
        <v>175</v>
      </c>
      <c r="H79" s="936"/>
      <c r="I79" s="404">
        <f>H78/$H$80</f>
        <v>2.4836306163919619E-3</v>
      </c>
      <c r="J79" s="402">
        <f t="shared" ref="J79:N79" si="34">ROUNDDOWN(J78*0.3025,2)</f>
        <v>52.93</v>
      </c>
      <c r="K79" s="402">
        <f t="shared" si="34"/>
        <v>4.62</v>
      </c>
      <c r="L79" s="402">
        <f t="shared" si="34"/>
        <v>9.33</v>
      </c>
      <c r="M79" s="402">
        <f t="shared" si="34"/>
        <v>13.96</v>
      </c>
      <c r="N79" s="402">
        <f t="shared" si="34"/>
        <v>66.89</v>
      </c>
      <c r="O79" s="1386"/>
      <c r="P79" s="1387"/>
      <c r="Q79" s="1387"/>
      <c r="R79" s="1387"/>
      <c r="S79" s="1388"/>
      <c r="T79" s="899"/>
      <c r="U79" s="173"/>
      <c r="V79" s="1268"/>
      <c r="W79" s="746">
        <f>V78/$V$80</f>
        <v>2.7002700270027003E-3</v>
      </c>
      <c r="X79" s="1268"/>
      <c r="Y79" s="144">
        <f>R56+R80</f>
        <v>0</v>
      </c>
    </row>
    <row r="80" spans="2:26" ht="12" customHeight="1">
      <c r="B80" s="130"/>
      <c r="C80" s="130"/>
      <c r="D80" s="1131"/>
      <c r="E80" s="1131">
        <f>E60+E62+E64+E66+E70</f>
        <v>0.75750733799954828</v>
      </c>
      <c r="F80" s="77">
        <f>H56/H80*100</f>
        <v>16.459697448634003</v>
      </c>
      <c r="G80" s="1202" t="s">
        <v>82</v>
      </c>
      <c r="H80" s="1253">
        <f>SUM(H58:H79)</f>
        <v>4429</v>
      </c>
      <c r="I80" s="411">
        <f>I60+I62+I64+I66+I70+I68+I72+I78+I76</f>
        <v>0.85866614967041499</v>
      </c>
      <c r="J80" s="398">
        <f>SUMPRODUCT(H58:H79,J58:J79)</f>
        <v>415882.12</v>
      </c>
      <c r="K80" s="398">
        <f>SUMPRODUCT(H58:H79,K58:K79)</f>
        <v>36998.11</v>
      </c>
      <c r="L80" s="398">
        <f>SUMPRODUCT(H58:H79,L58:L79)</f>
        <v>98417.390000000014</v>
      </c>
      <c r="M80" s="398">
        <f>K80+L80</f>
        <v>135415.5</v>
      </c>
      <c r="N80" s="398">
        <f>J80+M80</f>
        <v>551297.62</v>
      </c>
      <c r="O80" s="1395"/>
      <c r="P80" s="1396"/>
      <c r="Q80" s="1396"/>
      <c r="R80" s="1396"/>
      <c r="S80" s="1397"/>
      <c r="T80" s="1220"/>
      <c r="U80" s="173">
        <f>J80/N80</f>
        <v>0.75436951822864751</v>
      </c>
      <c r="V80" s="1270">
        <f>SUM(V58:V79)</f>
        <v>4444</v>
      </c>
      <c r="W80" s="749">
        <f>W60+W62+W64+W66+W70+W68+W72+W78</f>
        <v>0.87518272285949861</v>
      </c>
      <c r="X80" s="1270">
        <f t="shared" ref="X80" si="35">H80-V80</f>
        <v>-15</v>
      </c>
      <c r="Y80" s="173">
        <f>S56+S80</f>
        <v>0</v>
      </c>
    </row>
    <row r="81" spans="3:43" ht="12" customHeight="1">
      <c r="D81" s="1132"/>
      <c r="E81" s="1132"/>
      <c r="F81" s="77"/>
      <c r="G81" s="1203"/>
      <c r="H81" s="1254"/>
      <c r="I81" s="412">
        <f>H80/$H$80</f>
        <v>1</v>
      </c>
      <c r="J81" s="400">
        <f t="shared" ref="J81:N81" si="36">ROUNDDOWN(J80*0.3025,2)</f>
        <v>125804.34</v>
      </c>
      <c r="K81" s="400">
        <f t="shared" si="36"/>
        <v>11191.92</v>
      </c>
      <c r="L81" s="400">
        <f t="shared" si="36"/>
        <v>29771.26</v>
      </c>
      <c r="M81" s="400">
        <f t="shared" si="36"/>
        <v>40963.18</v>
      </c>
      <c r="N81" s="400">
        <f t="shared" si="36"/>
        <v>166767.53</v>
      </c>
      <c r="O81" s="1398"/>
      <c r="P81" s="1399"/>
      <c r="Q81" s="1399"/>
      <c r="R81" s="1399"/>
      <c r="S81" s="1400"/>
      <c r="T81" s="1207"/>
      <c r="V81" s="1271"/>
      <c r="W81" s="750">
        <f>V80/$V$80</f>
        <v>1</v>
      </c>
      <c r="X81" s="1271"/>
    </row>
    <row r="82" spans="3:43" ht="17.25" customHeight="1">
      <c r="C82" s="1212"/>
      <c r="D82" s="940"/>
      <c r="F82" s="77"/>
      <c r="G82" s="1213" t="s">
        <v>69</v>
      </c>
      <c r="H82" s="1255">
        <f>H56+H80</f>
        <v>5158</v>
      </c>
      <c r="I82" s="1217">
        <f>I56+I80</f>
        <v>1</v>
      </c>
      <c r="J82" s="368">
        <f>'설계개요(1단지)'!J82+'설계개요(2단지)'!J79+'설계개요(3단지)'!J79+'설계개요(4단지)'!J79</f>
        <v>461539.83</v>
      </c>
      <c r="K82" s="368">
        <f>'설계개요(1단지)'!K82+'설계개요(2단지)'!K79+'설계개요(3단지)'!K79+'설계개요(4단지)'!K79</f>
        <v>41606.71</v>
      </c>
      <c r="L82" s="368">
        <f>'설계개요(1단지)'!L82+'설계개요(2단지)'!L79+'설계개요(3단지)'!L79+'설계개요(4단지)'!L79</f>
        <v>110867.55</v>
      </c>
      <c r="M82" s="368">
        <f>'설계개요(1단지)'!M82+'설계개요(2단지)'!M79+'설계개요(3단지)'!M79+'설계개요(4단지)'!M79</f>
        <v>152474.26</v>
      </c>
      <c r="N82" s="368">
        <f>'설계개요(1단지)'!N82+'설계개요(2단지)'!N79+'설계개요(3단지)'!N79+'설계개요(4단지)'!N79</f>
        <v>614014.09</v>
      </c>
      <c r="O82" s="368">
        <f>'설계개요(1단지)'!O82+'설계개요(2단지)'!O79+'설계개요(3단지)'!O79+'설계개요(4단지)'!O79</f>
        <v>1600</v>
      </c>
      <c r="P82" s="368">
        <f>'설계개요(1단지)'!P82+'설계개요(2단지)'!P79+'설계개요(3단지)'!P79+'설계개요(4단지)'!P79</f>
        <v>41407.949999999997</v>
      </c>
      <c r="Q82" s="368">
        <f>'설계개요(1단지)'!Q82+'설계개요(2단지)'!Q79+'설계개요(3단지)'!Q79+'설계개요(4단지)'!Q79</f>
        <v>515500</v>
      </c>
      <c r="R82" s="368">
        <f>'설계개요(1단지)'!R82+'설계개요(2단지)'!R79+'설계개요(3단지)'!R79+'설계개요(4단지)'!R79</f>
        <v>558507.94999999995</v>
      </c>
      <c r="S82" s="368">
        <f>N82+R82</f>
        <v>1172522.04</v>
      </c>
      <c r="T82" s="358"/>
      <c r="V82" s="1258">
        <f>V56+V80</f>
        <v>5003</v>
      </c>
      <c r="W82" s="1260">
        <f>W56+W80</f>
        <v>0.9869156830833643</v>
      </c>
      <c r="X82" s="1258">
        <f t="shared" ref="X82" si="37">H82-V82</f>
        <v>155</v>
      </c>
      <c r="Y82" s="2">
        <f>'설계개요(1단지)'!S82+'설계개요(2단지)'!S79+'설계개요(3단지)'!S79+'설계개요(4단지)'!S79</f>
        <v>1172522.04</v>
      </c>
    </row>
    <row r="83" spans="3:43" ht="17.25" customHeight="1" thickBot="1">
      <c r="C83" s="1076"/>
      <c r="D83" s="938"/>
      <c r="F83" s="77"/>
      <c r="G83" s="1214"/>
      <c r="H83" s="1256"/>
      <c r="I83" s="1218"/>
      <c r="J83" s="413">
        <f t="shared" ref="J83:S83" si="38">ROUNDDOWN(J82*0.3025,2)</f>
        <v>139615.79</v>
      </c>
      <c r="K83" s="413">
        <f t="shared" si="38"/>
        <v>12586.02</v>
      </c>
      <c r="L83" s="413">
        <f t="shared" si="38"/>
        <v>33537.43</v>
      </c>
      <c r="M83" s="413">
        <f t="shared" si="38"/>
        <v>46123.46</v>
      </c>
      <c r="N83" s="413">
        <f t="shared" si="38"/>
        <v>185739.26</v>
      </c>
      <c r="O83" s="413">
        <f t="shared" si="38"/>
        <v>484</v>
      </c>
      <c r="P83" s="413">
        <f t="shared" si="38"/>
        <v>12525.9</v>
      </c>
      <c r="Q83" s="413">
        <f t="shared" si="38"/>
        <v>155938.75</v>
      </c>
      <c r="R83" s="413">
        <f t="shared" si="38"/>
        <v>168948.65</v>
      </c>
      <c r="S83" s="413">
        <f t="shared" si="38"/>
        <v>354687.91</v>
      </c>
      <c r="T83" s="360"/>
      <c r="V83" s="1259"/>
      <c r="W83" s="1261"/>
      <c r="X83" s="1259"/>
    </row>
    <row r="84" spans="3:43" ht="6" customHeight="1">
      <c r="F84" s="77"/>
      <c r="G84" s="1046"/>
      <c r="H84" s="1047"/>
      <c r="I84" s="1047"/>
      <c r="J84" s="1047"/>
      <c r="K84" s="1047"/>
      <c r="L84" s="1047"/>
      <c r="M84" s="1047"/>
      <c r="N84" s="1047"/>
      <c r="O84" s="1047"/>
      <c r="P84" s="1047"/>
      <c r="Q84" s="1047"/>
      <c r="R84" s="1047"/>
      <c r="S84" s="1047"/>
      <c r="T84" s="1048"/>
    </row>
    <row r="85" spans="3:43" ht="18" customHeight="1">
      <c r="D85" s="321"/>
      <c r="F85" s="77"/>
      <c r="G85" s="951" t="s">
        <v>87</v>
      </c>
      <c r="H85" s="951"/>
      <c r="I85" s="951"/>
      <c r="J85" s="951"/>
      <c r="K85" s="951"/>
      <c r="L85" s="951"/>
      <c r="M85" s="951"/>
      <c r="N85" s="951"/>
      <c r="O85" s="951"/>
      <c r="P85" s="951"/>
      <c r="Q85" s="951"/>
      <c r="R85" s="951"/>
      <c r="S85" s="951"/>
      <c r="T85" s="952"/>
    </row>
    <row r="86" spans="3:43" s="6" customFormat="1" ht="14.1" customHeight="1">
      <c r="E86" s="322"/>
      <c r="F86" s="79"/>
      <c r="G86" s="984" t="s">
        <v>16</v>
      </c>
      <c r="H86" s="985"/>
      <c r="I86" s="986" t="s">
        <v>7</v>
      </c>
      <c r="J86" s="987"/>
      <c r="K86" s="986" t="s">
        <v>83</v>
      </c>
      <c r="L86" s="987"/>
      <c r="M86" s="986" t="s">
        <v>22</v>
      </c>
      <c r="N86" s="987"/>
      <c r="O86" s="85" t="s">
        <v>218</v>
      </c>
      <c r="P86" s="85" t="s">
        <v>32</v>
      </c>
      <c r="Q86" s="1044" t="s">
        <v>73</v>
      </c>
      <c r="R86" s="1045"/>
      <c r="S86" s="1051" t="s">
        <v>74</v>
      </c>
      <c r="T86" s="1052"/>
    </row>
    <row r="87" spans="3:43" s="6" customFormat="1" ht="14.1" hidden="1" customHeight="1">
      <c r="F87" s="79"/>
      <c r="G87" s="1032" t="s">
        <v>50</v>
      </c>
      <c r="H87" s="1033"/>
      <c r="I87" s="1049">
        <f>M87*0.7</f>
        <v>0</v>
      </c>
      <c r="J87" s="1050"/>
      <c r="K87" s="1049">
        <f>M87*0.3</f>
        <v>0</v>
      </c>
      <c r="L87" s="1050"/>
      <c r="M87" s="1049">
        <v>0</v>
      </c>
      <c r="N87" s="1050"/>
      <c r="O87" s="58">
        <f>M87*0.15</f>
        <v>0</v>
      </c>
      <c r="P87" s="59" t="e">
        <f>#REF!*42</f>
        <v>#REF!</v>
      </c>
      <c r="Q87" s="988" t="e">
        <f>SUM(M87:P87)</f>
        <v>#REF!</v>
      </c>
      <c r="R87" s="989"/>
      <c r="S87" s="990"/>
      <c r="T87" s="991"/>
    </row>
    <row r="88" spans="3:43" s="6" customFormat="1" ht="14.1" hidden="1" customHeight="1">
      <c r="F88" s="79"/>
      <c r="G88" s="1034"/>
      <c r="H88" s="1035"/>
      <c r="I88" s="992">
        <f t="shared" ref="I88:I90" si="39">I87*0.3025</f>
        <v>0</v>
      </c>
      <c r="J88" s="993"/>
      <c r="K88" s="992">
        <f>K87*0.3025</f>
        <v>0</v>
      </c>
      <c r="L88" s="993"/>
      <c r="M88" s="1038">
        <f>M87*0.3025</f>
        <v>0</v>
      </c>
      <c r="N88" s="1039"/>
      <c r="O88" s="9">
        <f t="shared" ref="O88:O94" si="40">O87*0.3025</f>
        <v>0</v>
      </c>
      <c r="P88" s="60" t="e">
        <f>P87*0.3025</f>
        <v>#REF!</v>
      </c>
      <c r="Q88" s="1040" t="e">
        <f>Q87*0.3025</f>
        <v>#REF!</v>
      </c>
      <c r="R88" s="1041"/>
      <c r="S88" s="1042"/>
      <c r="T88" s="1043"/>
    </row>
    <row r="89" spans="3:43" s="6" customFormat="1" ht="14.1" customHeight="1">
      <c r="F89" s="79"/>
      <c r="G89" s="1287" t="s">
        <v>38</v>
      </c>
      <c r="H89" s="1001" t="s">
        <v>45</v>
      </c>
      <c r="I89" s="1057">
        <f>'설계개요(1단지)'!I89:J89+'설계개요(2단지)'!I86:J86+'설계개요(3단지)'!I86:J86+'설계개요(4단지)'!I86:J86</f>
        <v>4373.1632</v>
      </c>
      <c r="J89" s="1000"/>
      <c r="K89" s="1057">
        <f>'설계개요(1단지)'!K89:L89+'설계개요(2단지)'!K86:L86+'설계개요(3단지)'!K86:L86+'설계개요(4단지)'!K86:L86</f>
        <v>1874.2127999999998</v>
      </c>
      <c r="L89" s="1000"/>
      <c r="M89" s="1058">
        <f>'설계개요(1단지)'!M89:N89+'설계개요(2단지)'!M86:N86+'설계개요(3단지)'!M86:N86+'설계개요(4단지)'!M86:N86</f>
        <v>6247.3760000000002</v>
      </c>
      <c r="N89" s="1059"/>
      <c r="O89" s="97">
        <f>'설계개요(1단지)'!O89+'설계개요(2단지)'!O86+'설계개요(4단지)'!O86+'설계개요(3단지)'!O86</f>
        <v>1200</v>
      </c>
      <c r="P89" s="97">
        <f>'설계개요(1단지)'!P89+'설계개요(2단지)'!P86+'설계개요(4단지)'!P86+'설계개요(3단지)'!P86</f>
        <v>2720</v>
      </c>
      <c r="Q89" s="1058">
        <f>M89+O89+P89</f>
        <v>10167.376</v>
      </c>
      <c r="R89" s="1059"/>
      <c r="S89" s="1019"/>
      <c r="T89" s="1020"/>
      <c r="U89" s="7"/>
      <c r="V89" s="7">
        <f>I89/I93*Q93</f>
        <v>10167.376</v>
      </c>
      <c r="W89" s="7"/>
      <c r="X89" s="8"/>
    </row>
    <row r="90" spans="3:43" s="6" customFormat="1" ht="14.1" customHeight="1">
      <c r="F90" s="79"/>
      <c r="G90" s="1288"/>
      <c r="H90" s="1078"/>
      <c r="I90" s="1062">
        <f t="shared" si="39"/>
        <v>1322.8818679999999</v>
      </c>
      <c r="J90" s="1063"/>
      <c r="K90" s="1064">
        <f>K89*0.3025</f>
        <v>566.94937199999993</v>
      </c>
      <c r="L90" s="1063"/>
      <c r="M90" s="1065">
        <f>M89*0.3025</f>
        <v>1889.83124</v>
      </c>
      <c r="N90" s="1066"/>
      <c r="O90" s="94">
        <f>O89*0.3025</f>
        <v>363</v>
      </c>
      <c r="P90" s="98">
        <f>P89*0.3025</f>
        <v>822.8</v>
      </c>
      <c r="Q90" s="1065">
        <f>Q89*0.3025</f>
        <v>3075.6312400000002</v>
      </c>
      <c r="R90" s="1066"/>
      <c r="S90" s="1067"/>
      <c r="T90" s="1068"/>
      <c r="U90" s="7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 spans="3:43" s="6" customFormat="1" ht="14.1" hidden="1" customHeight="1">
      <c r="F91" s="79"/>
      <c r="G91" s="1289" t="s">
        <v>457</v>
      </c>
      <c r="H91" s="1077" t="s">
        <v>45</v>
      </c>
      <c r="I91" s="1057">
        <f>'설계개요(1단지)'!I91:J91+'설계개요(2단지)'!I88:J88+'설계개요(3단지)'!I88:J88+'설계개요(4단지)'!I88:J88</f>
        <v>0</v>
      </c>
      <c r="J91" s="1000"/>
      <c r="K91" s="1057">
        <f>'설계개요(1단지)'!K91:L91+'설계개요(2단지)'!K88:L88+'설계개요(3단지)'!K88:L88+'설계개요(4단지)'!K88:L88</f>
        <v>0</v>
      </c>
      <c r="L91" s="1000"/>
      <c r="M91" s="1057">
        <f>'설계개요(1단지)'!M91:N91+'설계개요(2단지)'!M88:N88+'설계개요(3단지)'!M88:N88+'설계개요(4단지)'!M88:N88</f>
        <v>0</v>
      </c>
      <c r="N91" s="1000"/>
      <c r="O91" s="97">
        <f>'설계개요(1단지)'!O91+'설계개요(4단지)'!O88</f>
        <v>0</v>
      </c>
      <c r="P91" s="97">
        <f>'설계개요(1단지)'!P91+'설계개요(4단지)'!P88</f>
        <v>0</v>
      </c>
      <c r="Q91" s="1058">
        <f>M91+O91+P91</f>
        <v>0</v>
      </c>
      <c r="R91" s="1059"/>
      <c r="S91" s="1060"/>
      <c r="T91" s="1061"/>
      <c r="U91"/>
      <c r="V91" s="7">
        <f>I91/I93*Q93</f>
        <v>0</v>
      </c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spans="3:43" ht="14.1" hidden="1" customHeight="1">
      <c r="F92" s="77"/>
      <c r="G92" s="1288"/>
      <c r="H92" s="1078"/>
      <c r="I92" s="1062">
        <f t="shared" ref="I92" si="41">I91*0.3025</f>
        <v>0</v>
      </c>
      <c r="J92" s="1063"/>
      <c r="K92" s="1064">
        <f>K91*0.3025</f>
        <v>0</v>
      </c>
      <c r="L92" s="1063"/>
      <c r="M92" s="1065">
        <f>M91*0.3025</f>
        <v>0</v>
      </c>
      <c r="N92" s="1066"/>
      <c r="O92" s="94">
        <f>O91*0.3025</f>
        <v>0</v>
      </c>
      <c r="P92" s="98">
        <f>P91*0.3025</f>
        <v>0</v>
      </c>
      <c r="Q92" s="1065">
        <f>Q91*0.3025</f>
        <v>0</v>
      </c>
      <c r="R92" s="1066"/>
      <c r="S92" s="1067"/>
      <c r="T92" s="1068"/>
      <c r="U92"/>
      <c r="AQ92" s="6"/>
    </row>
    <row r="93" spans="3:43" ht="14.1" customHeight="1">
      <c r="F93" s="77"/>
      <c r="G93" s="1225" t="s">
        <v>69</v>
      </c>
      <c r="H93" s="1226"/>
      <c r="I93" s="1229">
        <f>M93*0.7</f>
        <v>4373.1632</v>
      </c>
      <c r="J93" s="1230"/>
      <c r="K93" s="1231">
        <f>M93*0.3</f>
        <v>1874.2128</v>
      </c>
      <c r="L93" s="1230"/>
      <c r="M93" s="1231">
        <f>M89+M91</f>
        <v>6247.3760000000002</v>
      </c>
      <c r="N93" s="1230"/>
      <c r="O93" s="293">
        <f>O89+O91</f>
        <v>1200</v>
      </c>
      <c r="P93" s="293">
        <f>P89+P91</f>
        <v>2720</v>
      </c>
      <c r="Q93" s="1232">
        <f>SUM(M93:P93)</f>
        <v>10167.376</v>
      </c>
      <c r="R93" s="1233"/>
      <c r="S93" s="1234"/>
      <c r="T93" s="1235"/>
      <c r="U93" s="6"/>
      <c r="AQ93" s="6"/>
    </row>
    <row r="94" spans="3:43" ht="14.1" customHeight="1">
      <c r="F94" s="77"/>
      <c r="G94" s="1227"/>
      <c r="H94" s="1228"/>
      <c r="I94" s="1236">
        <f t="shared" ref="I94" si="42">I93*0.3025</f>
        <v>1322.8818679999999</v>
      </c>
      <c r="J94" s="1237"/>
      <c r="K94" s="1238">
        <f>K93*0.3025</f>
        <v>566.94937200000004</v>
      </c>
      <c r="L94" s="1237"/>
      <c r="M94" s="1221">
        <f>M93*0.3025</f>
        <v>1889.83124</v>
      </c>
      <c r="N94" s="1222"/>
      <c r="O94" s="294">
        <f t="shared" si="40"/>
        <v>363</v>
      </c>
      <c r="P94" s="295">
        <f>P93*0.3025</f>
        <v>822.8</v>
      </c>
      <c r="Q94" s="1221">
        <f>Q93*0.3025</f>
        <v>3075.6312400000002</v>
      </c>
      <c r="R94" s="1222"/>
      <c r="S94" s="1223"/>
      <c r="T94" s="1224"/>
      <c r="U94" s="7"/>
      <c r="V94" s="2">
        <f>J82/N82</f>
        <v>0.75167628482271476</v>
      </c>
      <c r="AQ94" s="6"/>
    </row>
    <row r="95" spans="3:43" s="781" customFormat="1" ht="14.1" customHeight="1">
      <c r="G95" s="782"/>
      <c r="H95" s="782"/>
      <c r="I95" s="783"/>
      <c r="J95" s="783"/>
      <c r="K95" s="783"/>
      <c r="L95" s="783"/>
      <c r="M95" s="784"/>
      <c r="N95" s="784"/>
      <c r="O95" s="785"/>
      <c r="P95" s="784"/>
      <c r="Q95" s="784"/>
      <c r="R95" s="784"/>
      <c r="S95" s="786"/>
      <c r="T95" s="786"/>
      <c r="U95" s="787"/>
      <c r="AQ95" s="788"/>
    </row>
    <row r="96" spans="3:43" ht="18" customHeight="1">
      <c r="G96" s="951" t="s">
        <v>476</v>
      </c>
      <c r="H96" s="951"/>
      <c r="I96" s="951"/>
      <c r="J96" s="951"/>
      <c r="K96" s="951"/>
      <c r="L96" s="951"/>
      <c r="M96" s="951"/>
      <c r="N96" s="951"/>
      <c r="O96" s="951"/>
      <c r="P96" s="951"/>
      <c r="Q96" s="951"/>
      <c r="R96" s="951"/>
      <c r="S96" s="951"/>
      <c r="T96" s="952"/>
      <c r="U96" s="7"/>
      <c r="AQ96" s="6"/>
    </row>
    <row r="97" spans="7:43" ht="14.1" customHeight="1">
      <c r="G97" s="984" t="s">
        <v>16</v>
      </c>
      <c r="H97" s="985"/>
      <c r="I97" s="986" t="s">
        <v>7</v>
      </c>
      <c r="J97" s="987"/>
      <c r="K97" s="986" t="s">
        <v>83</v>
      </c>
      <c r="L97" s="987"/>
      <c r="M97" s="986" t="s">
        <v>22</v>
      </c>
      <c r="N97" s="987"/>
      <c r="O97" s="85" t="s">
        <v>218</v>
      </c>
      <c r="P97" s="85" t="s">
        <v>32</v>
      </c>
      <c r="Q97" s="1044" t="s">
        <v>73</v>
      </c>
      <c r="R97" s="1045"/>
      <c r="S97" s="1051" t="s">
        <v>74</v>
      </c>
      <c r="T97" s="1052"/>
      <c r="U97" s="7"/>
      <c r="AQ97" s="6"/>
    </row>
    <row r="98" spans="7:43" ht="14.1" customHeight="1">
      <c r="G98" s="996" t="s">
        <v>129</v>
      </c>
      <c r="H98" s="1295" t="s">
        <v>45</v>
      </c>
      <c r="I98" s="999">
        <f>'설계개요(1단지)'!I98:J98</f>
        <v>0</v>
      </c>
      <c r="J98" s="1000"/>
      <c r="K98" s="999">
        <f>'설계개요(1단지)'!K98:L98</f>
        <v>0</v>
      </c>
      <c r="L98" s="1000"/>
      <c r="M98" s="1058">
        <f>'설계개요(1단지)'!M98:N98</f>
        <v>0</v>
      </c>
      <c r="N98" s="1059"/>
      <c r="O98" s="91">
        <f>'설계개요(1단지)'!O98</f>
        <v>0</v>
      </c>
      <c r="P98" s="91">
        <f>'설계개요(1단지)'!P98</f>
        <v>0</v>
      </c>
      <c r="Q98" s="1017">
        <f>SUM(M98:P98)</f>
        <v>0</v>
      </c>
      <c r="R98" s="1018"/>
      <c r="S98" s="1019"/>
      <c r="T98" s="1020"/>
      <c r="U98" s="7"/>
      <c r="AQ98" s="6"/>
    </row>
    <row r="99" spans="7:43" ht="14.1" customHeight="1">
      <c r="G99" s="997"/>
      <c r="H99" s="1296"/>
      <c r="I99" s="1023">
        <f t="shared" ref="I99:I101" si="43">I98*0.3025</f>
        <v>0</v>
      </c>
      <c r="J99" s="1022"/>
      <c r="K99" s="1023">
        <f>K98*0.3025</f>
        <v>0</v>
      </c>
      <c r="L99" s="1022"/>
      <c r="M99" s="1378">
        <f>M98*0.3025</f>
        <v>0</v>
      </c>
      <c r="N99" s="1379"/>
      <c r="O99" s="92">
        <f>O98*0.3025</f>
        <v>0</v>
      </c>
      <c r="P99" s="92">
        <f>P98*0.3025</f>
        <v>0</v>
      </c>
      <c r="Q99" s="1378">
        <f>Q98*0.3025</f>
        <v>0</v>
      </c>
      <c r="R99" s="1379"/>
      <c r="S99" s="1026"/>
      <c r="T99" s="1027"/>
      <c r="U99" s="7"/>
      <c r="AQ99" s="6"/>
    </row>
    <row r="100" spans="7:43" ht="14.1" customHeight="1">
      <c r="G100" s="997"/>
      <c r="H100" s="1414" t="s">
        <v>46</v>
      </c>
      <c r="I100" s="999">
        <f>'설계개요(1단지)'!I100:J100</f>
        <v>0</v>
      </c>
      <c r="J100" s="1000"/>
      <c r="K100" s="999">
        <f>'설계개요(1단지)'!K100:L100</f>
        <v>0</v>
      </c>
      <c r="L100" s="1000"/>
      <c r="M100" s="1058">
        <f>'설계개요(1단지)'!M100:N100</f>
        <v>0</v>
      </c>
      <c r="N100" s="1059"/>
      <c r="O100" s="91">
        <f>'설계개요(1단지)'!O100</f>
        <v>0</v>
      </c>
      <c r="P100" s="91">
        <f>'설계개요(1단지)'!P100</f>
        <v>0</v>
      </c>
      <c r="Q100" s="1017">
        <f>SUM(M100:P100)</f>
        <v>0</v>
      </c>
      <c r="R100" s="1018"/>
      <c r="S100" s="1060"/>
      <c r="T100" s="1061"/>
      <c r="U100" s="7"/>
      <c r="AQ100" s="6"/>
    </row>
    <row r="101" spans="7:43" ht="14.1" customHeight="1">
      <c r="G101" s="998"/>
      <c r="H101" s="1296"/>
      <c r="I101" s="1064">
        <f t="shared" si="43"/>
        <v>0</v>
      </c>
      <c r="J101" s="1063"/>
      <c r="K101" s="1064">
        <f>K100*0.3025</f>
        <v>0</v>
      </c>
      <c r="L101" s="1063"/>
      <c r="M101" s="1415">
        <f>M100*0.3025</f>
        <v>0</v>
      </c>
      <c r="N101" s="1416"/>
      <c r="O101" s="92">
        <f>O100*0.3025</f>
        <v>0</v>
      </c>
      <c r="P101" s="92">
        <f>P100*0.3025</f>
        <v>0</v>
      </c>
      <c r="Q101" s="1378">
        <f>Q100*0.3025</f>
        <v>0</v>
      </c>
      <c r="R101" s="1379"/>
      <c r="S101" s="1067"/>
      <c r="T101" s="1068"/>
      <c r="U101" s="7"/>
      <c r="AQ101" s="6"/>
    </row>
    <row r="102" spans="7:43" ht="14.1" customHeight="1">
      <c r="G102" s="1225" t="s">
        <v>69</v>
      </c>
      <c r="H102" s="1226"/>
      <c r="I102" s="1229">
        <f>M102*0.7</f>
        <v>0</v>
      </c>
      <c r="J102" s="1230"/>
      <c r="K102" s="1231">
        <f>M102*0.3</f>
        <v>0</v>
      </c>
      <c r="L102" s="1230"/>
      <c r="M102" s="1231">
        <f>M98+M100</f>
        <v>0</v>
      </c>
      <c r="N102" s="1230"/>
      <c r="O102" s="293">
        <f>'설계개요(1단지)'!O102</f>
        <v>0</v>
      </c>
      <c r="P102" s="293">
        <f>'설계개요(1단지)'!P102</f>
        <v>0</v>
      </c>
      <c r="Q102" s="1232">
        <f>SUM(M102:P102)</f>
        <v>0</v>
      </c>
      <c r="R102" s="1233"/>
      <c r="S102" s="1234"/>
      <c r="T102" s="1235"/>
      <c r="U102" s="7"/>
      <c r="AQ102" s="6"/>
    </row>
    <row r="103" spans="7:43" ht="14.1" customHeight="1">
      <c r="G103" s="1227"/>
      <c r="H103" s="1228"/>
      <c r="I103" s="1236">
        <f t="shared" ref="I103" si="44">I102*0.3025</f>
        <v>0</v>
      </c>
      <c r="J103" s="1237"/>
      <c r="K103" s="1238">
        <f>K102*0.3025</f>
        <v>0</v>
      </c>
      <c r="L103" s="1237"/>
      <c r="M103" s="1221">
        <f>M102*0.3025</f>
        <v>0</v>
      </c>
      <c r="N103" s="1222"/>
      <c r="O103" s="294">
        <f t="shared" ref="O103" si="45">O102*0.3025</f>
        <v>0</v>
      </c>
      <c r="P103" s="295">
        <f>P102*0.3025</f>
        <v>0</v>
      </c>
      <c r="Q103" s="1221">
        <f>Q102*0.3025</f>
        <v>0</v>
      </c>
      <c r="R103" s="1222"/>
      <c r="S103" s="1223"/>
      <c r="T103" s="1224"/>
      <c r="U103" s="6"/>
      <c r="AQ103" s="6"/>
    </row>
    <row r="104" spans="7:43" ht="14.1" customHeight="1">
      <c r="G104" s="776"/>
      <c r="H104" s="776"/>
      <c r="I104" s="777"/>
      <c r="J104" s="777"/>
      <c r="K104" s="777"/>
      <c r="L104" s="777"/>
      <c r="M104" s="778"/>
      <c r="N104" s="778"/>
      <c r="O104" s="779"/>
      <c r="P104" s="778"/>
      <c r="Q104" s="778"/>
      <c r="R104" s="778"/>
      <c r="S104" s="780"/>
      <c r="T104" s="780"/>
      <c r="U104" s="7"/>
      <c r="AQ104" s="6"/>
    </row>
    <row r="105" spans="7:43" ht="14.1" customHeight="1">
      <c r="Q105" s="5"/>
      <c r="R105" s="5"/>
      <c r="S105" s="5"/>
      <c r="T105" s="6"/>
      <c r="U105" s="6"/>
      <c r="AQ105" s="6"/>
    </row>
    <row r="106" spans="7:43" ht="14.1" customHeight="1">
      <c r="J106" s="2">
        <f>H60*J60+J62*H62+H64*J64+J66*H66+H70*J70</f>
        <v>297586.44999999995</v>
      </c>
      <c r="K106" s="2">
        <f>H60*K60+K62*H62+H64*K64+K66*H66+H70*K70</f>
        <v>26950.14</v>
      </c>
      <c r="P106" s="379">
        <f>P89+P91</f>
        <v>2720</v>
      </c>
      <c r="T106" s="6"/>
      <c r="U106" s="6"/>
      <c r="AQ106" s="6"/>
    </row>
    <row r="107" spans="7:43" ht="14.1" customHeight="1">
      <c r="T107" s="6"/>
      <c r="U107" s="6"/>
      <c r="AQ107" s="6"/>
    </row>
    <row r="108" spans="7:43" ht="14.1" customHeight="1">
      <c r="T108" s="6"/>
      <c r="U108" s="6"/>
      <c r="AQ108" s="6"/>
    </row>
    <row r="109" spans="7:43" ht="14.1" customHeight="1">
      <c r="H109" s="11">
        <f>H42+H62</f>
        <v>354</v>
      </c>
      <c r="I109" s="145">
        <f>I42+I62</f>
        <v>6.8631252423419928E-2</v>
      </c>
      <c r="M109" s="144">
        <f t="shared" ref="M109:S109" si="46">M56+M80</f>
        <v>152437.6</v>
      </c>
      <c r="N109" s="144">
        <f t="shared" si="46"/>
        <v>613977.43000000005</v>
      </c>
      <c r="O109" s="144">
        <f t="shared" si="46"/>
        <v>0</v>
      </c>
      <c r="P109" s="144">
        <f t="shared" si="46"/>
        <v>0</v>
      </c>
      <c r="Q109" s="144">
        <f t="shared" si="46"/>
        <v>0</v>
      </c>
      <c r="R109" s="144">
        <f t="shared" si="46"/>
        <v>0</v>
      </c>
      <c r="S109" s="144">
        <f t="shared" si="46"/>
        <v>0</v>
      </c>
      <c r="T109" s="6"/>
      <c r="U109" s="6"/>
      <c r="AQ109" s="6"/>
    </row>
    <row r="110" spans="7:43" ht="14.1" customHeight="1">
      <c r="H110" s="11">
        <f>H62+H64+H68</f>
        <v>1853</v>
      </c>
      <c r="AQ110" s="6"/>
    </row>
    <row r="111" spans="7:43" ht="14.1" customHeight="1">
      <c r="AQ111" s="6"/>
    </row>
    <row r="112" spans="7:43" ht="14.1" customHeight="1">
      <c r="AQ112" s="6"/>
    </row>
    <row r="113" spans="7:43" ht="14.1" customHeight="1">
      <c r="AQ113" s="6"/>
    </row>
    <row r="114" spans="7:43" ht="14.1" customHeight="1">
      <c r="AQ114" s="6"/>
    </row>
    <row r="115" spans="7:43" ht="14.1" customHeight="1" thickBot="1">
      <c r="G115" s="1"/>
      <c r="K115" s="3"/>
      <c r="M115" s="1007" t="s">
        <v>89</v>
      </c>
      <c r="N115" s="1007"/>
      <c r="O115" s="1007"/>
      <c r="P115" s="112"/>
      <c r="Q115" s="113"/>
      <c r="R115" s="112"/>
      <c r="S115" s="6"/>
      <c r="AQ115" s="6"/>
    </row>
    <row r="116" spans="7:43" ht="14.1" customHeight="1">
      <c r="G116" s="34"/>
      <c r="H116" s="35"/>
      <c r="I116" s="36"/>
      <c r="J116" s="36"/>
      <c r="K116" s="37"/>
      <c r="M116" s="114"/>
      <c r="N116" s="115">
        <v>0</v>
      </c>
      <c r="O116" s="116">
        <v>300</v>
      </c>
      <c r="P116" s="117">
        <v>500</v>
      </c>
      <c r="Q116" s="118">
        <v>1000</v>
      </c>
      <c r="R116" s="117">
        <v>2000</v>
      </c>
      <c r="S116" s="6"/>
      <c r="AQ116" s="6"/>
    </row>
    <row r="117" spans="7:43" ht="14.1" customHeight="1">
      <c r="G117" s="38"/>
      <c r="H117" s="39"/>
      <c r="I117" s="40"/>
      <c r="J117" s="40"/>
      <c r="K117" s="41"/>
      <c r="M117" s="119"/>
      <c r="N117" s="120" t="s">
        <v>90</v>
      </c>
      <c r="O117" s="120" t="s">
        <v>91</v>
      </c>
      <c r="P117" s="120" t="s">
        <v>92</v>
      </c>
      <c r="Q117" s="120" t="s">
        <v>93</v>
      </c>
      <c r="R117" s="120" t="s">
        <v>94</v>
      </c>
      <c r="S117" s="6"/>
      <c r="AQ117" s="6"/>
    </row>
    <row r="118" spans="7:43" ht="14.1" customHeight="1">
      <c r="G118" s="980"/>
      <c r="H118" s="106"/>
      <c r="I118" s="106"/>
      <c r="J118" s="106"/>
      <c r="K118" s="42"/>
      <c r="M118" s="119" t="s">
        <v>4</v>
      </c>
      <c r="N118" s="121">
        <v>6</v>
      </c>
      <c r="O118" s="121">
        <v>8</v>
      </c>
      <c r="P118" s="121">
        <v>12</v>
      </c>
      <c r="Q118" s="122">
        <v>15</v>
      </c>
      <c r="R118" s="121">
        <v>20</v>
      </c>
      <c r="S118" s="6"/>
      <c r="AQ118" s="6"/>
    </row>
    <row r="119" spans="7:43" ht="14.1" customHeight="1">
      <c r="G119" s="981"/>
      <c r="H119" s="107"/>
      <c r="I119" s="107"/>
      <c r="J119" s="108"/>
      <c r="K119" s="43"/>
      <c r="M119" s="114"/>
      <c r="N119" s="112"/>
      <c r="O119" s="112"/>
      <c r="P119" s="112"/>
      <c r="Q119" s="113"/>
      <c r="R119" s="112"/>
      <c r="S119" s="6"/>
      <c r="AQ119" s="6"/>
    </row>
    <row r="120" spans="7:43" ht="14.1" customHeight="1">
      <c r="G120" s="994"/>
      <c r="H120" s="106"/>
      <c r="I120" s="106"/>
      <c r="J120" s="106"/>
      <c r="K120" s="42"/>
      <c r="M120" s="114"/>
      <c r="N120" s="112"/>
      <c r="O120" s="112"/>
      <c r="P120" s="112"/>
      <c r="Q120" s="113"/>
      <c r="R120" s="112"/>
      <c r="S120" s="6"/>
      <c r="AQ120" s="6"/>
    </row>
    <row r="121" spans="7:43" ht="14.1" customHeight="1">
      <c r="G121" s="995"/>
      <c r="H121" s="107"/>
      <c r="I121" s="107"/>
      <c r="J121" s="108"/>
      <c r="K121" s="43"/>
      <c r="M121" s="1007" t="s">
        <v>95</v>
      </c>
      <c r="N121" s="1007"/>
      <c r="O121" s="1007"/>
      <c r="P121" s="112"/>
      <c r="Q121" s="113"/>
      <c r="R121" s="112"/>
      <c r="S121" s="6"/>
      <c r="AQ121" s="6"/>
    </row>
    <row r="122" spans="7:43" ht="20.25" customHeight="1">
      <c r="G122" s="994"/>
      <c r="H122" s="106"/>
      <c r="I122" s="106"/>
      <c r="J122" s="106"/>
      <c r="K122" s="42"/>
      <c r="M122" s="123"/>
      <c r="N122" s="123">
        <v>0</v>
      </c>
      <c r="O122" s="142">
        <v>150</v>
      </c>
      <c r="P122" s="142">
        <v>300</v>
      </c>
      <c r="Q122" s="142">
        <v>500</v>
      </c>
      <c r="R122" s="142">
        <v>1000</v>
      </c>
      <c r="S122" s="142">
        <v>1500</v>
      </c>
      <c r="AQ122" s="6"/>
    </row>
    <row r="123" spans="7:43" ht="20.25" customHeight="1">
      <c r="G123" s="981"/>
      <c r="H123" s="107"/>
      <c r="I123" s="107"/>
      <c r="J123" s="108"/>
      <c r="K123" s="43"/>
      <c r="M123" s="125"/>
      <c r="N123" s="125" t="s">
        <v>96</v>
      </c>
      <c r="O123" s="125" t="s">
        <v>97</v>
      </c>
      <c r="P123" s="125" t="s">
        <v>91</v>
      </c>
      <c r="Q123" s="125" t="s">
        <v>92</v>
      </c>
      <c r="R123" s="125" t="s">
        <v>98</v>
      </c>
      <c r="S123" s="125" t="s">
        <v>99</v>
      </c>
    </row>
    <row r="124" spans="7:43" ht="14.1" customHeight="1">
      <c r="G124" s="980"/>
      <c r="H124" s="106"/>
      <c r="I124" s="106"/>
      <c r="J124" s="106"/>
      <c r="M124" s="126" t="s">
        <v>100</v>
      </c>
      <c r="N124" s="124">
        <v>0</v>
      </c>
      <c r="O124" s="127">
        <f>50+(H82*0.1)</f>
        <v>565.80000000000007</v>
      </c>
      <c r="P124" s="127">
        <v>155</v>
      </c>
      <c r="Q124" s="127">
        <v>225</v>
      </c>
      <c r="R124" s="127">
        <v>375</v>
      </c>
      <c r="S124" s="128">
        <v>500</v>
      </c>
    </row>
    <row r="125" spans="7:43" ht="14.1" customHeight="1">
      <c r="G125" s="981"/>
      <c r="H125" s="108"/>
      <c r="I125" s="107"/>
      <c r="J125" s="108"/>
      <c r="M125" s="126" t="s">
        <v>24</v>
      </c>
      <c r="N125" s="124">
        <v>0</v>
      </c>
      <c r="O125" s="123">
        <v>0</v>
      </c>
      <c r="P125" s="127">
        <v>198</v>
      </c>
      <c r="Q125" s="127">
        <v>330</v>
      </c>
      <c r="R125" s="127">
        <v>580</v>
      </c>
      <c r="S125" s="127">
        <v>725</v>
      </c>
    </row>
    <row r="126" spans="7:43" ht="14.1" customHeight="1">
      <c r="G126" s="980"/>
      <c r="H126" s="106"/>
      <c r="I126" s="106"/>
      <c r="J126" s="106"/>
      <c r="K126" s="42"/>
      <c r="M126" s="126" t="s">
        <v>35</v>
      </c>
      <c r="N126" s="124">
        <v>0</v>
      </c>
      <c r="O126" s="123">
        <v>0</v>
      </c>
      <c r="P126" s="129">
        <v>108</v>
      </c>
      <c r="Q126" s="129">
        <v>158</v>
      </c>
      <c r="R126" s="129">
        <v>203</v>
      </c>
      <c r="S126" s="129">
        <v>298</v>
      </c>
    </row>
    <row r="127" spans="7:43" ht="14.1" customHeight="1">
      <c r="G127" s="981"/>
      <c r="H127" s="107"/>
      <c r="I127" s="107"/>
      <c r="J127" s="108"/>
      <c r="K127" s="43"/>
      <c r="S127" s="6"/>
    </row>
    <row r="128" spans="7:43" ht="14.1" customHeight="1">
      <c r="G128" s="81"/>
      <c r="H128" s="106"/>
      <c r="I128" s="106"/>
      <c r="J128" s="106"/>
      <c r="K128" s="42"/>
      <c r="M128" s="1007" t="s">
        <v>101</v>
      </c>
      <c r="N128" s="1007"/>
      <c r="O128" s="1007"/>
      <c r="S128" s="6"/>
    </row>
    <row r="129" spans="7:19" ht="14.1" customHeight="1" thickBot="1">
      <c r="G129" s="44"/>
      <c r="H129" s="109"/>
      <c r="I129" s="109"/>
      <c r="J129" s="110"/>
      <c r="K129" s="45"/>
      <c r="N129" s="130">
        <v>0</v>
      </c>
      <c r="O129" s="130">
        <v>500</v>
      </c>
      <c r="P129" s="130">
        <v>1000</v>
      </c>
      <c r="Q129" s="130">
        <v>1500</v>
      </c>
      <c r="R129" s="6"/>
      <c r="S129" s="6"/>
    </row>
    <row r="130" spans="7:19" ht="14.1" customHeight="1">
      <c r="M130" s="131"/>
      <c r="N130" s="132" t="s">
        <v>102</v>
      </c>
      <c r="O130" s="132" t="s">
        <v>103</v>
      </c>
      <c r="P130" s="132" t="s">
        <v>104</v>
      </c>
      <c r="Q130" s="125" t="s">
        <v>99</v>
      </c>
      <c r="R130" s="6"/>
      <c r="S130" s="6"/>
    </row>
    <row r="131" spans="7:19" ht="14.1" customHeight="1">
      <c r="M131" s="133" t="s">
        <v>105</v>
      </c>
      <c r="N131" s="134">
        <v>90</v>
      </c>
      <c r="O131" s="134">
        <v>90</v>
      </c>
      <c r="P131" s="134">
        <v>108</v>
      </c>
      <c r="Q131" s="135">
        <v>138</v>
      </c>
      <c r="R131" s="6"/>
      <c r="S131" s="6"/>
    </row>
    <row r="132" spans="7:19" ht="14.1" customHeight="1">
      <c r="M132" s="133" t="s">
        <v>106</v>
      </c>
      <c r="N132" s="134">
        <v>188</v>
      </c>
      <c r="O132" s="134">
        <v>188</v>
      </c>
      <c r="P132" s="134">
        <v>324</v>
      </c>
      <c r="Q132" s="135">
        <v>454</v>
      </c>
    </row>
    <row r="133" spans="7:19" ht="14.1" customHeight="1">
      <c r="M133" s="136" t="s">
        <v>107</v>
      </c>
      <c r="N133" s="135">
        <v>146</v>
      </c>
      <c r="O133" s="134">
        <v>158</v>
      </c>
      <c r="P133" s="135">
        <v>184</v>
      </c>
      <c r="Q133" s="135">
        <v>210</v>
      </c>
    </row>
    <row r="134" spans="7:19" ht="14.1" customHeight="1">
      <c r="M134" s="133" t="s">
        <v>108</v>
      </c>
      <c r="N134" s="135">
        <v>60</v>
      </c>
      <c r="O134" s="134">
        <v>80</v>
      </c>
      <c r="P134" s="135">
        <v>100</v>
      </c>
      <c r="Q134" s="135">
        <v>150</v>
      </c>
    </row>
    <row r="135" spans="7:19" ht="14.1" customHeight="1">
      <c r="M135" s="137" t="s">
        <v>1</v>
      </c>
      <c r="N135" s="135">
        <f>SUM(N131:N134)</f>
        <v>484</v>
      </c>
      <c r="O135" s="135">
        <f t="shared" ref="O135:Q135" si="47">SUM(O131:O134)</f>
        <v>516</v>
      </c>
      <c r="P135" s="135">
        <f t="shared" si="47"/>
        <v>716</v>
      </c>
      <c r="Q135" s="135">
        <f t="shared" si="47"/>
        <v>952</v>
      </c>
    </row>
    <row r="136" spans="7:19" ht="14.1" customHeight="1">
      <c r="M136" s="1007" t="s">
        <v>109</v>
      </c>
      <c r="N136" s="1007"/>
      <c r="O136" s="1007"/>
    </row>
    <row r="137" spans="7:19" ht="14.1" customHeight="1">
      <c r="N137" s="130">
        <v>0</v>
      </c>
      <c r="O137" s="130">
        <v>500</v>
      </c>
      <c r="P137" s="130">
        <v>1000</v>
      </c>
      <c r="Q137" s="130">
        <v>1500</v>
      </c>
    </row>
    <row r="138" spans="7:19" ht="14.1" customHeight="1">
      <c r="M138" s="131"/>
      <c r="N138" s="132" t="s">
        <v>102</v>
      </c>
      <c r="O138" s="132" t="s">
        <v>103</v>
      </c>
      <c r="P138" s="132" t="s">
        <v>104</v>
      </c>
      <c r="Q138" s="125" t="s">
        <v>99</v>
      </c>
    </row>
    <row r="139" spans="7:19" ht="14.1" customHeight="1">
      <c r="M139" s="133" t="s">
        <v>114</v>
      </c>
      <c r="N139" s="138">
        <v>36</v>
      </c>
      <c r="O139" s="138">
        <v>48</v>
      </c>
      <c r="P139" s="138">
        <v>56</v>
      </c>
      <c r="Q139" s="139">
        <v>63</v>
      </c>
    </row>
    <row r="140" spans="7:19" ht="14.1" customHeight="1">
      <c r="M140" s="133" t="s">
        <v>115</v>
      </c>
      <c r="N140" s="138">
        <v>12</v>
      </c>
      <c r="O140" s="138">
        <v>18</v>
      </c>
      <c r="P140" s="138">
        <v>22</v>
      </c>
      <c r="Q140" s="139">
        <v>34</v>
      </c>
    </row>
    <row r="141" spans="7:19" ht="14.1" customHeight="1">
      <c r="M141" s="137" t="s">
        <v>1</v>
      </c>
      <c r="N141" s="140">
        <f>SUM(N139:N140)</f>
        <v>48</v>
      </c>
      <c r="O141" s="141">
        <f>SUM(O139:O140)</f>
        <v>66</v>
      </c>
      <c r="P141" s="140">
        <f>SUM(P139:P140)</f>
        <v>78</v>
      </c>
      <c r="Q141" s="140">
        <f>SUM(Q139:Q140)</f>
        <v>97</v>
      </c>
    </row>
  </sheetData>
  <mergeCells count="342">
    <mergeCell ref="Q103:R103"/>
    <mergeCell ref="S103:T103"/>
    <mergeCell ref="H23:H25"/>
    <mergeCell ref="L23:L25"/>
    <mergeCell ref="R19:R24"/>
    <mergeCell ref="S19:T24"/>
    <mergeCell ref="O22:O23"/>
    <mergeCell ref="S25:T25"/>
    <mergeCell ref="S26:T26"/>
    <mergeCell ref="S27:T27"/>
    <mergeCell ref="Q98:R98"/>
    <mergeCell ref="S98:T98"/>
    <mergeCell ref="I99:J99"/>
    <mergeCell ref="K99:L99"/>
    <mergeCell ref="M99:N99"/>
    <mergeCell ref="Q99:R99"/>
    <mergeCell ref="S99:T99"/>
    <mergeCell ref="H100:H101"/>
    <mergeCell ref="I100:J100"/>
    <mergeCell ref="Q100:R100"/>
    <mergeCell ref="S100:T100"/>
    <mergeCell ref="I101:J101"/>
    <mergeCell ref="K101:L101"/>
    <mergeCell ref="M101:N101"/>
    <mergeCell ref="Q101:R101"/>
    <mergeCell ref="S101:T101"/>
    <mergeCell ref="Q102:R102"/>
    <mergeCell ref="S102:T102"/>
    <mergeCell ref="B68:B71"/>
    <mergeCell ref="B76:B77"/>
    <mergeCell ref="O62:S79"/>
    <mergeCell ref="O56:S57"/>
    <mergeCell ref="O80:S81"/>
    <mergeCell ref="T56:T57"/>
    <mergeCell ref="C58:C59"/>
    <mergeCell ref="D58:D59"/>
    <mergeCell ref="E58:E59"/>
    <mergeCell ref="F58:F59"/>
    <mergeCell ref="H58:H59"/>
    <mergeCell ref="I58:I59"/>
    <mergeCell ref="B56:B57"/>
    <mergeCell ref="C56:C57"/>
    <mergeCell ref="D56:D57"/>
    <mergeCell ref="E56:E57"/>
    <mergeCell ref="G56:G57"/>
    <mergeCell ref="H56:H57"/>
    <mergeCell ref="C60:C61"/>
    <mergeCell ref="H66:H67"/>
    <mergeCell ref="AF3:AH3"/>
    <mergeCell ref="H4:L4"/>
    <mergeCell ref="O4:Q4"/>
    <mergeCell ref="H5:L5"/>
    <mergeCell ref="O5:Q5"/>
    <mergeCell ref="O6:P6"/>
    <mergeCell ref="S6:T6"/>
    <mergeCell ref="L32:L33"/>
    <mergeCell ref="H33:K33"/>
    <mergeCell ref="AC3:AE3"/>
    <mergeCell ref="W3:Y3"/>
    <mergeCell ref="Z3:AB3"/>
    <mergeCell ref="S31:S32"/>
    <mergeCell ref="S33:S35"/>
    <mergeCell ref="H34:K34"/>
    <mergeCell ref="V34:V35"/>
    <mergeCell ref="H35:J35"/>
    <mergeCell ref="H30:J30"/>
    <mergeCell ref="L30:L31"/>
    <mergeCell ref="N30:T30"/>
    <mergeCell ref="H31:K31"/>
    <mergeCell ref="N31:N35"/>
    <mergeCell ref="T31:T35"/>
    <mergeCell ref="H32:J32"/>
    <mergeCell ref="H26:H28"/>
    <mergeCell ref="L26:L28"/>
    <mergeCell ref="S28:T28"/>
    <mergeCell ref="S17:T17"/>
    <mergeCell ref="N18:T18"/>
    <mergeCell ref="N19:N29"/>
    <mergeCell ref="O19:O21"/>
    <mergeCell ref="H29:I29"/>
    <mergeCell ref="O29:P29"/>
    <mergeCell ref="G2:L2"/>
    <mergeCell ref="H3:L3"/>
    <mergeCell ref="S3:T3"/>
    <mergeCell ref="H7:L7"/>
    <mergeCell ref="S7:T7"/>
    <mergeCell ref="H8:I8"/>
    <mergeCell ref="O8:O14"/>
    <mergeCell ref="S8:T8"/>
    <mergeCell ref="H9:H13"/>
    <mergeCell ref="S9:T9"/>
    <mergeCell ref="S12:T12"/>
    <mergeCell ref="S14:T14"/>
    <mergeCell ref="P8:P10"/>
    <mergeCell ref="J38:J39"/>
    <mergeCell ref="O40:S45"/>
    <mergeCell ref="C42:C43"/>
    <mergeCell ref="D42:D43"/>
    <mergeCell ref="E42:E43"/>
    <mergeCell ref="F42:F43"/>
    <mergeCell ref="H42:H43"/>
    <mergeCell ref="F44:F45"/>
    <mergeCell ref="G8:G15"/>
    <mergeCell ref="H14:I15"/>
    <mergeCell ref="J14:J15"/>
    <mergeCell ref="K14:K15"/>
    <mergeCell ref="L14:L15"/>
    <mergeCell ref="S15:T15"/>
    <mergeCell ref="G16:G28"/>
    <mergeCell ref="H16:I16"/>
    <mergeCell ref="J16:K16"/>
    <mergeCell ref="O16:P16"/>
    <mergeCell ref="S16:T16"/>
    <mergeCell ref="H17:H19"/>
    <mergeCell ref="L17:L19"/>
    <mergeCell ref="O17:P17"/>
    <mergeCell ref="H20:H22"/>
    <mergeCell ref="L20:L22"/>
    <mergeCell ref="G37:T37"/>
    <mergeCell ref="S38:S39"/>
    <mergeCell ref="T38:T39"/>
    <mergeCell ref="E46:E47"/>
    <mergeCell ref="H46:H47"/>
    <mergeCell ref="H40:H41"/>
    <mergeCell ref="I40:I41"/>
    <mergeCell ref="T40:T45"/>
    <mergeCell ref="B40:B41"/>
    <mergeCell ref="C40:C41"/>
    <mergeCell ref="D40:D41"/>
    <mergeCell ref="E40:E41"/>
    <mergeCell ref="F40:F41"/>
    <mergeCell ref="K38:M38"/>
    <mergeCell ref="N38:N39"/>
    <mergeCell ref="O38:Q38"/>
    <mergeCell ref="R38:R39"/>
    <mergeCell ref="B38:B39"/>
    <mergeCell ref="C38:C39"/>
    <mergeCell ref="D38:D39"/>
    <mergeCell ref="E38:E39"/>
    <mergeCell ref="G38:G39"/>
    <mergeCell ref="H38:H39"/>
    <mergeCell ref="I38:I39"/>
    <mergeCell ref="I52:I53"/>
    <mergeCell ref="B54:B55"/>
    <mergeCell ref="C54:C55"/>
    <mergeCell ref="D54:D55"/>
    <mergeCell ref="E54:E55"/>
    <mergeCell ref="H54:H55"/>
    <mergeCell ref="T46:T55"/>
    <mergeCell ref="E48:E49"/>
    <mergeCell ref="H48:H49"/>
    <mergeCell ref="I48:I49"/>
    <mergeCell ref="B50:B51"/>
    <mergeCell ref="C50:C51"/>
    <mergeCell ref="D50:D51"/>
    <mergeCell ref="E50:E51"/>
    <mergeCell ref="H50:H51"/>
    <mergeCell ref="E52:E53"/>
    <mergeCell ref="O46:S55"/>
    <mergeCell ref="B42:B43"/>
    <mergeCell ref="D60:D61"/>
    <mergeCell ref="E60:E61"/>
    <mergeCell ref="F60:F61"/>
    <mergeCell ref="H60:H61"/>
    <mergeCell ref="C62:C63"/>
    <mergeCell ref="D62:D63"/>
    <mergeCell ref="E62:E63"/>
    <mergeCell ref="F62:F63"/>
    <mergeCell ref="H62:H63"/>
    <mergeCell ref="H52:H53"/>
    <mergeCell ref="H44:H45"/>
    <mergeCell ref="C68:C69"/>
    <mergeCell ref="D68:D69"/>
    <mergeCell ref="E68:E69"/>
    <mergeCell ref="F68:F69"/>
    <mergeCell ref="H68:H69"/>
    <mergeCell ref="T62:T79"/>
    <mergeCell ref="C64:C65"/>
    <mergeCell ref="D64:D65"/>
    <mergeCell ref="E64:E65"/>
    <mergeCell ref="F64:F65"/>
    <mergeCell ref="H64:H65"/>
    <mergeCell ref="C66:C67"/>
    <mergeCell ref="D66:D67"/>
    <mergeCell ref="E66:E67"/>
    <mergeCell ref="F66:F67"/>
    <mergeCell ref="E70:E71"/>
    <mergeCell ref="H70:H71"/>
    <mergeCell ref="E72:E73"/>
    <mergeCell ref="H72:H73"/>
    <mergeCell ref="C74:C75"/>
    <mergeCell ref="D74:D75"/>
    <mergeCell ref="E74:E75"/>
    <mergeCell ref="F74:F75"/>
    <mergeCell ref="C82:C83"/>
    <mergeCell ref="D82:D83"/>
    <mergeCell ref="G82:G83"/>
    <mergeCell ref="H82:H83"/>
    <mergeCell ref="I82:I83"/>
    <mergeCell ref="I74:I75"/>
    <mergeCell ref="E76:E77"/>
    <mergeCell ref="H76:H77"/>
    <mergeCell ref="B78:B79"/>
    <mergeCell ref="D78:D79"/>
    <mergeCell ref="E78:E79"/>
    <mergeCell ref="F78:F79"/>
    <mergeCell ref="H78:H79"/>
    <mergeCell ref="S88:T88"/>
    <mergeCell ref="H89:H90"/>
    <mergeCell ref="I89:J89"/>
    <mergeCell ref="K89:L89"/>
    <mergeCell ref="M89:N89"/>
    <mergeCell ref="Q89:R89"/>
    <mergeCell ref="S89:T89"/>
    <mergeCell ref="I90:J90"/>
    <mergeCell ref="K90:L90"/>
    <mergeCell ref="G87:H88"/>
    <mergeCell ref="I87:J87"/>
    <mergeCell ref="K87:L87"/>
    <mergeCell ref="M87:N87"/>
    <mergeCell ref="Q87:R87"/>
    <mergeCell ref="S87:T87"/>
    <mergeCell ref="I88:J88"/>
    <mergeCell ref="K88:L88"/>
    <mergeCell ref="M88:N88"/>
    <mergeCell ref="Q88:R88"/>
    <mergeCell ref="M90:N90"/>
    <mergeCell ref="Q90:R90"/>
    <mergeCell ref="S90:T90"/>
    <mergeCell ref="S91:T91"/>
    <mergeCell ref="I92:J92"/>
    <mergeCell ref="Q94:R94"/>
    <mergeCell ref="S94:T94"/>
    <mergeCell ref="M115:O115"/>
    <mergeCell ref="K92:L92"/>
    <mergeCell ref="M92:N92"/>
    <mergeCell ref="Q92:R92"/>
    <mergeCell ref="S92:T92"/>
    <mergeCell ref="K93:L93"/>
    <mergeCell ref="M93:N93"/>
    <mergeCell ref="Q93:R93"/>
    <mergeCell ref="S93:T93"/>
    <mergeCell ref="M91:N91"/>
    <mergeCell ref="Q91:R91"/>
    <mergeCell ref="K91:L91"/>
    <mergeCell ref="G96:T96"/>
    <mergeCell ref="G97:H97"/>
    <mergeCell ref="I97:J97"/>
    <mergeCell ref="K97:L97"/>
    <mergeCell ref="M97:N97"/>
    <mergeCell ref="Q97:R97"/>
    <mergeCell ref="S97:T97"/>
    <mergeCell ref="G98:G101"/>
    <mergeCell ref="M128:O128"/>
    <mergeCell ref="M136:O136"/>
    <mergeCell ref="G118:G119"/>
    <mergeCell ref="G120:G121"/>
    <mergeCell ref="M121:O121"/>
    <mergeCell ref="G122:G123"/>
    <mergeCell ref="G124:G125"/>
    <mergeCell ref="G126:G127"/>
    <mergeCell ref="I94:J94"/>
    <mergeCell ref="K94:L94"/>
    <mergeCell ref="M94:N94"/>
    <mergeCell ref="H98:H99"/>
    <mergeCell ref="I98:J98"/>
    <mergeCell ref="K98:L98"/>
    <mergeCell ref="M98:N98"/>
    <mergeCell ref="G102:H103"/>
    <mergeCell ref="I102:J102"/>
    <mergeCell ref="K102:L102"/>
    <mergeCell ref="M102:N102"/>
    <mergeCell ref="K100:L100"/>
    <mergeCell ref="M100:N100"/>
    <mergeCell ref="I103:J103"/>
    <mergeCell ref="K103:L103"/>
    <mergeCell ref="M103:N103"/>
    <mergeCell ref="H91:H92"/>
    <mergeCell ref="G89:G90"/>
    <mergeCell ref="G91:G92"/>
    <mergeCell ref="C70:C71"/>
    <mergeCell ref="B72:B73"/>
    <mergeCell ref="B64:B67"/>
    <mergeCell ref="B62:B63"/>
    <mergeCell ref="G93:H94"/>
    <mergeCell ref="I93:J93"/>
    <mergeCell ref="I91:J91"/>
    <mergeCell ref="G84:T84"/>
    <mergeCell ref="G85:T85"/>
    <mergeCell ref="G86:H86"/>
    <mergeCell ref="I86:J86"/>
    <mergeCell ref="K86:L86"/>
    <mergeCell ref="M86:N86"/>
    <mergeCell ref="Q86:R86"/>
    <mergeCell ref="S86:T86"/>
    <mergeCell ref="D80:D81"/>
    <mergeCell ref="E80:E81"/>
    <mergeCell ref="G80:G81"/>
    <mergeCell ref="H80:H81"/>
    <mergeCell ref="T80:T81"/>
    <mergeCell ref="H74:H75"/>
    <mergeCell ref="V38:V39"/>
    <mergeCell ref="W38:W39"/>
    <mergeCell ref="V50:V51"/>
    <mergeCell ref="X50:X51"/>
    <mergeCell ref="V52:V53"/>
    <mergeCell ref="W52:W53"/>
    <mergeCell ref="X52:X53"/>
    <mergeCell ref="V54:V55"/>
    <mergeCell ref="X54:X55"/>
    <mergeCell ref="V40:V41"/>
    <mergeCell ref="V56:V57"/>
    <mergeCell ref="X56:X57"/>
    <mergeCell ref="V58:V59"/>
    <mergeCell ref="W58:W59"/>
    <mergeCell ref="X58:X59"/>
    <mergeCell ref="V60:V61"/>
    <mergeCell ref="X60:X61"/>
    <mergeCell ref="V62:V63"/>
    <mergeCell ref="X62:X63"/>
    <mergeCell ref="V64:V65"/>
    <mergeCell ref="X64:X65"/>
    <mergeCell ref="V66:V67"/>
    <mergeCell ref="X66:X67"/>
    <mergeCell ref="V68:V69"/>
    <mergeCell ref="X68:X69"/>
    <mergeCell ref="V70:V71"/>
    <mergeCell ref="X70:X71"/>
    <mergeCell ref="V72:V73"/>
    <mergeCell ref="X72:X73"/>
    <mergeCell ref="V82:V83"/>
    <mergeCell ref="W82:W83"/>
    <mergeCell ref="X82:X83"/>
    <mergeCell ref="V74:V75"/>
    <mergeCell ref="W74:W75"/>
    <mergeCell ref="X74:X75"/>
    <mergeCell ref="V76:V77"/>
    <mergeCell ref="X76:X77"/>
    <mergeCell ref="V78:V79"/>
    <mergeCell ref="X78:X79"/>
    <mergeCell ref="V80:V81"/>
    <mergeCell ref="X80:X81"/>
  </mergeCells>
  <phoneticPr fontId="2" type="noConversion"/>
  <printOptions horizontalCentered="1"/>
  <pageMargins left="0.7" right="0.7" top="0.75" bottom="0.75" header="0.3" footer="0.3"/>
  <pageSetup paperSize="8" scale="65" orientation="landscape" r:id="rId1"/>
  <headerFooter alignWithMargins="0"/>
  <rowBreaks count="1" manualBreakCount="1">
    <brk id="90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4F81BD"/>
    <pageSetUpPr autoPageBreaks="0" fitToPage="1"/>
  </sheetPr>
  <dimension ref="B1:AT140"/>
  <sheetViews>
    <sheetView view="pageBreakPreview" topLeftCell="F28" zoomScaleNormal="100" zoomScaleSheetLayoutView="100" workbookViewId="0">
      <selection activeCell="G84" sqref="G84:T84"/>
    </sheetView>
  </sheetViews>
  <sheetFormatPr defaultColWidth="8.77734375" defaultRowHeight="14.1" customHeight="1"/>
  <cols>
    <col min="1" max="2" width="8.77734375" style="2"/>
    <col min="3" max="3" width="10.21875" style="2" bestFit="1" customWidth="1"/>
    <col min="4" max="4" width="7.6640625" style="2" customWidth="1"/>
    <col min="5" max="5" width="9.77734375" style="2" bestFit="1" customWidth="1"/>
    <col min="6" max="6" width="8.77734375" style="2"/>
    <col min="7" max="7" width="13.21875" style="2" customWidth="1"/>
    <col min="8" max="9" width="9.21875" style="2" customWidth="1"/>
    <col min="10" max="11" width="12.77734375" style="2" customWidth="1"/>
    <col min="12" max="13" width="11.6640625" style="2" customWidth="1"/>
    <col min="14" max="14" width="12.21875" style="2" bestFit="1" customWidth="1"/>
    <col min="15" max="15" width="14.44140625" style="2" customWidth="1"/>
    <col min="16" max="16" width="18.44140625" style="2" bestFit="1" customWidth="1"/>
    <col min="17" max="17" width="13.5546875" style="2" customWidth="1"/>
    <col min="18" max="18" width="12.33203125" style="2" customWidth="1"/>
    <col min="19" max="20" width="14.109375" style="2" customWidth="1"/>
    <col min="21" max="21" width="4.5546875" style="2" customWidth="1"/>
    <col min="22" max="22" width="15" style="2" customWidth="1"/>
    <col min="23" max="25" width="13.44140625" style="2" customWidth="1"/>
    <col min="26" max="26" width="9.109375" style="2" customWidth="1"/>
    <col min="27" max="27" width="25.88671875" style="2" customWidth="1"/>
    <col min="28" max="28" width="6.6640625" style="2" customWidth="1"/>
    <col min="29" max="29" width="6.44140625" style="2" customWidth="1"/>
    <col min="30" max="30" width="6.88671875" style="2" customWidth="1"/>
    <col min="31" max="31" width="6.21875" style="2" customWidth="1"/>
    <col min="32" max="32" width="8.6640625" style="2" customWidth="1"/>
    <col min="33" max="33" width="7" style="2" customWidth="1"/>
    <col min="34" max="34" width="8.21875" style="2" customWidth="1"/>
    <col min="35" max="35" width="8.44140625" style="2" customWidth="1"/>
    <col min="36" max="36" width="7.77734375" style="2" customWidth="1"/>
    <col min="37" max="37" width="7.109375" style="2" customWidth="1"/>
    <col min="38" max="38" width="10.5546875" style="2" bestFit="1" customWidth="1"/>
    <col min="39" max="16384" width="8.77734375" style="2"/>
  </cols>
  <sheetData>
    <row r="1" spans="3:37" ht="14.1" customHeight="1"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</row>
    <row r="2" spans="3:37" ht="18" customHeight="1" thickBot="1">
      <c r="F2" s="77"/>
      <c r="G2" s="839" t="s">
        <v>251</v>
      </c>
      <c r="H2" s="839"/>
      <c r="I2" s="839"/>
      <c r="J2" s="839"/>
      <c r="K2" s="839"/>
      <c r="L2" s="840"/>
      <c r="M2" s="70"/>
      <c r="N2" s="418" t="s">
        <v>33</v>
      </c>
      <c r="O2" s="419"/>
      <c r="P2" s="419"/>
      <c r="Q2" s="419"/>
      <c r="R2" s="419"/>
    </row>
    <row r="3" spans="3:37" ht="17.100000000000001" customHeight="1">
      <c r="E3" s="310">
        <v>0.8</v>
      </c>
      <c r="F3" s="77"/>
      <c r="G3" s="72" t="s">
        <v>52</v>
      </c>
      <c r="H3" s="844" t="s">
        <v>254</v>
      </c>
      <c r="I3" s="845"/>
      <c r="J3" s="845"/>
      <c r="K3" s="845"/>
      <c r="L3" s="846"/>
      <c r="M3" s="415"/>
      <c r="N3" s="420" t="s">
        <v>65</v>
      </c>
      <c r="O3" s="421"/>
      <c r="P3" s="422" t="s">
        <v>61</v>
      </c>
      <c r="Q3" s="423"/>
      <c r="R3" s="424" t="s">
        <v>10</v>
      </c>
      <c r="S3" s="1346" t="s">
        <v>51</v>
      </c>
      <c r="T3" s="1347"/>
      <c r="Z3" s="1076" t="s">
        <v>268</v>
      </c>
      <c r="AA3" s="1076"/>
      <c r="AB3" s="1076"/>
      <c r="AC3" s="1076" t="s">
        <v>269</v>
      </c>
      <c r="AD3" s="1076"/>
      <c r="AE3" s="1076"/>
      <c r="AF3" s="1076" t="s">
        <v>282</v>
      </c>
      <c r="AG3" s="1076"/>
      <c r="AH3" s="1076"/>
      <c r="AI3" s="1076" t="s">
        <v>290</v>
      </c>
      <c r="AJ3" s="1076"/>
      <c r="AK3" s="1076"/>
    </row>
    <row r="4" spans="3:37" ht="17.100000000000001" customHeight="1" thickBot="1">
      <c r="E4" s="311">
        <f>J27/(J14*E3)</f>
        <v>2.9829960674310989</v>
      </c>
      <c r="F4" s="77"/>
      <c r="G4" s="73" t="s">
        <v>11</v>
      </c>
      <c r="H4" s="849" t="s">
        <v>390</v>
      </c>
      <c r="I4" s="850"/>
      <c r="J4" s="850"/>
      <c r="K4" s="850"/>
      <c r="L4" s="851"/>
      <c r="M4" s="415"/>
      <c r="N4" s="425" t="s">
        <v>4</v>
      </c>
      <c r="O4" s="852" t="str">
        <f>INDEX($N$116:$R$116,MATCH($H$82,$N$115:$R$115,1))</f>
        <v>1000~2000세대 미만</v>
      </c>
      <c r="P4" s="852"/>
      <c r="Q4" s="853"/>
      <c r="R4" s="32">
        <f>INDEX($N$117:$R$117,MATCH($H$82,$N$115:$R$115,1))</f>
        <v>15</v>
      </c>
      <c r="S4" s="21"/>
      <c r="T4" s="426"/>
    </row>
    <row r="5" spans="3:37" ht="17.100000000000001" customHeight="1">
      <c r="F5" s="77"/>
      <c r="G5" s="73" t="s">
        <v>27</v>
      </c>
      <c r="H5" s="849" t="s">
        <v>231</v>
      </c>
      <c r="I5" s="850"/>
      <c r="J5" s="850"/>
      <c r="K5" s="850"/>
      <c r="L5" s="851"/>
      <c r="M5" s="415"/>
      <c r="N5" s="427" t="s">
        <v>5</v>
      </c>
      <c r="O5" s="857" t="s">
        <v>25</v>
      </c>
      <c r="P5" s="857"/>
      <c r="Q5" s="861"/>
      <c r="R5" s="389" t="s">
        <v>12</v>
      </c>
      <c r="S5" s="22"/>
      <c r="T5" s="428"/>
      <c r="Z5" s="130" t="s">
        <v>255</v>
      </c>
      <c r="AA5" s="130" t="s">
        <v>331</v>
      </c>
      <c r="AB5" s="130" t="s">
        <v>271</v>
      </c>
      <c r="AC5" s="130" t="s">
        <v>275</v>
      </c>
      <c r="AD5" s="130"/>
      <c r="AE5" s="130" t="s">
        <v>271</v>
      </c>
      <c r="AF5" s="130" t="s">
        <v>298</v>
      </c>
      <c r="AG5" s="130"/>
      <c r="AH5" s="130" t="s">
        <v>302</v>
      </c>
      <c r="AI5" s="130" t="s">
        <v>292</v>
      </c>
      <c r="AJ5" s="130"/>
      <c r="AK5" s="130" t="s">
        <v>272</v>
      </c>
    </row>
    <row r="6" spans="3:37" ht="17.100000000000001" customHeight="1">
      <c r="F6" s="77"/>
      <c r="G6" s="73" t="s">
        <v>39</v>
      </c>
      <c r="H6" s="50" t="s">
        <v>388</v>
      </c>
      <c r="I6" s="185">
        <f>ROUNDUP(E4,0)</f>
        <v>3</v>
      </c>
      <c r="J6" s="186"/>
      <c r="K6" s="186"/>
      <c r="L6" s="186"/>
      <c r="M6" s="415"/>
      <c r="N6" s="427" t="s">
        <v>6</v>
      </c>
      <c r="O6" s="862">
        <f>H82</f>
        <v>1553</v>
      </c>
      <c r="P6" s="862"/>
      <c r="Q6" s="23">
        <f>IF(H82&gt;=50, ROUNDUP((10+(H82-50)*0.05),2), "해당없음")</f>
        <v>85.15</v>
      </c>
      <c r="R6" s="762">
        <v>200</v>
      </c>
      <c r="S6" s="1143" t="s">
        <v>13</v>
      </c>
      <c r="T6" s="1366"/>
      <c r="Z6" s="130" t="s">
        <v>257</v>
      </c>
      <c r="AA6" s="130" t="s">
        <v>327</v>
      </c>
      <c r="AB6" s="130" t="s">
        <v>270</v>
      </c>
      <c r="AC6" s="130" t="s">
        <v>276</v>
      </c>
      <c r="AD6" s="130"/>
      <c r="AE6" s="130" t="s">
        <v>271</v>
      </c>
      <c r="AF6" s="130" t="s">
        <v>283</v>
      </c>
      <c r="AG6" s="130"/>
      <c r="AH6" s="130" t="s">
        <v>302</v>
      </c>
      <c r="AI6" s="130" t="s">
        <v>293</v>
      </c>
      <c r="AJ6" s="130"/>
      <c r="AK6" s="130" t="s">
        <v>272</v>
      </c>
    </row>
    <row r="7" spans="3:37" ht="17.100000000000001" customHeight="1">
      <c r="F7" s="77"/>
      <c r="G7" s="74" t="s">
        <v>40</v>
      </c>
      <c r="H7" s="863" t="s">
        <v>78</v>
      </c>
      <c r="I7" s="864"/>
      <c r="J7" s="864"/>
      <c r="K7" s="864"/>
      <c r="L7" s="865"/>
      <c r="M7" s="415"/>
      <c r="N7" s="429" t="s">
        <v>66</v>
      </c>
      <c r="O7" s="24"/>
      <c r="P7" s="63"/>
      <c r="Q7" s="25"/>
      <c r="R7" s="763">
        <v>150</v>
      </c>
      <c r="S7" s="859"/>
      <c r="T7" s="1348"/>
      <c r="Z7" s="130" t="s">
        <v>259</v>
      </c>
      <c r="AA7" s="130" t="s">
        <v>328</v>
      </c>
      <c r="AB7" s="130" t="s">
        <v>270</v>
      </c>
      <c r="AC7" s="130" t="s">
        <v>277</v>
      </c>
      <c r="AD7" s="130"/>
      <c r="AE7" s="130" t="s">
        <v>280</v>
      </c>
      <c r="AF7" s="130" t="s">
        <v>284</v>
      </c>
      <c r="AG7" s="130"/>
      <c r="AH7" s="130" t="s">
        <v>302</v>
      </c>
      <c r="AI7" s="130" t="s">
        <v>294</v>
      </c>
      <c r="AJ7" s="130"/>
      <c r="AK7" s="130" t="s">
        <v>280</v>
      </c>
    </row>
    <row r="8" spans="3:37" ht="17.100000000000001" customHeight="1">
      <c r="F8" s="77"/>
      <c r="G8" s="1134" t="s">
        <v>41</v>
      </c>
      <c r="H8" s="884" t="s">
        <v>3</v>
      </c>
      <c r="I8" s="885"/>
      <c r="J8" s="325">
        <f>'설계개요(통합개요-1)'!J8</f>
        <v>250722.1</v>
      </c>
      <c r="K8" s="331">
        <f t="shared" ref="K8" si="0">ROUNDDOWN(J8*0.3025,2)</f>
        <v>75843.429999999993</v>
      </c>
      <c r="L8" s="105">
        <f t="shared" ref="L8:L14" si="1">J8/$J$8</f>
        <v>1</v>
      </c>
      <c r="M8" s="415"/>
      <c r="N8" s="425" t="s">
        <v>67</v>
      </c>
      <c r="O8" s="1093" t="s">
        <v>75</v>
      </c>
      <c r="P8" s="1356" t="s">
        <v>469</v>
      </c>
      <c r="Q8" s="768">
        <f>580+(H82*0.2)</f>
        <v>890.6</v>
      </c>
      <c r="R8" s="761">
        <v>920</v>
      </c>
      <c r="S8" s="1425" t="s">
        <v>247</v>
      </c>
      <c r="T8" s="1426"/>
      <c r="Z8" s="130" t="s">
        <v>260</v>
      </c>
      <c r="AA8" s="130" t="s">
        <v>329</v>
      </c>
      <c r="AB8" s="130" t="s">
        <v>272</v>
      </c>
      <c r="AC8" s="130" t="s">
        <v>278</v>
      </c>
      <c r="AD8" s="130"/>
      <c r="AE8" s="130" t="s">
        <v>280</v>
      </c>
      <c r="AF8" s="130" t="s">
        <v>285</v>
      </c>
      <c r="AG8" s="130"/>
      <c r="AH8" s="130" t="s">
        <v>271</v>
      </c>
      <c r="AI8" s="130" t="s">
        <v>295</v>
      </c>
      <c r="AJ8" s="130"/>
      <c r="AK8" s="130" t="s">
        <v>280</v>
      </c>
    </row>
    <row r="9" spans="3:37" ht="17.100000000000001" customHeight="1">
      <c r="F9" s="77"/>
      <c r="G9" s="1135"/>
      <c r="H9" s="1137" t="s">
        <v>14</v>
      </c>
      <c r="I9" s="65" t="s">
        <v>350</v>
      </c>
      <c r="J9" s="326">
        <v>36512.699999999997</v>
      </c>
      <c r="K9" s="332">
        <f t="shared" ref="K9:K14" si="2">ROUNDDOWN(J9*0.3025,2)</f>
        <v>11045.09</v>
      </c>
      <c r="L9" s="15">
        <f t="shared" si="1"/>
        <v>0.14563016184053976</v>
      </c>
      <c r="M9" s="416"/>
      <c r="N9" s="427" t="s">
        <v>24</v>
      </c>
      <c r="O9" s="1093"/>
      <c r="P9" s="1356"/>
      <c r="Q9" s="768">
        <f>580+(H82*0.2)</f>
        <v>890.6</v>
      </c>
      <c r="R9" s="762">
        <v>1100</v>
      </c>
      <c r="S9" s="1427" t="s">
        <v>247</v>
      </c>
      <c r="T9" s="1428"/>
      <c r="Z9" s="130" t="s">
        <v>261</v>
      </c>
      <c r="AA9" s="130" t="s">
        <v>329</v>
      </c>
      <c r="AB9" s="130" t="s">
        <v>272</v>
      </c>
      <c r="AC9" s="130" t="s">
        <v>279</v>
      </c>
      <c r="AD9" s="130"/>
      <c r="AE9" s="130" t="s">
        <v>280</v>
      </c>
      <c r="AF9" s="130" t="s">
        <v>286</v>
      </c>
      <c r="AG9" s="130"/>
      <c r="AH9" s="130" t="s">
        <v>271</v>
      </c>
      <c r="AI9" s="130" t="s">
        <v>296</v>
      </c>
      <c r="AJ9" s="130"/>
      <c r="AK9" s="130" t="s">
        <v>272</v>
      </c>
    </row>
    <row r="10" spans="3:37" ht="17.100000000000001" customHeight="1">
      <c r="C10" s="130" t="s">
        <v>158</v>
      </c>
      <c r="D10" s="289">
        <v>3</v>
      </c>
      <c r="E10" s="312">
        <f>$H$82*D10</f>
        <v>4659</v>
      </c>
      <c r="F10" s="77"/>
      <c r="G10" s="1135"/>
      <c r="H10" s="1138"/>
      <c r="I10" s="65" t="s">
        <v>352</v>
      </c>
      <c r="J10" s="326">
        <v>41680.400000000001</v>
      </c>
      <c r="K10" s="332">
        <f t="shared" si="2"/>
        <v>12608.32</v>
      </c>
      <c r="L10" s="15">
        <f t="shared" si="1"/>
        <v>0.16624142825861782</v>
      </c>
      <c r="M10" s="415"/>
      <c r="N10" s="427" t="s">
        <v>35</v>
      </c>
      <c r="O10" s="1093"/>
      <c r="P10" s="1357"/>
      <c r="Q10" s="768">
        <f>203+(H82*0.2)</f>
        <v>513.6</v>
      </c>
      <c r="R10" s="762">
        <v>900</v>
      </c>
      <c r="S10" s="769"/>
      <c r="T10" s="764"/>
      <c r="Z10" s="130" t="s">
        <v>262</v>
      </c>
      <c r="AA10" s="130" t="s">
        <v>329</v>
      </c>
      <c r="AB10" s="130" t="s">
        <v>272</v>
      </c>
      <c r="AC10" s="130"/>
      <c r="AD10" s="130"/>
      <c r="AE10" s="130"/>
      <c r="AF10" s="130" t="s">
        <v>287</v>
      </c>
      <c r="AG10" s="130"/>
      <c r="AH10" s="130" t="s">
        <v>280</v>
      </c>
      <c r="AI10" s="130" t="s">
        <v>297</v>
      </c>
      <c r="AJ10" s="130"/>
      <c r="AK10" s="130" t="s">
        <v>280</v>
      </c>
    </row>
    <row r="11" spans="3:37" ht="17.100000000000001" customHeight="1">
      <c r="F11" s="757">
        <f>J9+J10+J14</f>
        <v>147638.80000000005</v>
      </c>
      <c r="G11" s="1135"/>
      <c r="H11" s="1138"/>
      <c r="I11" s="65" t="s">
        <v>351</v>
      </c>
      <c r="J11" s="326">
        <v>61084.7</v>
      </c>
      <c r="K11" s="332">
        <f t="shared" si="2"/>
        <v>18478.12</v>
      </c>
      <c r="L11" s="15">
        <f t="shared" si="1"/>
        <v>0.24363508442215503</v>
      </c>
      <c r="M11" s="415"/>
      <c r="N11" s="430" t="s">
        <v>88</v>
      </c>
      <c r="O11" s="1093"/>
      <c r="P11" s="147" t="s">
        <v>479</v>
      </c>
      <c r="Q11" s="768">
        <v>66</v>
      </c>
      <c r="R11" s="762">
        <v>400</v>
      </c>
      <c r="S11" s="769"/>
      <c r="T11" s="764"/>
      <c r="Z11" s="130" t="s">
        <v>263</v>
      </c>
      <c r="AA11" s="130" t="s">
        <v>329</v>
      </c>
      <c r="AB11" s="130" t="s">
        <v>272</v>
      </c>
      <c r="AC11" s="130"/>
      <c r="AD11" s="130"/>
      <c r="AE11" s="130"/>
      <c r="AF11" s="130" t="s">
        <v>288</v>
      </c>
      <c r="AG11" s="130"/>
      <c r="AH11" s="130" t="s">
        <v>280</v>
      </c>
      <c r="AI11" s="130" t="s">
        <v>291</v>
      </c>
      <c r="AJ11" s="130"/>
      <c r="AK11" s="130" t="s">
        <v>272</v>
      </c>
    </row>
    <row r="12" spans="3:37" ht="17.100000000000001" customHeight="1">
      <c r="F12" s="77">
        <v>202688.9</v>
      </c>
      <c r="G12" s="1135"/>
      <c r="H12" s="1138"/>
      <c r="I12" s="65" t="s">
        <v>348</v>
      </c>
      <c r="J12" s="326">
        <v>41998.6</v>
      </c>
      <c r="K12" s="332">
        <f t="shared" si="2"/>
        <v>12704.57</v>
      </c>
      <c r="L12" s="15">
        <f t="shared" si="1"/>
        <v>0.16751056249130011</v>
      </c>
      <c r="M12" s="415"/>
      <c r="N12" s="430" t="s">
        <v>34</v>
      </c>
      <c r="O12" s="1424"/>
      <c r="P12" s="759" t="s">
        <v>466</v>
      </c>
      <c r="Q12" s="770" t="s">
        <v>480</v>
      </c>
      <c r="R12" s="762">
        <v>7045</v>
      </c>
      <c r="S12" s="1429"/>
      <c r="T12" s="1430"/>
      <c r="Z12" s="130" t="s">
        <v>264</v>
      </c>
      <c r="AA12" s="130" t="s">
        <v>328</v>
      </c>
      <c r="AB12" s="130" t="s">
        <v>270</v>
      </c>
      <c r="AC12" s="130"/>
      <c r="AD12" s="130"/>
      <c r="AE12" s="130"/>
      <c r="AF12" s="130" t="s">
        <v>289</v>
      </c>
      <c r="AG12" s="130"/>
      <c r="AH12" s="130" t="s">
        <v>271</v>
      </c>
      <c r="AI12" s="130" t="s">
        <v>299</v>
      </c>
      <c r="AJ12" s="130"/>
      <c r="AK12" s="130" t="s">
        <v>272</v>
      </c>
    </row>
    <row r="13" spans="3:37" ht="16.5" customHeight="1">
      <c r="F13" s="757">
        <f>F11-F12</f>
        <v>-55050.099999999948</v>
      </c>
      <c r="G13" s="1135"/>
      <c r="H13" s="1139"/>
      <c r="I13" s="65" t="s">
        <v>47</v>
      </c>
      <c r="J13" s="327">
        <f>J9+J10+J11+J12</f>
        <v>181276.4</v>
      </c>
      <c r="K13" s="333">
        <f t="shared" si="2"/>
        <v>54836.11</v>
      </c>
      <c r="L13" s="102">
        <f t="shared" si="1"/>
        <v>0.72301723701261278</v>
      </c>
      <c r="M13" s="415"/>
      <c r="N13" s="430" t="s">
        <v>76</v>
      </c>
      <c r="O13" s="1093"/>
      <c r="P13" s="758" t="str">
        <f>IF(H82&gt;=500,"500세대이상 의무설치", "해당없음")</f>
        <v>500세대이상 의무설치</v>
      </c>
      <c r="Q13" s="770" t="s">
        <v>480</v>
      </c>
      <c r="R13" s="762">
        <v>1000</v>
      </c>
      <c r="S13" s="765"/>
      <c r="T13" s="764"/>
      <c r="Z13" s="130" t="s">
        <v>265</v>
      </c>
      <c r="AA13" s="130" t="s">
        <v>328</v>
      </c>
      <c r="AB13" s="130" t="s">
        <v>270</v>
      </c>
      <c r="AC13" s="130"/>
      <c r="AD13" s="130"/>
      <c r="AE13" s="130"/>
      <c r="AF13" s="130"/>
      <c r="AG13" s="130"/>
      <c r="AH13" s="130"/>
      <c r="AI13" s="130" t="s">
        <v>300</v>
      </c>
      <c r="AJ13" s="130"/>
      <c r="AK13" s="130" t="s">
        <v>302</v>
      </c>
    </row>
    <row r="14" spans="3:37" ht="17.100000000000001" customHeight="1">
      <c r="F14" s="77"/>
      <c r="G14" s="1135"/>
      <c r="H14" s="1137" t="s">
        <v>42</v>
      </c>
      <c r="I14" s="1329"/>
      <c r="J14" s="1332">
        <f>J8-J9-J10-J11-J12</f>
        <v>69445.700000000041</v>
      </c>
      <c r="K14" s="1334">
        <f t="shared" si="2"/>
        <v>21007.32</v>
      </c>
      <c r="L14" s="1336">
        <f t="shared" si="1"/>
        <v>0.27698276298738739</v>
      </c>
      <c r="M14" s="415"/>
      <c r="N14" s="774" t="s">
        <v>77</v>
      </c>
      <c r="O14" s="1093"/>
      <c r="P14" s="818" t="str">
        <f>IF(H82&lt;100,"해당없음",IF(H82&lt;300,"지역여건에 맞게 설치",IF(H82&lt;1000,"200㎡+세대당 1㎡",IF(H82&gt;1000,"500㎡+세대당 0.7㎡"))))</f>
        <v>500㎡+세대당 0.7㎡</v>
      </c>
      <c r="Q14" s="775">
        <f>500+(H82*0.7)</f>
        <v>1587.1</v>
      </c>
      <c r="R14" s="812">
        <v>2600</v>
      </c>
      <c r="S14" s="1354" t="s">
        <v>467</v>
      </c>
      <c r="T14" s="1355"/>
      <c r="Z14" s="130" t="s">
        <v>266</v>
      </c>
      <c r="AA14" s="130" t="s">
        <v>329</v>
      </c>
      <c r="AB14" s="130" t="s">
        <v>272</v>
      </c>
      <c r="AC14" s="130"/>
      <c r="AD14" s="130"/>
      <c r="AE14" s="130"/>
      <c r="AF14" s="130"/>
      <c r="AG14" s="130"/>
      <c r="AH14" s="130"/>
      <c r="AI14" s="130" t="s">
        <v>301</v>
      </c>
      <c r="AJ14" s="130"/>
      <c r="AK14" s="130" t="s">
        <v>302</v>
      </c>
    </row>
    <row r="15" spans="3:37" ht="17.100000000000001" customHeight="1">
      <c r="F15" s="77"/>
      <c r="G15" s="1136"/>
      <c r="H15" s="1330"/>
      <c r="I15" s="1331"/>
      <c r="J15" s="1333"/>
      <c r="K15" s="1335"/>
      <c r="L15" s="1337"/>
      <c r="M15" s="415"/>
      <c r="N15" s="420" t="s">
        <v>470</v>
      </c>
      <c r="O15" s="820"/>
      <c r="P15" s="821"/>
      <c r="Q15" s="822"/>
      <c r="R15" s="829">
        <v>1575</v>
      </c>
      <c r="S15" s="1338" t="s">
        <v>471</v>
      </c>
      <c r="T15" s="1339"/>
      <c r="Z15" s="130"/>
      <c r="AA15" s="130"/>
      <c r="AB15" s="130"/>
      <c r="AC15" s="130"/>
      <c r="AD15" s="130"/>
      <c r="AE15" s="130"/>
      <c r="AF15" s="130"/>
      <c r="AG15" s="130"/>
      <c r="AH15" s="130"/>
      <c r="AI15" s="130"/>
      <c r="AJ15" s="130"/>
      <c r="AK15" s="130"/>
    </row>
    <row r="16" spans="3:37" ht="17.100000000000001" customHeight="1">
      <c r="C16" s="2">
        <v>120698</v>
      </c>
      <c r="F16" s="77"/>
      <c r="G16" s="881" t="s">
        <v>43</v>
      </c>
      <c r="H16" s="1145" t="s">
        <v>70</v>
      </c>
      <c r="I16" s="1082"/>
      <c r="J16" s="1146" t="s">
        <v>71</v>
      </c>
      <c r="K16" s="1147"/>
      <c r="L16" s="335" t="s">
        <v>72</v>
      </c>
      <c r="M16" s="415"/>
      <c r="N16" s="815" t="s">
        <v>26</v>
      </c>
      <c r="O16" s="1340" t="s">
        <v>238</v>
      </c>
      <c r="P16" s="1341"/>
      <c r="Q16" s="816">
        <f>(500+H82*2)*1.25</f>
        <v>4507.5</v>
      </c>
      <c r="R16" s="817">
        <f>R8+R9+R10+R11+R12+R13+R14</f>
        <v>13965</v>
      </c>
      <c r="S16" s="1342" t="s">
        <v>485</v>
      </c>
      <c r="T16" s="1343"/>
      <c r="Z16" s="130" t="s">
        <v>267</v>
      </c>
      <c r="AA16" s="130" t="s">
        <v>330</v>
      </c>
      <c r="AB16" s="130" t="s">
        <v>272</v>
      </c>
      <c r="AC16" s="130"/>
      <c r="AD16" s="130"/>
      <c r="AE16" s="130"/>
      <c r="AF16" s="130"/>
      <c r="AG16" s="130"/>
      <c r="AH16" s="130"/>
      <c r="AI16" s="130"/>
      <c r="AJ16" s="130"/>
      <c r="AK16" s="130"/>
    </row>
    <row r="17" spans="3:37" ht="17.100000000000001" customHeight="1">
      <c r="C17" s="2">
        <v>93504.3</v>
      </c>
      <c r="D17" s="145">
        <f>C17/C16</f>
        <v>0.77469634956668709</v>
      </c>
      <c r="F17" s="77"/>
      <c r="G17" s="882"/>
      <c r="H17" s="1112" t="s">
        <v>44</v>
      </c>
      <c r="I17" s="66" t="s">
        <v>45</v>
      </c>
      <c r="J17" s="329">
        <f>N82+R8+R9+R7+R11+R15</f>
        <v>206895.52</v>
      </c>
      <c r="K17" s="332">
        <f t="shared" ref="K17:K28" si="3">ROUNDDOWN(J17*0.3025,2)</f>
        <v>62585.89</v>
      </c>
      <c r="L17" s="1148">
        <f>J17/$J$26</f>
        <v>0.98196449549568021</v>
      </c>
      <c r="M17" s="415"/>
      <c r="N17" s="434" t="s">
        <v>36</v>
      </c>
      <c r="O17" s="1097" t="s">
        <v>85</v>
      </c>
      <c r="P17" s="1098"/>
      <c r="Q17" s="771">
        <f>J14*0.15</f>
        <v>10416.855000000005</v>
      </c>
      <c r="R17" s="772">
        <f>ROUNDUP(Q17,-2)+100</f>
        <v>10600</v>
      </c>
      <c r="S17" s="1419"/>
      <c r="T17" s="1420"/>
      <c r="V17" s="337" t="s">
        <v>188</v>
      </c>
      <c r="W17" s="337"/>
      <c r="X17" s="337"/>
      <c r="Y17" s="337"/>
      <c r="Z17" s="130"/>
      <c r="AA17" s="130"/>
      <c r="AB17" s="130"/>
      <c r="AC17" s="130"/>
      <c r="AD17" s="130"/>
      <c r="AE17" s="130"/>
      <c r="AF17" s="130"/>
      <c r="AG17" s="130"/>
      <c r="AH17" s="130"/>
      <c r="AI17" s="130"/>
      <c r="AJ17" s="130"/>
      <c r="AK17" s="130"/>
    </row>
    <row r="18" spans="3:37" ht="17.100000000000001" customHeight="1">
      <c r="F18" s="77"/>
      <c r="G18" s="882"/>
      <c r="H18" s="1113"/>
      <c r="I18" s="66" t="s">
        <v>46</v>
      </c>
      <c r="J18" s="329">
        <f>O82+Q82+R6+R10+R12</f>
        <v>163945</v>
      </c>
      <c r="K18" s="332">
        <f t="shared" si="3"/>
        <v>49593.36</v>
      </c>
      <c r="L18" s="1149"/>
      <c r="M18" s="415"/>
      <c r="N18" s="1422"/>
      <c r="O18" s="1362"/>
      <c r="P18" s="1362"/>
      <c r="Q18" s="1362"/>
      <c r="R18" s="1362"/>
      <c r="S18" s="1362"/>
      <c r="T18" s="1423"/>
      <c r="V18" s="338">
        <v>40</v>
      </c>
      <c r="W18" s="338"/>
      <c r="X18" s="338"/>
      <c r="Y18" s="338"/>
      <c r="Z18" s="130" t="s">
        <v>273</v>
      </c>
      <c r="AA18" s="130"/>
      <c r="AB18" s="385" t="s">
        <v>274</v>
      </c>
      <c r="AC18" s="130"/>
      <c r="AD18" s="130"/>
      <c r="AE18" s="130" t="s">
        <v>281</v>
      </c>
      <c r="AF18" s="130"/>
      <c r="AG18" s="130"/>
      <c r="AH18" s="130" t="s">
        <v>304</v>
      </c>
      <c r="AI18" s="130"/>
      <c r="AJ18" s="130"/>
      <c r="AK18" s="2" t="s">
        <v>303</v>
      </c>
    </row>
    <row r="19" spans="3:37" ht="17.100000000000001" customHeight="1">
      <c r="F19" s="77"/>
      <c r="G19" s="882"/>
      <c r="H19" s="1114"/>
      <c r="I19" s="66" t="s">
        <v>47</v>
      </c>
      <c r="J19" s="329">
        <f>SUM(J17:J18)</f>
        <v>370840.52</v>
      </c>
      <c r="K19" s="332">
        <f t="shared" si="3"/>
        <v>112179.25</v>
      </c>
      <c r="L19" s="1150"/>
      <c r="M19" s="415"/>
      <c r="N19" s="1363" t="s">
        <v>37</v>
      </c>
      <c r="O19" s="874" t="s">
        <v>81</v>
      </c>
      <c r="P19" s="197" t="s">
        <v>122</v>
      </c>
      <c r="Q19" s="284">
        <f>ROUNDUP((SUMPRODUCT(H40:H55,J40:J55)+SUMPRODUCT(H60:H67,J60:J67))/75,0)</f>
        <v>575</v>
      </c>
      <c r="R19" s="1404">
        <f>H82*S19</f>
        <v>3882.5</v>
      </c>
      <c r="S19" s="968">
        <v>2.5</v>
      </c>
      <c r="T19" s="1407"/>
      <c r="AC19" s="384"/>
      <c r="AD19" s="384"/>
      <c r="AE19" s="384"/>
      <c r="AF19" s="384"/>
      <c r="AG19" s="384"/>
      <c r="AH19" s="384"/>
      <c r="AI19" s="384"/>
      <c r="AJ19" s="384"/>
      <c r="AK19" s="384"/>
    </row>
    <row r="20" spans="3:37" ht="17.100000000000001" customHeight="1">
      <c r="F20" s="77"/>
      <c r="G20" s="882"/>
      <c r="H20" s="1421" t="s">
        <v>38</v>
      </c>
      <c r="I20" s="65" t="s">
        <v>45</v>
      </c>
      <c r="J20" s="329">
        <f>M89+M91</f>
        <v>3800</v>
      </c>
      <c r="K20" s="332">
        <f t="shared" si="3"/>
        <v>1149.5</v>
      </c>
      <c r="L20" s="1148">
        <f>J20/$J$26</f>
        <v>1.8035504504319788E-2</v>
      </c>
      <c r="M20" s="415"/>
      <c r="N20" s="1364"/>
      <c r="O20" s="875"/>
      <c r="P20" s="150" t="s">
        <v>123</v>
      </c>
      <c r="Q20" s="286">
        <f>ROUNDUP((SUMPRODUCT(H68:H79,J68:J79))/65,0)</f>
        <v>1708</v>
      </c>
      <c r="R20" s="1405"/>
      <c r="S20" s="970"/>
      <c r="T20" s="1408"/>
      <c r="AA20" s="384" t="s">
        <v>310</v>
      </c>
      <c r="AB20" s="386" t="s">
        <v>319</v>
      </c>
      <c r="AC20" s="384"/>
      <c r="AD20" s="384"/>
      <c r="AE20" s="384"/>
      <c r="AF20" s="384"/>
      <c r="AG20" s="384"/>
      <c r="AH20" s="384"/>
      <c r="AI20" s="384"/>
      <c r="AJ20" s="384"/>
      <c r="AK20" s="384"/>
    </row>
    <row r="21" spans="3:37" ht="17.100000000000001" customHeight="1">
      <c r="F21" s="77"/>
      <c r="G21" s="882"/>
      <c r="H21" s="1162"/>
      <c r="I21" s="65" t="s">
        <v>46</v>
      </c>
      <c r="J21" s="329">
        <f>O93+P93</f>
        <v>1780</v>
      </c>
      <c r="K21" s="332">
        <f t="shared" si="3"/>
        <v>538.45000000000005</v>
      </c>
      <c r="L21" s="1149"/>
      <c r="M21" s="415"/>
      <c r="N21" s="1364"/>
      <c r="O21" s="876"/>
      <c r="P21" s="151" t="s">
        <v>82</v>
      </c>
      <c r="Q21" s="285">
        <f>SUM(Q19:Q20)</f>
        <v>2283</v>
      </c>
      <c r="R21" s="1405"/>
      <c r="S21" s="970"/>
      <c r="T21" s="1408"/>
      <c r="AA21" s="384" t="s">
        <v>256</v>
      </c>
      <c r="AB21" s="386" t="s">
        <v>332</v>
      </c>
      <c r="AC21" s="384"/>
      <c r="AD21" s="384"/>
      <c r="AE21" s="384"/>
      <c r="AF21" s="384"/>
      <c r="AG21" s="384"/>
      <c r="AH21" s="384"/>
      <c r="AI21" s="384"/>
      <c r="AJ21" s="384"/>
      <c r="AK21" s="384"/>
    </row>
    <row r="22" spans="3:37" ht="17.100000000000001" customHeight="1">
      <c r="F22" s="77"/>
      <c r="G22" s="882"/>
      <c r="H22" s="1163"/>
      <c r="I22" s="65" t="s">
        <v>47</v>
      </c>
      <c r="J22" s="329">
        <f>J20+J21</f>
        <v>5580</v>
      </c>
      <c r="K22" s="332">
        <f t="shared" si="3"/>
        <v>1687.95</v>
      </c>
      <c r="L22" s="1150"/>
      <c r="M22" s="415"/>
      <c r="N22" s="1364"/>
      <c r="O22" s="874" t="s">
        <v>86</v>
      </c>
      <c r="P22" s="159" t="s">
        <v>240</v>
      </c>
      <c r="Q22" s="284">
        <f>(SUM(H40:H43)+SUM(H60:H63)+SUM(H50))*0.8</f>
        <v>208.8</v>
      </c>
      <c r="R22" s="1405"/>
      <c r="S22" s="970"/>
      <c r="T22" s="1408"/>
      <c r="U22"/>
      <c r="V22"/>
      <c r="W22"/>
      <c r="X22"/>
      <c r="Y22"/>
      <c r="AA22" s="384" t="s">
        <v>311</v>
      </c>
      <c r="AB22" s="386" t="s">
        <v>333</v>
      </c>
      <c r="AC22" s="384"/>
      <c r="AD22" s="384"/>
      <c r="AE22" s="384"/>
      <c r="AF22" s="384"/>
      <c r="AG22" s="384"/>
      <c r="AH22" s="384"/>
      <c r="AI22" s="384"/>
      <c r="AJ22" s="384"/>
      <c r="AK22" s="384"/>
    </row>
    <row r="23" spans="3:37" ht="17.100000000000001" hidden="1" customHeight="1">
      <c r="F23" s="77"/>
      <c r="G23" s="882"/>
      <c r="H23" s="1161"/>
      <c r="I23" s="65"/>
      <c r="J23" s="329"/>
      <c r="K23" s="332"/>
      <c r="L23" s="1148"/>
      <c r="M23" s="415"/>
      <c r="N23" s="1364"/>
      <c r="O23" s="875"/>
      <c r="P23" s="160"/>
      <c r="Q23" s="286"/>
      <c r="R23" s="1405"/>
      <c r="S23" s="970"/>
      <c r="T23" s="1408"/>
      <c r="U23"/>
      <c r="V23"/>
      <c r="X23" s="384"/>
      <c r="Y23" s="386"/>
      <c r="Z23" s="384"/>
      <c r="AA23" s="384"/>
      <c r="AB23" s="384"/>
      <c r="AC23" s="384"/>
      <c r="AD23" s="384"/>
      <c r="AE23" s="384"/>
      <c r="AF23" s="384"/>
      <c r="AG23" s="384"/>
      <c r="AH23" s="384"/>
    </row>
    <row r="24" spans="3:37" ht="17.100000000000001" hidden="1" customHeight="1">
      <c r="F24" s="77"/>
      <c r="G24" s="882"/>
      <c r="H24" s="1162"/>
      <c r="I24" s="65"/>
      <c r="J24" s="329"/>
      <c r="K24" s="332"/>
      <c r="L24" s="1149"/>
      <c r="M24" s="415"/>
      <c r="N24" s="1364"/>
      <c r="O24" s="798"/>
      <c r="P24" s="152"/>
      <c r="Q24" s="285"/>
      <c r="R24" s="1405"/>
      <c r="S24" s="970"/>
      <c r="T24" s="1408"/>
      <c r="U24"/>
      <c r="V24"/>
      <c r="X24" s="384"/>
      <c r="Y24" s="386"/>
      <c r="Z24" s="384"/>
      <c r="AA24" s="384"/>
      <c r="AB24" s="384"/>
      <c r="AC24" s="384"/>
      <c r="AD24" s="384"/>
      <c r="AE24" s="384"/>
      <c r="AF24" s="384"/>
      <c r="AG24" s="384"/>
      <c r="AH24" s="384"/>
    </row>
    <row r="25" spans="3:37" ht="17.100000000000001" hidden="1" customHeight="1">
      <c r="F25" s="77"/>
      <c r="G25" s="882"/>
      <c r="H25" s="1163"/>
      <c r="I25" s="65"/>
      <c r="J25" s="329"/>
      <c r="K25" s="332"/>
      <c r="L25" s="1150"/>
      <c r="M25" s="415"/>
      <c r="N25" s="1364"/>
      <c r="O25" s="789"/>
      <c r="P25" s="160"/>
      <c r="Q25" s="286"/>
      <c r="R25" s="1405"/>
      <c r="S25" s="970"/>
      <c r="T25" s="1408"/>
      <c r="U25"/>
      <c r="V25"/>
      <c r="X25" s="384"/>
      <c r="Y25" s="386"/>
      <c r="Z25" s="384"/>
      <c r="AA25" s="384"/>
      <c r="AB25" s="384"/>
      <c r="AC25" s="384"/>
      <c r="AD25" s="384"/>
      <c r="AE25" s="384"/>
      <c r="AF25" s="384"/>
      <c r="AG25" s="384"/>
      <c r="AH25" s="384"/>
    </row>
    <row r="26" spans="3:37" ht="17.100000000000001" customHeight="1">
      <c r="F26" s="77"/>
      <c r="G26" s="882"/>
      <c r="H26" s="1161" t="s">
        <v>1</v>
      </c>
      <c r="I26" s="65" t="s">
        <v>45</v>
      </c>
      <c r="J26" s="326">
        <f>J17+J20+J23</f>
        <v>210695.52</v>
      </c>
      <c r="K26" s="332">
        <f t="shared" si="3"/>
        <v>63735.39</v>
      </c>
      <c r="L26" s="1148">
        <f>J26/$J$26</f>
        <v>1</v>
      </c>
      <c r="M26" s="417"/>
      <c r="N26" s="1364"/>
      <c r="O26" s="789"/>
      <c r="P26" s="160" t="s">
        <v>241</v>
      </c>
      <c r="Q26" s="286">
        <f>(SUM(H54)+SUM(H64:H79)+SUM(H44))*1</f>
        <v>1292</v>
      </c>
      <c r="R26" s="1405"/>
      <c r="S26" s="970"/>
      <c r="T26" s="1408"/>
      <c r="U26"/>
      <c r="V26"/>
      <c r="W26"/>
      <c r="X26"/>
      <c r="Y26"/>
      <c r="AA26" s="384" t="s">
        <v>258</v>
      </c>
      <c r="AB26" s="386" t="s">
        <v>334</v>
      </c>
      <c r="AC26" s="384"/>
      <c r="AD26" s="384"/>
      <c r="AE26" s="384"/>
      <c r="AF26" s="384"/>
      <c r="AG26" s="384"/>
      <c r="AH26" s="384"/>
      <c r="AI26" s="384"/>
      <c r="AJ26" s="384"/>
      <c r="AK26" s="384"/>
    </row>
    <row r="27" spans="3:37" ht="17.100000000000001" customHeight="1">
      <c r="F27" s="77"/>
      <c r="G27" s="882"/>
      <c r="H27" s="1162"/>
      <c r="I27" s="65" t="s">
        <v>46</v>
      </c>
      <c r="J27" s="326">
        <f>J18+J21+J24</f>
        <v>165725</v>
      </c>
      <c r="K27" s="332">
        <f t="shared" si="3"/>
        <v>50131.81</v>
      </c>
      <c r="L27" s="1149"/>
      <c r="M27" s="415"/>
      <c r="N27" s="1364"/>
      <c r="O27" s="794"/>
      <c r="P27" s="152" t="s">
        <v>82</v>
      </c>
      <c r="Q27" s="285">
        <f>SUM(Q25:Q26)</f>
        <v>1292</v>
      </c>
      <c r="R27" s="1406"/>
      <c r="S27" s="972"/>
      <c r="T27" s="1409"/>
      <c r="U27"/>
      <c r="V27"/>
      <c r="W27"/>
      <c r="X27"/>
      <c r="Y27"/>
      <c r="AA27" s="384" t="s">
        <v>313</v>
      </c>
      <c r="AB27" s="386" t="s">
        <v>272</v>
      </c>
      <c r="AC27" s="384"/>
      <c r="AD27" s="384"/>
      <c r="AE27" s="384"/>
      <c r="AF27" s="384"/>
      <c r="AG27" s="384"/>
      <c r="AH27" s="384"/>
      <c r="AI27" s="384"/>
      <c r="AJ27" s="384"/>
      <c r="AK27" s="384"/>
    </row>
    <row r="28" spans="3:37" ht="17.100000000000001" customHeight="1">
      <c r="E28" s="321">
        <f>I56+I62+I66</f>
        <v>0.30135222150676111</v>
      </c>
      <c r="F28" s="77"/>
      <c r="G28" s="1144"/>
      <c r="H28" s="1164"/>
      <c r="I28" s="263" t="s">
        <v>1</v>
      </c>
      <c r="J28" s="330">
        <f>J19+J22+J25</f>
        <v>376420.52</v>
      </c>
      <c r="K28" s="334">
        <f t="shared" si="3"/>
        <v>113867.2</v>
      </c>
      <c r="L28" s="1165"/>
      <c r="M28" s="415"/>
      <c r="N28" s="1364"/>
      <c r="O28" s="153" t="s">
        <v>38</v>
      </c>
      <c r="P28" s="154">
        <v>134</v>
      </c>
      <c r="Q28" s="287">
        <f>(M93+O93)/P28</f>
        <v>30.597014925373134</v>
      </c>
      <c r="R28" s="290">
        <f>ROUNDUP(Q28*S28,0)</f>
        <v>37</v>
      </c>
      <c r="S28" s="1358">
        <v>1.2</v>
      </c>
      <c r="T28" s="1359"/>
      <c r="U28"/>
      <c r="V28"/>
      <c r="W28"/>
      <c r="X28"/>
      <c r="Y28"/>
      <c r="AA28" s="384"/>
      <c r="AB28" s="384"/>
      <c r="AC28" s="384"/>
      <c r="AD28" s="384"/>
      <c r="AE28" s="384"/>
      <c r="AF28" s="384"/>
      <c r="AG28" s="384"/>
      <c r="AH28" s="384"/>
      <c r="AI28" s="384"/>
      <c r="AJ28" s="384"/>
      <c r="AK28" s="384"/>
    </row>
    <row r="29" spans="3:37" ht="17.100000000000001" customHeight="1">
      <c r="E29" s="321">
        <f>I68+I70+I72+I78</f>
        <v>0.5866065679330329</v>
      </c>
      <c r="F29" s="77"/>
      <c r="G29" s="309"/>
      <c r="H29" s="1168"/>
      <c r="I29" s="1169"/>
      <c r="J29" s="303"/>
      <c r="K29" s="304"/>
      <c r="M29" s="415"/>
      <c r="N29" s="1365"/>
      <c r="O29" s="912" t="s">
        <v>69</v>
      </c>
      <c r="P29" s="913"/>
      <c r="Q29" s="288">
        <f>Q21+Q28</f>
        <v>2313.5970149253731</v>
      </c>
      <c r="R29" s="291">
        <f>SUM(R19+R28+R27)</f>
        <v>3919.5</v>
      </c>
      <c r="S29" s="306"/>
      <c r="T29" s="431"/>
      <c r="U29"/>
      <c r="V29" s="313"/>
      <c r="W29"/>
      <c r="X29"/>
      <c r="Y29"/>
      <c r="AA29" s="384"/>
      <c r="AB29" s="384"/>
      <c r="AC29" s="384"/>
      <c r="AD29" s="384"/>
      <c r="AE29" s="384"/>
      <c r="AF29" s="384"/>
      <c r="AG29" s="384"/>
      <c r="AH29" s="384"/>
      <c r="AI29" s="384"/>
      <c r="AJ29" s="384"/>
      <c r="AK29" s="384"/>
    </row>
    <row r="30" spans="3:37" ht="17.100000000000001" customHeight="1">
      <c r="E30" s="321">
        <f>E28+E29</f>
        <v>0.88795878943979401</v>
      </c>
      <c r="F30" s="77"/>
      <c r="G30" s="72" t="s">
        <v>48</v>
      </c>
      <c r="H30" s="1105">
        <f>8451.48+R7+R8+R9+(M89/2)</f>
        <v>12521.48</v>
      </c>
      <c r="I30" s="1106"/>
      <c r="J30" s="1107"/>
      <c r="K30" s="12">
        <f>ROUNDDOWN(H30*0.3025,2)</f>
        <v>3787.74</v>
      </c>
      <c r="L30" s="1170">
        <v>50</v>
      </c>
      <c r="M30" s="51"/>
      <c r="N30" s="1172"/>
      <c r="O30" s="1173"/>
      <c r="P30" s="1173"/>
      <c r="Q30" s="1173"/>
      <c r="R30" s="1173"/>
      <c r="S30" s="1173"/>
      <c r="T30" s="1173"/>
      <c r="U30"/>
      <c r="V30" s="313"/>
      <c r="W30"/>
      <c r="X30"/>
      <c r="Y30"/>
      <c r="AA30" s="384"/>
      <c r="AB30" s="384"/>
      <c r="AC30" s="384"/>
      <c r="AD30" s="384"/>
      <c r="AE30" s="384"/>
      <c r="AF30" s="384"/>
      <c r="AG30" s="384"/>
      <c r="AH30" s="384"/>
      <c r="AI30" s="384"/>
      <c r="AJ30" s="384"/>
      <c r="AK30" s="384"/>
    </row>
    <row r="31" spans="3:37" ht="17.100000000000001" customHeight="1">
      <c r="F31" s="77"/>
      <c r="G31" s="74" t="s">
        <v>0</v>
      </c>
      <c r="H31" s="1108">
        <f>H30/J14</f>
        <v>0.18030605206657851</v>
      </c>
      <c r="I31" s="1109"/>
      <c r="J31" s="1109"/>
      <c r="K31" s="1110"/>
      <c r="L31" s="1171"/>
      <c r="M31" s="415"/>
      <c r="N31" s="1372" t="s">
        <v>236</v>
      </c>
      <c r="O31" s="339">
        <v>3</v>
      </c>
      <c r="P31" s="340">
        <v>2.484</v>
      </c>
      <c r="Q31" s="341">
        <v>2</v>
      </c>
      <c r="R31" s="342">
        <f>(O31-P31)/Q31</f>
        <v>0.25800000000000001</v>
      </c>
      <c r="S31" s="1175">
        <f>R32</f>
        <v>17916.990600000012</v>
      </c>
      <c r="T31" s="1375">
        <f>P33+P34+P35</f>
        <v>206</v>
      </c>
      <c r="U31"/>
      <c r="V31" s="673">
        <f>S33-S31</f>
        <v>-100.95060000001104</v>
      </c>
      <c r="W31" s="755"/>
      <c r="X31" s="755"/>
      <c r="Y31" s="755"/>
      <c r="AA31" s="384"/>
      <c r="AB31" s="384"/>
      <c r="AC31" s="384"/>
      <c r="AD31" s="384"/>
      <c r="AE31" s="384"/>
      <c r="AF31" s="384"/>
      <c r="AG31" s="384"/>
      <c r="AH31" s="384"/>
      <c r="AI31" s="384"/>
      <c r="AJ31" s="384"/>
      <c r="AK31" s="384"/>
    </row>
    <row r="32" spans="3:37" ht="17.100000000000001" customHeight="1">
      <c r="E32" s="11">
        <f>H50+H62</f>
        <v>234</v>
      </c>
      <c r="F32" s="77"/>
      <c r="G32" s="75" t="s">
        <v>64</v>
      </c>
      <c r="H32" s="1105">
        <f>J26-R8-R9-R11</f>
        <v>208275.52</v>
      </c>
      <c r="I32" s="1106"/>
      <c r="J32" s="1107"/>
      <c r="K32" s="12">
        <f>ROUNDDOWN(H32*0.3025,2)</f>
        <v>63003.34</v>
      </c>
      <c r="L32" s="1180" t="s">
        <v>201</v>
      </c>
      <c r="M32" s="415"/>
      <c r="N32" s="1373"/>
      <c r="O32" s="343"/>
      <c r="P32" s="344">
        <f>J14</f>
        <v>69445.700000000041</v>
      </c>
      <c r="Q32" s="345">
        <f>R31</f>
        <v>0.25800000000000001</v>
      </c>
      <c r="R32" s="346">
        <f>P32*Q32</f>
        <v>17916.990600000012</v>
      </c>
      <c r="S32" s="1176"/>
      <c r="T32" s="1376"/>
      <c r="U32" s="274"/>
      <c r="V32" s="275"/>
      <c r="W32" s="727"/>
      <c r="X32" s="727"/>
      <c r="Y32" s="727"/>
      <c r="AA32" s="384"/>
      <c r="AB32" s="384"/>
      <c r="AC32" s="384"/>
      <c r="AD32" s="384"/>
      <c r="AE32" s="384"/>
      <c r="AF32" s="384"/>
      <c r="AG32" s="384"/>
      <c r="AH32" s="384"/>
      <c r="AI32" s="384"/>
      <c r="AJ32" s="384"/>
      <c r="AK32" s="384"/>
    </row>
    <row r="33" spans="2:37" ht="17.100000000000001" customHeight="1">
      <c r="E33" s="11">
        <f>H54+H66</f>
        <v>234</v>
      </c>
      <c r="F33" s="77"/>
      <c r="G33" s="74" t="s">
        <v>62</v>
      </c>
      <c r="H33" s="854">
        <f>H32/J14</f>
        <v>2.9991132640321845</v>
      </c>
      <c r="I33" s="855"/>
      <c r="J33" s="855"/>
      <c r="K33" s="856"/>
      <c r="L33" s="1181"/>
      <c r="M33" s="415"/>
      <c r="N33" s="1373"/>
      <c r="O33" s="347"/>
      <c r="P33" s="348"/>
      <c r="Q33" s="349"/>
      <c r="R33" s="350"/>
      <c r="S33" s="1182">
        <f>R33+R34+R35</f>
        <v>17816.04</v>
      </c>
      <c r="T33" s="1376"/>
      <c r="U33" s="274"/>
      <c r="V33" s="378">
        <f>S33-S31</f>
        <v>-100.95060000001104</v>
      </c>
      <c r="W33" s="728"/>
      <c r="X33" s="728"/>
      <c r="Y33" s="728"/>
      <c r="AA33" s="384"/>
      <c r="AB33" s="384"/>
      <c r="AC33" s="384"/>
      <c r="AD33" s="384"/>
      <c r="AE33" s="384"/>
      <c r="AF33" s="384"/>
      <c r="AG33" s="384"/>
      <c r="AH33" s="384"/>
      <c r="AI33" s="384"/>
      <c r="AJ33" s="384"/>
      <c r="AK33" s="384"/>
    </row>
    <row r="34" spans="2:37" ht="17.100000000000001" customHeight="1">
      <c r="E34" s="321">
        <f>I50+I54+I62+I66</f>
        <v>0.30135222150676111</v>
      </c>
      <c r="F34" s="77"/>
      <c r="G34" s="72" t="s">
        <v>63</v>
      </c>
      <c r="H34" s="1088">
        <f>H82</f>
        <v>1553</v>
      </c>
      <c r="I34" s="1089"/>
      <c r="J34" s="1089"/>
      <c r="K34" s="1090"/>
      <c r="L34" s="20"/>
      <c r="M34" s="415"/>
      <c r="N34" s="1373"/>
      <c r="O34" s="351">
        <f>G51</f>
        <v>59</v>
      </c>
      <c r="P34" s="352">
        <f>H50</f>
        <v>181</v>
      </c>
      <c r="Q34" s="353">
        <f>N50</f>
        <v>82.59</v>
      </c>
      <c r="R34" s="354">
        <f>P34*Q34</f>
        <v>14948.79</v>
      </c>
      <c r="S34" s="1183"/>
      <c r="T34" s="1376"/>
      <c r="U34"/>
      <c r="V34" s="1185"/>
      <c r="W34" s="729"/>
      <c r="X34" s="729"/>
      <c r="Y34" s="729"/>
      <c r="AA34" s="384"/>
      <c r="AB34" s="384"/>
      <c r="AC34" s="384"/>
      <c r="AD34" s="384"/>
      <c r="AE34" s="384"/>
      <c r="AF34" s="384"/>
      <c r="AG34" s="384"/>
      <c r="AH34" s="384"/>
      <c r="AI34" s="384"/>
      <c r="AJ34" s="384"/>
      <c r="AK34" s="384"/>
    </row>
    <row r="35" spans="2:37" ht="17.100000000000001" customHeight="1">
      <c r="E35" s="321">
        <f>I68+I70+I72+I78</f>
        <v>0.5866065679330329</v>
      </c>
      <c r="F35" s="77"/>
      <c r="G35" s="74" t="s">
        <v>37</v>
      </c>
      <c r="H35" s="1370">
        <f>R29</f>
        <v>3919.5</v>
      </c>
      <c r="I35" s="1371"/>
      <c r="J35" s="1371"/>
      <c r="K35" s="164"/>
      <c r="L35" s="62">
        <f>$R$19/$H$82</f>
        <v>2.5</v>
      </c>
      <c r="M35" s="827"/>
      <c r="N35" s="1374"/>
      <c r="O35" s="355">
        <f>G55</f>
        <v>84</v>
      </c>
      <c r="P35" s="356">
        <f>H54</f>
        <v>25</v>
      </c>
      <c r="Q35" s="357">
        <f>N54</f>
        <v>114.69</v>
      </c>
      <c r="R35" s="346">
        <f>P35*Q35</f>
        <v>2867.25</v>
      </c>
      <c r="S35" s="1184"/>
      <c r="T35" s="1377"/>
      <c r="U35"/>
      <c r="V35" s="1186"/>
      <c r="W35" s="718"/>
      <c r="X35" s="718"/>
      <c r="Y35" s="718"/>
      <c r="AA35" s="384"/>
      <c r="AB35" s="384"/>
      <c r="AC35" s="384"/>
      <c r="AD35" s="384"/>
      <c r="AE35" s="384"/>
      <c r="AF35" s="384"/>
      <c r="AG35" s="384"/>
      <c r="AH35" s="384"/>
      <c r="AI35" s="384"/>
      <c r="AJ35" s="384"/>
      <c r="AK35" s="384"/>
    </row>
    <row r="36" spans="2:37" ht="6.75" customHeight="1">
      <c r="F36" s="77"/>
      <c r="G36" s="76"/>
      <c r="H36" s="57"/>
      <c r="I36" s="57"/>
      <c r="J36" s="57"/>
      <c r="K36" s="57"/>
      <c r="L36" s="57"/>
      <c r="M36" s="52"/>
      <c r="N36" s="57"/>
      <c r="O36" s="57"/>
      <c r="P36" s="57"/>
      <c r="Q36" s="57"/>
      <c r="R36" s="57"/>
      <c r="S36" s="57"/>
      <c r="T36" s="57"/>
      <c r="U36"/>
      <c r="V36" s="10"/>
      <c r="W36" s="10"/>
      <c r="X36" s="10"/>
      <c r="Y36" s="10"/>
      <c r="AB36" s="130"/>
      <c r="AC36" s="130"/>
      <c r="AD36" s="130"/>
      <c r="AE36" s="130"/>
      <c r="AF36" s="130"/>
    </row>
    <row r="37" spans="2:37" ht="18" thickBot="1">
      <c r="F37" s="77"/>
      <c r="G37" s="951" t="s">
        <v>31</v>
      </c>
      <c r="H37" s="951"/>
      <c r="I37" s="951"/>
      <c r="J37" s="951"/>
      <c r="K37" s="951"/>
      <c r="L37" s="951"/>
      <c r="M37" s="951"/>
      <c r="N37" s="951"/>
      <c r="O37" s="951"/>
      <c r="P37" s="951"/>
      <c r="Q37" s="951"/>
      <c r="R37" s="951"/>
      <c r="S37" s="951"/>
      <c r="T37" s="952"/>
      <c r="AB37" s="130"/>
      <c r="AC37" s="130"/>
      <c r="AD37" s="130"/>
      <c r="AE37" s="130"/>
      <c r="AF37" s="130"/>
    </row>
    <row r="38" spans="2:37" s="4" customFormat="1" ht="15.75" customHeight="1">
      <c r="B38" s="1122"/>
      <c r="C38" s="1122"/>
      <c r="D38" s="1122"/>
      <c r="E38" s="1122"/>
      <c r="F38" s="78"/>
      <c r="G38" s="957" t="s">
        <v>16</v>
      </c>
      <c r="H38" s="877" t="s">
        <v>2</v>
      </c>
      <c r="I38" s="877" t="s">
        <v>17</v>
      </c>
      <c r="J38" s="877" t="s">
        <v>18</v>
      </c>
      <c r="K38" s="877" t="s">
        <v>19</v>
      </c>
      <c r="L38" s="877"/>
      <c r="M38" s="877"/>
      <c r="N38" s="877" t="s">
        <v>8</v>
      </c>
      <c r="O38" s="877" t="s">
        <v>30</v>
      </c>
      <c r="P38" s="877"/>
      <c r="Q38" s="877"/>
      <c r="R38" s="877" t="s">
        <v>23</v>
      </c>
      <c r="S38" s="877" t="s">
        <v>20</v>
      </c>
      <c r="T38" s="956" t="s">
        <v>68</v>
      </c>
      <c r="V38" s="1275" t="s">
        <v>464</v>
      </c>
      <c r="W38" s="1277" t="s">
        <v>460</v>
      </c>
      <c r="AB38" s="382"/>
      <c r="AC38" s="382"/>
      <c r="AD38" s="382"/>
      <c r="AE38" s="382"/>
      <c r="AF38" s="382"/>
    </row>
    <row r="39" spans="2:37" s="4" customFormat="1" ht="15.75" customHeight="1" thickBot="1">
      <c r="B39" s="1122"/>
      <c r="C39" s="1122"/>
      <c r="D39" s="1122"/>
      <c r="E39" s="1122"/>
      <c r="F39" s="78"/>
      <c r="G39" s="958"/>
      <c r="H39" s="878"/>
      <c r="I39" s="878"/>
      <c r="J39" s="878"/>
      <c r="K39" s="80" t="s">
        <v>21</v>
      </c>
      <c r="L39" s="80" t="s">
        <v>142</v>
      </c>
      <c r="M39" s="80" t="s">
        <v>22</v>
      </c>
      <c r="N39" s="878"/>
      <c r="O39" s="80" t="s">
        <v>28</v>
      </c>
      <c r="P39" s="80" t="s">
        <v>15</v>
      </c>
      <c r="Q39" s="80" t="s">
        <v>32</v>
      </c>
      <c r="R39" s="878"/>
      <c r="S39" s="878"/>
      <c r="T39" s="878"/>
      <c r="V39" s="1276"/>
      <c r="W39" s="1278"/>
      <c r="Z39" s="2"/>
      <c r="AB39" s="382"/>
      <c r="AC39" s="382"/>
      <c r="AD39" s="382"/>
      <c r="AE39" s="382"/>
      <c r="AF39" s="382"/>
    </row>
    <row r="40" spans="2:37" ht="11.25" hidden="1" customHeight="1">
      <c r="B40" s="1127"/>
      <c r="C40" s="1121"/>
      <c r="D40" s="1121"/>
      <c r="E40" s="1121">
        <f>ROUNDUP(H82*0.05,0)</f>
        <v>78</v>
      </c>
      <c r="F40" s="1187" t="e">
        <f>H40/#REF!</f>
        <v>#REF!</v>
      </c>
      <c r="G40" s="297">
        <f>ROUNDDOWN(N41,0)</f>
        <v>17</v>
      </c>
      <c r="H40" s="1194"/>
      <c r="I40" s="1195">
        <f>H40/$H$82</f>
        <v>0</v>
      </c>
      <c r="J40" s="299">
        <f>J58</f>
        <v>39.96</v>
      </c>
      <c r="K40" s="299">
        <f>K58</f>
        <v>3.65</v>
      </c>
      <c r="L40" s="299">
        <f>L58</f>
        <v>14.8</v>
      </c>
      <c r="M40" s="299">
        <f>K40+L40</f>
        <v>18.45</v>
      </c>
      <c r="N40" s="299">
        <f>J40+M40</f>
        <v>58.41</v>
      </c>
      <c r="O40" s="299">
        <f>$O$82/$J$82*J40</f>
        <v>0.12968569069638231</v>
      </c>
      <c r="P40" s="299">
        <f>$P$82/$J$82*J40</f>
        <v>3.1876742773170776</v>
      </c>
      <c r="Q40" s="299">
        <f>$Q$82/$J$82*J40</f>
        <v>40.280375530296347</v>
      </c>
      <c r="R40" s="299">
        <f>O40+P40+Q40</f>
        <v>43.59773549830981</v>
      </c>
      <c r="S40" s="299">
        <f>N40+R40</f>
        <v>102.00773549830981</v>
      </c>
      <c r="T40" s="1196" t="s">
        <v>478</v>
      </c>
      <c r="V40" s="1285"/>
      <c r="W40" s="740"/>
      <c r="X40" s="716"/>
      <c r="Y40" s="716"/>
    </row>
    <row r="41" spans="2:37" ht="11.25" hidden="1" customHeight="1">
      <c r="B41" s="1076"/>
      <c r="C41" s="1121"/>
      <c r="D41" s="1121"/>
      <c r="E41" s="1121"/>
      <c r="F41" s="1187"/>
      <c r="G41" s="296">
        <v>39</v>
      </c>
      <c r="H41" s="1189"/>
      <c r="I41" s="1191"/>
      <c r="J41" s="298">
        <f t="shared" ref="J41:S41" si="4">ROUNDDOWN(J40*0.3025,2)</f>
        <v>12.08</v>
      </c>
      <c r="K41" s="298">
        <f t="shared" si="4"/>
        <v>1.1000000000000001</v>
      </c>
      <c r="L41" s="298">
        <f t="shared" si="4"/>
        <v>4.47</v>
      </c>
      <c r="M41" s="298">
        <f t="shared" si="4"/>
        <v>5.58</v>
      </c>
      <c r="N41" s="298">
        <f t="shared" si="4"/>
        <v>17.66</v>
      </c>
      <c r="O41" s="298">
        <f t="shared" si="4"/>
        <v>0.03</v>
      </c>
      <c r="P41" s="298">
        <f t="shared" si="4"/>
        <v>0.96</v>
      </c>
      <c r="Q41" s="298">
        <f t="shared" si="4"/>
        <v>12.18</v>
      </c>
      <c r="R41" s="298">
        <f t="shared" si="4"/>
        <v>13.18</v>
      </c>
      <c r="S41" s="298">
        <f t="shared" si="4"/>
        <v>30.85</v>
      </c>
      <c r="T41" s="1197"/>
      <c r="V41" s="1286"/>
      <c r="W41" s="740"/>
      <c r="X41" s="717"/>
      <c r="Y41" s="717"/>
    </row>
    <row r="42" spans="2:37" ht="12" customHeight="1">
      <c r="B42" s="1127"/>
      <c r="C42" s="1121"/>
      <c r="D42" s="1121"/>
      <c r="E42" s="1121"/>
      <c r="F42" s="1187" t="e">
        <f>H42/#REF!</f>
        <v>#REF!</v>
      </c>
      <c r="G42" s="300">
        <f>ROUNDDOWN(N43,0)</f>
        <v>24</v>
      </c>
      <c r="H42" s="1188">
        <v>27</v>
      </c>
      <c r="I42" s="805">
        <f>H42/$H$82</f>
        <v>1.7385705086928525E-2</v>
      </c>
      <c r="J42" s="807">
        <v>59.99</v>
      </c>
      <c r="K42" s="807">
        <v>6.1</v>
      </c>
      <c r="L42" s="807">
        <v>16.5</v>
      </c>
      <c r="M42" s="807">
        <f>K42+L42</f>
        <v>22.6</v>
      </c>
      <c r="N42" s="807">
        <f>M42+J42</f>
        <v>82.59</v>
      </c>
      <c r="O42" s="807">
        <f>$O$82/$J$82*J42</f>
        <v>0.19469080542732672</v>
      </c>
      <c r="P42" s="807">
        <f>$P$82/$J$82*J42</f>
        <v>4.7854999974036909</v>
      </c>
      <c r="Q42" s="807">
        <f>$Q$82/$J$82*J42</f>
        <v>60.470964165727679</v>
      </c>
      <c r="R42" s="807">
        <f>O42+P42+Q42</f>
        <v>65.451154968558697</v>
      </c>
      <c r="S42" s="802">
        <f>N42+R42</f>
        <v>148.04115496855871</v>
      </c>
      <c r="T42" s="1197"/>
      <c r="V42" s="751"/>
      <c r="W42" s="740"/>
      <c r="X42" s="130"/>
      <c r="Y42" s="130"/>
    </row>
    <row r="43" spans="2:37" ht="12" customHeight="1">
      <c r="B43" s="1076"/>
      <c r="C43" s="1121"/>
      <c r="D43" s="1121"/>
      <c r="E43" s="1121"/>
      <c r="F43" s="1187"/>
      <c r="G43" s="296">
        <f>ROUNDDOWN(J42,0)</f>
        <v>59</v>
      </c>
      <c r="H43" s="1189"/>
      <c r="I43" s="806">
        <f>H42/$H$56</f>
        <v>0.11392405063291139</v>
      </c>
      <c r="J43" s="804">
        <f t="shared" ref="J43:S43" si="5">ROUNDDOWN(J42*0.3025,2)</f>
        <v>18.14</v>
      </c>
      <c r="K43" s="804">
        <f t="shared" si="5"/>
        <v>1.84</v>
      </c>
      <c r="L43" s="804">
        <f t="shared" si="5"/>
        <v>4.99</v>
      </c>
      <c r="M43" s="804">
        <f t="shared" si="5"/>
        <v>6.83</v>
      </c>
      <c r="N43" s="804">
        <f t="shared" si="5"/>
        <v>24.98</v>
      </c>
      <c r="O43" s="804">
        <f t="shared" si="5"/>
        <v>0.05</v>
      </c>
      <c r="P43" s="804">
        <f t="shared" si="5"/>
        <v>1.44</v>
      </c>
      <c r="Q43" s="804">
        <f t="shared" si="5"/>
        <v>18.29</v>
      </c>
      <c r="R43" s="804">
        <f t="shared" si="5"/>
        <v>19.79</v>
      </c>
      <c r="S43" s="804">
        <f t="shared" si="5"/>
        <v>44.78</v>
      </c>
      <c r="T43" s="1197"/>
      <c r="V43" s="752"/>
      <c r="W43" s="740"/>
      <c r="X43" s="193"/>
      <c r="Y43" s="193"/>
    </row>
    <row r="44" spans="2:37" ht="12" customHeight="1">
      <c r="B44" s="130"/>
      <c r="C44" s="308"/>
      <c r="D44" s="308"/>
      <c r="E44" s="308"/>
      <c r="F44" s="1187" t="e">
        <f>H44/#REF!</f>
        <v>#REF!</v>
      </c>
      <c r="G44" s="300">
        <f>ROUNDDOWN(N45,0)</f>
        <v>34</v>
      </c>
      <c r="H44" s="1188">
        <v>4</v>
      </c>
      <c r="I44" s="805">
        <f>H44/$H$82</f>
        <v>2.5756600128783E-3</v>
      </c>
      <c r="J44" s="802">
        <v>84.99</v>
      </c>
      <c r="K44" s="802">
        <v>8.1999999999999993</v>
      </c>
      <c r="L44" s="802">
        <v>21.5</v>
      </c>
      <c r="M44" s="802">
        <f>K44+L44</f>
        <v>29.7</v>
      </c>
      <c r="N44" s="802">
        <f>M44+J44</f>
        <v>114.69</v>
      </c>
      <c r="O44" s="802">
        <f>$O$82/$J$82*J44</f>
        <v>0.27582549680394225</v>
      </c>
      <c r="P44" s="802">
        <f>$P$82/$J$82*J44</f>
        <v>6.7797907114409002</v>
      </c>
      <c r="Q44" s="802">
        <f>$Q$82/$J$82*J44</f>
        <v>85.671399307304469</v>
      </c>
      <c r="R44" s="802">
        <f>O44+P44+Q44</f>
        <v>92.727015515549311</v>
      </c>
      <c r="S44" s="802">
        <f>N44+R44</f>
        <v>207.41701551554931</v>
      </c>
      <c r="T44" s="1197"/>
      <c r="V44" s="753"/>
      <c r="W44" s="740"/>
      <c r="X44" s="193"/>
      <c r="Y44" s="193"/>
    </row>
    <row r="45" spans="2:37" ht="12" customHeight="1">
      <c r="B45" s="130"/>
      <c r="C45" s="308"/>
      <c r="D45" s="308"/>
      <c r="E45" s="308"/>
      <c r="F45" s="1187"/>
      <c r="G45" s="296">
        <f>ROUNDDOWN(J44,0)</f>
        <v>84</v>
      </c>
      <c r="H45" s="1189"/>
      <c r="I45" s="806">
        <f>H44/$H$56</f>
        <v>1.6877637130801686E-2</v>
      </c>
      <c r="J45" s="804">
        <f t="shared" ref="J45:S45" si="6">ROUNDDOWN(J44*0.3025,2)</f>
        <v>25.7</v>
      </c>
      <c r="K45" s="804">
        <f t="shared" si="6"/>
        <v>2.48</v>
      </c>
      <c r="L45" s="804">
        <f t="shared" si="6"/>
        <v>6.5</v>
      </c>
      <c r="M45" s="804">
        <f t="shared" si="6"/>
        <v>8.98</v>
      </c>
      <c r="N45" s="804">
        <f t="shared" si="6"/>
        <v>34.69</v>
      </c>
      <c r="O45" s="804">
        <f t="shared" si="6"/>
        <v>0.08</v>
      </c>
      <c r="P45" s="804">
        <f t="shared" si="6"/>
        <v>2.0499999999999998</v>
      </c>
      <c r="Q45" s="804">
        <f t="shared" si="6"/>
        <v>25.91</v>
      </c>
      <c r="R45" s="804">
        <f t="shared" si="6"/>
        <v>28.04</v>
      </c>
      <c r="S45" s="804">
        <f t="shared" si="6"/>
        <v>62.74</v>
      </c>
      <c r="T45" s="1197"/>
      <c r="V45" s="753"/>
      <c r="W45" s="740"/>
      <c r="X45" s="193"/>
      <c r="Y45" s="193"/>
    </row>
    <row r="46" spans="2:37" ht="12" hidden="1" customHeight="1">
      <c r="B46" s="130"/>
      <c r="C46" s="308"/>
      <c r="D46" s="308"/>
      <c r="E46" s="1128">
        <f>H46/$H$56</f>
        <v>0</v>
      </c>
      <c r="F46" s="336"/>
      <c r="G46" s="316">
        <f>ROUNDDOWN(N47,0)</f>
        <v>20</v>
      </c>
      <c r="H46" s="1192">
        <v>0</v>
      </c>
      <c r="I46" s="369">
        <f>H46/$H$82</f>
        <v>0</v>
      </c>
      <c r="J46" s="364">
        <v>49.8</v>
      </c>
      <c r="K46" s="364">
        <v>3.7</v>
      </c>
      <c r="L46" s="364">
        <v>14.2</v>
      </c>
      <c r="M46" s="364">
        <f>K46+L46</f>
        <v>17.899999999999999</v>
      </c>
      <c r="N46" s="364">
        <f>M46+J46</f>
        <v>67.699999999999989</v>
      </c>
      <c r="O46" s="364">
        <f>$O$82/$J$82*J46</f>
        <v>0.16162030522221818</v>
      </c>
      <c r="P46" s="364">
        <f>$P$82/$J$82*J46</f>
        <v>3.9726271023621234</v>
      </c>
      <c r="Q46" s="364">
        <f>$Q$82/$J$82*J46</f>
        <v>50.199266802020972</v>
      </c>
      <c r="R46" s="364">
        <f>O46+P46+Q46</f>
        <v>54.333514209605312</v>
      </c>
      <c r="S46" s="364">
        <f>N46+R46</f>
        <v>122.0335142096053</v>
      </c>
      <c r="T46" s="1198" t="s">
        <v>477</v>
      </c>
      <c r="U46" s="173">
        <f>J46/N46</f>
        <v>0.73559822747415071</v>
      </c>
      <c r="V46" s="753"/>
      <c r="W46" s="740"/>
      <c r="X46" s="193"/>
      <c r="Y46" s="193"/>
    </row>
    <row r="47" spans="2:37" ht="12" hidden="1" customHeight="1">
      <c r="B47" s="130"/>
      <c r="C47" s="308"/>
      <c r="D47" s="308"/>
      <c r="E47" s="1129"/>
      <c r="F47" s="336"/>
      <c r="G47" s="318">
        <f>ROUNDDOWN(J46,0)</f>
        <v>49</v>
      </c>
      <c r="H47" s="1193"/>
      <c r="I47" s="373">
        <f>H46/$H$56</f>
        <v>0</v>
      </c>
      <c r="J47" s="319">
        <f t="shared" ref="J47:S47" si="7">ROUNDDOWN(J46*0.3025,2)</f>
        <v>15.06</v>
      </c>
      <c r="K47" s="319">
        <f t="shared" si="7"/>
        <v>1.1100000000000001</v>
      </c>
      <c r="L47" s="319">
        <f t="shared" si="7"/>
        <v>4.29</v>
      </c>
      <c r="M47" s="319">
        <f t="shared" si="7"/>
        <v>5.41</v>
      </c>
      <c r="N47" s="319">
        <f t="shared" si="7"/>
        <v>20.47</v>
      </c>
      <c r="O47" s="319">
        <f t="shared" si="7"/>
        <v>0.04</v>
      </c>
      <c r="P47" s="319">
        <f t="shared" si="7"/>
        <v>1.2</v>
      </c>
      <c r="Q47" s="320">
        <f t="shared" si="7"/>
        <v>15.18</v>
      </c>
      <c r="R47" s="320">
        <f t="shared" si="7"/>
        <v>16.43</v>
      </c>
      <c r="S47" s="320">
        <f t="shared" si="7"/>
        <v>36.909999999999997</v>
      </c>
      <c r="T47" s="1198"/>
      <c r="U47" s="173"/>
      <c r="V47" s="753"/>
      <c r="W47" s="740"/>
      <c r="X47" s="193"/>
      <c r="Y47" s="193"/>
    </row>
    <row r="48" spans="2:37" ht="12" hidden="1" customHeight="1">
      <c r="B48" s="130"/>
      <c r="C48" s="308"/>
      <c r="D48" s="308"/>
      <c r="E48" s="1130">
        <f>C48/$H$82</f>
        <v>0</v>
      </c>
      <c r="F48" s="336"/>
      <c r="G48" s="316">
        <f>ROUNDDOWN(N47,0)</f>
        <v>20</v>
      </c>
      <c r="H48" s="1192"/>
      <c r="I48" s="1130">
        <f>H48/$H$82</f>
        <v>0</v>
      </c>
      <c r="J48" s="800"/>
      <c r="K48" s="800"/>
      <c r="L48" s="800"/>
      <c r="M48" s="800"/>
      <c r="N48" s="800"/>
      <c r="O48" s="800"/>
      <c r="P48" s="800"/>
      <c r="Q48" s="800"/>
      <c r="R48" s="800"/>
      <c r="S48" s="800"/>
      <c r="T48" s="1198"/>
      <c r="U48" s="173"/>
      <c r="V48" s="753"/>
      <c r="W48" s="740"/>
      <c r="X48" s="193"/>
      <c r="Y48" s="193"/>
    </row>
    <row r="49" spans="2:32" ht="12" hidden="1" customHeight="1">
      <c r="B49" s="130"/>
      <c r="C49" s="308"/>
      <c r="D49" s="308"/>
      <c r="E49" s="1129"/>
      <c r="F49" s="336"/>
      <c r="G49" s="318">
        <f>ROUNDDOWN(J46,0)</f>
        <v>49</v>
      </c>
      <c r="H49" s="1193"/>
      <c r="I49" s="1129"/>
      <c r="J49" s="800"/>
      <c r="K49" s="800"/>
      <c r="L49" s="800"/>
      <c r="M49" s="800"/>
      <c r="N49" s="800"/>
      <c r="O49" s="800"/>
      <c r="P49" s="800"/>
      <c r="Q49" s="800"/>
      <c r="R49" s="800"/>
      <c r="S49" s="800"/>
      <c r="T49" s="1198"/>
      <c r="U49" s="173"/>
      <c r="V49" s="753"/>
      <c r="W49" s="740"/>
      <c r="X49" s="193"/>
      <c r="Y49" s="193"/>
    </row>
    <row r="50" spans="2:32" ht="12" customHeight="1">
      <c r="B50" s="1127"/>
      <c r="C50" s="1121"/>
      <c r="D50" s="1121"/>
      <c r="E50" s="1307">
        <f>(H42+H50)/$H$56</f>
        <v>0.87763713080168781</v>
      </c>
      <c r="F50" s="130"/>
      <c r="G50" s="316">
        <f>ROUNDDOWN(N51,0)</f>
        <v>24</v>
      </c>
      <c r="H50" s="1200">
        <v>181</v>
      </c>
      <c r="I50" s="393">
        <f>H50/$H$82</f>
        <v>0.11654861558274308</v>
      </c>
      <c r="J50" s="808">
        <v>59.99</v>
      </c>
      <c r="K50" s="808">
        <v>6.1</v>
      </c>
      <c r="L50" s="808">
        <v>16.5</v>
      </c>
      <c r="M50" s="808">
        <f>K50+L50</f>
        <v>22.6</v>
      </c>
      <c r="N50" s="808">
        <f>M50+J50</f>
        <v>82.59</v>
      </c>
      <c r="O50" s="808">
        <f>$O$82/$J$82*J50</f>
        <v>0.19469080542732672</v>
      </c>
      <c r="P50" s="808">
        <f>$P$82/$J$82*J50</f>
        <v>4.7854999974036909</v>
      </c>
      <c r="Q50" s="808">
        <f>$Q$82/$J$82*J50</f>
        <v>60.470964165727679</v>
      </c>
      <c r="R50" s="808">
        <f>O50+P50+Q50</f>
        <v>65.451154968558697</v>
      </c>
      <c r="S50" s="364">
        <f>N50+R50</f>
        <v>148.04115496855871</v>
      </c>
      <c r="T50" s="1198"/>
      <c r="U50" s="173">
        <f>J50/N50</f>
        <v>0.72635912338055453</v>
      </c>
      <c r="V50" s="1279">
        <v>111</v>
      </c>
      <c r="W50" s="741">
        <f>V50/$V$82</f>
        <v>7.2930354796320637E-2</v>
      </c>
      <c r="X50" s="1279">
        <f>H50-V50</f>
        <v>70</v>
      </c>
      <c r="Y50" s="760">
        <v>6</v>
      </c>
      <c r="AB50" s="130" t="s">
        <v>305</v>
      </c>
      <c r="AC50" s="130" t="s">
        <v>314</v>
      </c>
      <c r="AD50" s="130"/>
      <c r="AE50" s="130" t="s">
        <v>325</v>
      </c>
      <c r="AF50" s="130">
        <v>720</v>
      </c>
    </row>
    <row r="51" spans="2:32" ht="12" customHeight="1">
      <c r="B51" s="1076"/>
      <c r="C51" s="1121"/>
      <c r="D51" s="1121"/>
      <c r="E51" s="1308"/>
      <c r="F51" s="130"/>
      <c r="G51" s="318">
        <f>ROUNDDOWN(J50,0)</f>
        <v>59</v>
      </c>
      <c r="H51" s="1193"/>
      <c r="I51" s="394">
        <f>H50/$H$56</f>
        <v>0.76371308016877637</v>
      </c>
      <c r="J51" s="395">
        <f t="shared" ref="J51:S51" si="8">ROUNDDOWN(J50*0.3025,2)</f>
        <v>18.14</v>
      </c>
      <c r="K51" s="395">
        <f t="shared" si="8"/>
        <v>1.84</v>
      </c>
      <c r="L51" s="395">
        <f t="shared" si="8"/>
        <v>4.99</v>
      </c>
      <c r="M51" s="395">
        <f t="shared" si="8"/>
        <v>6.83</v>
      </c>
      <c r="N51" s="395">
        <f t="shared" si="8"/>
        <v>24.98</v>
      </c>
      <c r="O51" s="395">
        <f t="shared" si="8"/>
        <v>0.05</v>
      </c>
      <c r="P51" s="395">
        <f t="shared" si="8"/>
        <v>1.44</v>
      </c>
      <c r="Q51" s="395">
        <f t="shared" si="8"/>
        <v>18.29</v>
      </c>
      <c r="R51" s="395">
        <f t="shared" si="8"/>
        <v>19.79</v>
      </c>
      <c r="S51" s="395">
        <f t="shared" si="8"/>
        <v>44.78</v>
      </c>
      <c r="T51" s="1198"/>
      <c r="U51" s="173"/>
      <c r="V51" s="1280"/>
      <c r="W51" s="742">
        <f>V50/$V$56</f>
        <v>0.6</v>
      </c>
      <c r="X51" s="1280"/>
      <c r="Y51" s="193"/>
      <c r="AB51" s="130" t="s">
        <v>306</v>
      </c>
      <c r="AC51" s="130" t="s">
        <v>315</v>
      </c>
      <c r="AD51" s="130"/>
      <c r="AE51" s="130" t="s">
        <v>307</v>
      </c>
      <c r="AF51" s="130">
        <v>860</v>
      </c>
    </row>
    <row r="52" spans="2:32" ht="12" hidden="1" customHeight="1">
      <c r="B52" s="130"/>
      <c r="C52" s="308"/>
      <c r="D52" s="308"/>
      <c r="E52" s="1128">
        <f>C52/$H$82</f>
        <v>0</v>
      </c>
      <c r="F52" s="130"/>
      <c r="G52" s="316">
        <f>ROUNDDOWN(N53,0)</f>
        <v>30</v>
      </c>
      <c r="H52" s="1200"/>
      <c r="I52" s="1303">
        <f>H52/$H$82</f>
        <v>0</v>
      </c>
      <c r="J52" s="396">
        <f>J64</f>
        <v>74.989999999999995</v>
      </c>
      <c r="K52" s="396">
        <f>K64</f>
        <v>7.03</v>
      </c>
      <c r="L52" s="396">
        <f>L64</f>
        <v>18.5</v>
      </c>
      <c r="M52" s="396">
        <f>K52+L52</f>
        <v>25.53</v>
      </c>
      <c r="N52" s="396">
        <f>M52+J52</f>
        <v>100.52</v>
      </c>
      <c r="O52" s="396">
        <f>$O$82/$J$82*J52</f>
        <v>0.24337162025329603</v>
      </c>
      <c r="P52" s="396">
        <f>$P$82/$J$82*J52</f>
        <v>5.9820744258260161</v>
      </c>
      <c r="Q52" s="396">
        <f>$Q$82/$J$82*J52</f>
        <v>75.591225250673745</v>
      </c>
      <c r="R52" s="396">
        <f>O52+P52+Q52</f>
        <v>81.816671296753057</v>
      </c>
      <c r="S52" s="396">
        <f>N52+R52</f>
        <v>182.33667129675305</v>
      </c>
      <c r="T52" s="1198"/>
      <c r="U52" s="173"/>
      <c r="V52" s="1281"/>
      <c r="W52" s="1283">
        <f>V52/$H$82</f>
        <v>0</v>
      </c>
      <c r="X52" s="1281"/>
      <c r="Y52" s="193"/>
      <c r="AB52" s="130" t="s">
        <v>307</v>
      </c>
      <c r="AC52" s="130" t="s">
        <v>316</v>
      </c>
      <c r="AD52" s="130"/>
      <c r="AE52" s="130" t="s">
        <v>309</v>
      </c>
      <c r="AF52" s="130">
        <v>410</v>
      </c>
    </row>
    <row r="53" spans="2:32" ht="12" hidden="1" customHeight="1">
      <c r="B53" s="130"/>
      <c r="C53" s="308"/>
      <c r="D53" s="308"/>
      <c r="E53" s="1129"/>
      <c r="F53" s="130"/>
      <c r="G53" s="318">
        <f>ROUNDDOWN(J52,0)</f>
        <v>74</v>
      </c>
      <c r="H53" s="1193"/>
      <c r="I53" s="1304"/>
      <c r="J53" s="395">
        <f t="shared" ref="J53:S53" si="9">ROUNDDOWN(J52*0.3025,2)</f>
        <v>22.68</v>
      </c>
      <c r="K53" s="395">
        <f t="shared" si="9"/>
        <v>2.12</v>
      </c>
      <c r="L53" s="395">
        <f t="shared" si="9"/>
        <v>5.59</v>
      </c>
      <c r="M53" s="395">
        <f t="shared" si="9"/>
        <v>7.72</v>
      </c>
      <c r="N53" s="395">
        <f t="shared" si="9"/>
        <v>30.4</v>
      </c>
      <c r="O53" s="395">
        <f t="shared" si="9"/>
        <v>7.0000000000000007E-2</v>
      </c>
      <c r="P53" s="395">
        <f t="shared" si="9"/>
        <v>1.8</v>
      </c>
      <c r="Q53" s="395">
        <f t="shared" si="9"/>
        <v>22.86</v>
      </c>
      <c r="R53" s="395">
        <f t="shared" si="9"/>
        <v>24.74</v>
      </c>
      <c r="S53" s="395">
        <f t="shared" si="9"/>
        <v>55.15</v>
      </c>
      <c r="T53" s="1198"/>
      <c r="U53" s="173"/>
      <c r="V53" s="1282"/>
      <c r="W53" s="1284"/>
      <c r="X53" s="1282"/>
      <c r="Y53" s="193"/>
      <c r="AB53" s="130" t="s">
        <v>308</v>
      </c>
      <c r="AC53" s="130" t="s">
        <v>317</v>
      </c>
      <c r="AD53" s="130"/>
      <c r="AE53" s="130" t="s">
        <v>326</v>
      </c>
      <c r="AF53" s="130">
        <v>30</v>
      </c>
    </row>
    <row r="54" spans="2:32" ht="12" customHeight="1">
      <c r="B54" s="1127"/>
      <c r="C54" s="1121"/>
      <c r="D54" s="1121"/>
      <c r="E54" s="1307">
        <f>(H44+H54)/$H$56</f>
        <v>0.12236286919831224</v>
      </c>
      <c r="F54" s="130">
        <f>H54/H56*100</f>
        <v>10.548523206751055</v>
      </c>
      <c r="G54" s="316">
        <f>ROUNDDOWN(N55,0)</f>
        <v>34</v>
      </c>
      <c r="H54" s="1200">
        <v>25</v>
      </c>
      <c r="I54" s="393">
        <f>H54/$H$82</f>
        <v>1.6097875080489377E-2</v>
      </c>
      <c r="J54" s="364">
        <v>84.99</v>
      </c>
      <c r="K54" s="364">
        <v>8.1999999999999993</v>
      </c>
      <c r="L54" s="364">
        <v>21.5</v>
      </c>
      <c r="M54" s="364">
        <f>K54+L54</f>
        <v>29.7</v>
      </c>
      <c r="N54" s="364">
        <f>M54+J54</f>
        <v>114.69</v>
      </c>
      <c r="O54" s="364">
        <f>$O$82/$J$82*J54</f>
        <v>0.27582549680394225</v>
      </c>
      <c r="P54" s="364">
        <f>$P$82/$J$82*J54</f>
        <v>6.7797907114409002</v>
      </c>
      <c r="Q54" s="364">
        <f>$Q$82/$J$82*J54</f>
        <v>85.671399307304469</v>
      </c>
      <c r="R54" s="364">
        <f>O54+P54+Q54</f>
        <v>92.727015515549311</v>
      </c>
      <c r="S54" s="364">
        <f>N54+R54</f>
        <v>207.41701551554931</v>
      </c>
      <c r="T54" s="1198"/>
      <c r="U54" s="173">
        <f>J54/N54</f>
        <v>0.74104106722469265</v>
      </c>
      <c r="V54" s="1279">
        <v>74</v>
      </c>
      <c r="W54" s="741">
        <f>V54/$V$82</f>
        <v>4.862023653088042E-2</v>
      </c>
      <c r="X54" s="1279">
        <f t="shared" ref="X54" si="10">H54-V54</f>
        <v>-49</v>
      </c>
      <c r="Y54" s="760">
        <v>3</v>
      </c>
      <c r="AB54" s="130" t="s">
        <v>307</v>
      </c>
      <c r="AC54" s="130" t="s">
        <v>316</v>
      </c>
      <c r="AD54" s="130"/>
      <c r="AE54" s="130" t="s">
        <v>311</v>
      </c>
      <c r="AF54" s="130">
        <v>875</v>
      </c>
    </row>
    <row r="55" spans="2:32" ht="12" customHeight="1">
      <c r="B55" s="1076"/>
      <c r="C55" s="1121"/>
      <c r="D55" s="1121"/>
      <c r="E55" s="1308"/>
      <c r="G55" s="318">
        <f>ROUNDDOWN(J54,0)</f>
        <v>84</v>
      </c>
      <c r="H55" s="1193"/>
      <c r="I55" s="394">
        <f>H54/$H$56</f>
        <v>0.10548523206751055</v>
      </c>
      <c r="J55" s="395">
        <f t="shared" ref="J55:S55" si="11">ROUNDDOWN(J54*0.3025,2)</f>
        <v>25.7</v>
      </c>
      <c r="K55" s="395">
        <f t="shared" si="11"/>
        <v>2.48</v>
      </c>
      <c r="L55" s="395">
        <f t="shared" si="11"/>
        <v>6.5</v>
      </c>
      <c r="M55" s="395">
        <f t="shared" si="11"/>
        <v>8.98</v>
      </c>
      <c r="N55" s="395">
        <f t="shared" si="11"/>
        <v>34.69</v>
      </c>
      <c r="O55" s="395">
        <f t="shared" si="11"/>
        <v>0.08</v>
      </c>
      <c r="P55" s="395">
        <f t="shared" si="11"/>
        <v>2.0499999999999998</v>
      </c>
      <c r="Q55" s="395">
        <f t="shared" si="11"/>
        <v>25.91</v>
      </c>
      <c r="R55" s="395">
        <f t="shared" si="11"/>
        <v>28.04</v>
      </c>
      <c r="S55" s="395">
        <f t="shared" si="11"/>
        <v>62.74</v>
      </c>
      <c r="T55" s="1199"/>
      <c r="U55" s="173"/>
      <c r="V55" s="1280"/>
      <c r="W55" s="742">
        <f>V54/$V$56</f>
        <v>0.4</v>
      </c>
      <c r="X55" s="1280"/>
      <c r="Y55" s="193"/>
      <c r="AB55" s="130" t="s">
        <v>308</v>
      </c>
      <c r="AC55" s="130" t="s">
        <v>317</v>
      </c>
      <c r="AD55" s="130"/>
      <c r="AE55" s="130" t="s">
        <v>258</v>
      </c>
      <c r="AF55" s="130">
        <v>145</v>
      </c>
    </row>
    <row r="56" spans="2:32" ht="12" customHeight="1">
      <c r="B56" s="1127"/>
      <c r="C56" s="1121"/>
      <c r="D56" s="1121"/>
      <c r="E56" s="1402">
        <f>SUM(E46:E55)</f>
        <v>1</v>
      </c>
      <c r="G56" s="1202" t="s">
        <v>82</v>
      </c>
      <c r="H56" s="1257">
        <f>SUM(H40:H55)</f>
        <v>237</v>
      </c>
      <c r="I56" s="397">
        <f>I46+I50+I54</f>
        <v>0.13264649066323247</v>
      </c>
      <c r="J56" s="398">
        <f>SUMPRODUCT(H40:H55,J40:J55)</f>
        <v>14942.630000000001</v>
      </c>
      <c r="K56" s="398">
        <f>SUMPRODUCT(H40:H55,K40:K55)</f>
        <v>1506.6</v>
      </c>
      <c r="L56" s="398">
        <f>SUMPRODUCT(H40:H55,L40:L55)</f>
        <v>4055.5</v>
      </c>
      <c r="M56" s="398">
        <f>K56+L56</f>
        <v>5562.1</v>
      </c>
      <c r="N56" s="398">
        <f>J56+M56</f>
        <v>20504.730000000003</v>
      </c>
      <c r="O56" s="398">
        <f>SUMPRODUCT(H40:H55,O40:O55)</f>
        <v>48.494626936198287</v>
      </c>
      <c r="P56" s="398">
        <f>SUMPRODUCT(H40:H55,P40:P55)</f>
        <v>1191.9979300917537</v>
      </c>
      <c r="Q56" s="398">
        <f>SUMPRODUCT(H40:H55,Q40:Q55)</f>
        <v>15062.431126383186</v>
      </c>
      <c r="R56" s="398">
        <f>O56+P56+Q56</f>
        <v>16302.923683411138</v>
      </c>
      <c r="S56" s="398">
        <f>N56+R56</f>
        <v>36807.653683411139</v>
      </c>
      <c r="T56" s="1206"/>
      <c r="U56" s="173"/>
      <c r="V56" s="1272">
        <f>SUM(V50:V54)</f>
        <v>185</v>
      </c>
      <c r="W56" s="743">
        <f>W46+W50+W54</f>
        <v>0.12155059132720106</v>
      </c>
      <c r="X56" s="1270">
        <f t="shared" ref="X56" si="12">H56-V56</f>
        <v>52</v>
      </c>
      <c r="Y56" s="1272">
        <f>SUM(Y50:Y55)</f>
        <v>9</v>
      </c>
      <c r="AB56" s="130" t="s">
        <v>309</v>
      </c>
      <c r="AC56" s="130" t="s">
        <v>318</v>
      </c>
      <c r="AD56" s="130"/>
      <c r="AE56" s="130" t="s">
        <v>312</v>
      </c>
      <c r="AF56" s="130">
        <v>2</v>
      </c>
    </row>
    <row r="57" spans="2:32" ht="12" customHeight="1">
      <c r="B57" s="1076"/>
      <c r="C57" s="1121"/>
      <c r="D57" s="1121"/>
      <c r="E57" s="1403"/>
      <c r="G57" s="1203"/>
      <c r="H57" s="1254"/>
      <c r="I57" s="399">
        <f>I47+I51+I55</f>
        <v>0.86919831223628696</v>
      </c>
      <c r="J57" s="400">
        <f t="shared" ref="J57:S57" si="13">ROUNDDOWN(J56*0.3025,2)</f>
        <v>4520.1400000000003</v>
      </c>
      <c r="K57" s="400">
        <f t="shared" si="13"/>
        <v>455.74</v>
      </c>
      <c r="L57" s="400">
        <f t="shared" si="13"/>
        <v>1226.78</v>
      </c>
      <c r="M57" s="400">
        <f t="shared" si="13"/>
        <v>1682.53</v>
      </c>
      <c r="N57" s="400">
        <f t="shared" si="13"/>
        <v>6202.68</v>
      </c>
      <c r="O57" s="400">
        <f t="shared" si="13"/>
        <v>14.66</v>
      </c>
      <c r="P57" s="400">
        <f t="shared" si="13"/>
        <v>360.57</v>
      </c>
      <c r="Q57" s="400">
        <f t="shared" si="13"/>
        <v>4556.38</v>
      </c>
      <c r="R57" s="400">
        <f t="shared" si="13"/>
        <v>4931.63</v>
      </c>
      <c r="S57" s="400">
        <f t="shared" si="13"/>
        <v>11134.31</v>
      </c>
      <c r="T57" s="1207"/>
      <c r="U57" s="173"/>
      <c r="V57" s="1271"/>
      <c r="W57" s="744">
        <f>W51+W55</f>
        <v>1</v>
      </c>
      <c r="X57" s="1271"/>
      <c r="Y57" s="1271"/>
      <c r="AB57" s="130" t="s">
        <v>310</v>
      </c>
      <c r="AC57" s="130" t="s">
        <v>319</v>
      </c>
      <c r="AD57" s="130"/>
      <c r="AE57" s="130" t="s">
        <v>313</v>
      </c>
      <c r="AF57" s="130">
        <v>58</v>
      </c>
    </row>
    <row r="58" spans="2:32" ht="12" hidden="1" customHeight="1">
      <c r="B58" s="86"/>
      <c r="C58" s="1121"/>
      <c r="D58" s="937"/>
      <c r="E58" s="937">
        <f>C58/$H$82</f>
        <v>0</v>
      </c>
      <c r="F58" s="1075"/>
      <c r="G58" s="86">
        <f>ROUNDDOWN(N59,0)</f>
        <v>17</v>
      </c>
      <c r="H58" s="935"/>
      <c r="I58" s="1401">
        <f>H58/$H$82</f>
        <v>0</v>
      </c>
      <c r="J58" s="401">
        <v>39.96</v>
      </c>
      <c r="K58" s="401">
        <v>3.65</v>
      </c>
      <c r="L58" s="401">
        <v>14.8</v>
      </c>
      <c r="M58" s="401">
        <f>K58+L58</f>
        <v>18.45</v>
      </c>
      <c r="N58" s="401">
        <f>J58+M58</f>
        <v>58.41</v>
      </c>
      <c r="O58" s="401">
        <f>$O$82/$J$82*J58</f>
        <v>0.12968569069638231</v>
      </c>
      <c r="P58" s="401">
        <f>$P$82/$J$82*J58</f>
        <v>3.1876742773170776</v>
      </c>
      <c r="Q58" s="401">
        <f>$Q$82/$J$82*J58</f>
        <v>40.280375530296347</v>
      </c>
      <c r="R58" s="401">
        <f>O58+P58+Q58</f>
        <v>43.59773549830981</v>
      </c>
      <c r="S58" s="401">
        <f>N58+R58</f>
        <v>102.00773549830981</v>
      </c>
      <c r="T58" s="390" t="s">
        <v>137</v>
      </c>
      <c r="U58" s="173"/>
      <c r="V58" s="1273"/>
      <c r="W58" s="1274">
        <f>V58/$H$82</f>
        <v>0</v>
      </c>
      <c r="X58" s="1273">
        <f t="shared" ref="X58" si="14">H58-V58</f>
        <v>0</v>
      </c>
      <c r="AB58" s="130" t="s">
        <v>258</v>
      </c>
      <c r="AC58" s="130" t="s">
        <v>322</v>
      </c>
      <c r="AD58" s="130"/>
      <c r="AE58" s="130"/>
      <c r="AF58" s="130"/>
    </row>
    <row r="59" spans="2:32" ht="12" hidden="1" customHeight="1">
      <c r="B59" s="87"/>
      <c r="C59" s="1121"/>
      <c r="D59" s="938"/>
      <c r="E59" s="938"/>
      <c r="F59" s="1076"/>
      <c r="G59" s="87">
        <v>39</v>
      </c>
      <c r="H59" s="936"/>
      <c r="I59" s="1298"/>
      <c r="J59" s="402">
        <f t="shared" ref="J59:S59" si="15">ROUNDDOWN(J58*0.3025,2)</f>
        <v>12.08</v>
      </c>
      <c r="K59" s="402">
        <f t="shared" si="15"/>
        <v>1.1000000000000001</v>
      </c>
      <c r="L59" s="402">
        <f t="shared" si="15"/>
        <v>4.47</v>
      </c>
      <c r="M59" s="402">
        <f t="shared" si="15"/>
        <v>5.58</v>
      </c>
      <c r="N59" s="402">
        <f t="shared" si="15"/>
        <v>17.66</v>
      </c>
      <c r="O59" s="402">
        <f t="shared" si="15"/>
        <v>0.03</v>
      </c>
      <c r="P59" s="402">
        <f t="shared" si="15"/>
        <v>0.96</v>
      </c>
      <c r="Q59" s="402">
        <f t="shared" si="15"/>
        <v>12.18</v>
      </c>
      <c r="R59" s="402">
        <f t="shared" si="15"/>
        <v>13.18</v>
      </c>
      <c r="S59" s="402">
        <f t="shared" si="15"/>
        <v>30.85</v>
      </c>
      <c r="T59" s="391"/>
      <c r="U59" s="173"/>
      <c r="V59" s="1263"/>
      <c r="W59" s="1265"/>
      <c r="X59" s="1263"/>
      <c r="AB59" s="130"/>
      <c r="AC59" s="130"/>
      <c r="AD59" s="130"/>
      <c r="AE59" s="130"/>
      <c r="AF59" s="130"/>
    </row>
    <row r="60" spans="2:32" ht="12" hidden="1" customHeight="1">
      <c r="B60" s="88"/>
      <c r="C60" s="1121"/>
      <c r="D60" s="940"/>
      <c r="E60" s="940">
        <f>H60/$H$80</f>
        <v>0</v>
      </c>
      <c r="F60" s="1075"/>
      <c r="G60" s="88">
        <f>ROUNDDOWN(N61,0)</f>
        <v>20</v>
      </c>
      <c r="H60" s="1085">
        <v>0</v>
      </c>
      <c r="I60" s="403">
        <f>H60/$H$82</f>
        <v>0</v>
      </c>
      <c r="J60" s="366">
        <v>49.8</v>
      </c>
      <c r="K60" s="366">
        <v>3.7</v>
      </c>
      <c r="L60" s="366">
        <v>14.2</v>
      </c>
      <c r="M60" s="366">
        <f>K60+L60</f>
        <v>17.899999999999999</v>
      </c>
      <c r="N60" s="366">
        <f>M60+J60</f>
        <v>67.699999999999989</v>
      </c>
      <c r="O60" s="366">
        <f>$O$82/$J$82*J60</f>
        <v>0.16162030522221818</v>
      </c>
      <c r="P60" s="366">
        <f>$P$82/$J$82*J60</f>
        <v>3.9726271023621234</v>
      </c>
      <c r="Q60" s="366">
        <f>$Q$82/$J$82*J60</f>
        <v>50.199266802020972</v>
      </c>
      <c r="R60" s="366">
        <f>O60+P60+Q60</f>
        <v>54.333514209605312</v>
      </c>
      <c r="S60" s="366">
        <f>N60+R60</f>
        <v>122.0335142096053</v>
      </c>
      <c r="T60" s="391"/>
      <c r="U60" s="173">
        <f>J60/N60</f>
        <v>0.73559822747415071</v>
      </c>
      <c r="V60" s="1262">
        <v>0</v>
      </c>
      <c r="W60" s="745">
        <f>V60/$H$82</f>
        <v>0</v>
      </c>
      <c r="X60" s="1262">
        <f t="shared" ref="X60" si="16">H60-V60</f>
        <v>0</v>
      </c>
      <c r="AB60" s="130" t="s">
        <v>312</v>
      </c>
      <c r="AC60" s="130" t="s">
        <v>323</v>
      </c>
      <c r="AD60" s="130"/>
      <c r="AE60" s="130"/>
      <c r="AF60" s="130"/>
    </row>
    <row r="61" spans="2:32" ht="12" hidden="1" customHeight="1">
      <c r="B61" s="87"/>
      <c r="C61" s="1121"/>
      <c r="D61" s="938"/>
      <c r="E61" s="938"/>
      <c r="F61" s="1076"/>
      <c r="G61" s="87">
        <f>ROUNDDOWN(J60,0)</f>
        <v>49</v>
      </c>
      <c r="H61" s="936"/>
      <c r="I61" s="404">
        <f>H60/$H$80</f>
        <v>0</v>
      </c>
      <c r="J61" s="402">
        <f t="shared" ref="J61:S61" si="17">ROUNDDOWN(J60*0.3025,2)</f>
        <v>15.06</v>
      </c>
      <c r="K61" s="402">
        <f t="shared" si="17"/>
        <v>1.1100000000000001</v>
      </c>
      <c r="L61" s="402">
        <f t="shared" si="17"/>
        <v>4.29</v>
      </c>
      <c r="M61" s="402">
        <f t="shared" si="17"/>
        <v>5.41</v>
      </c>
      <c r="N61" s="402">
        <f t="shared" si="17"/>
        <v>20.47</v>
      </c>
      <c r="O61" s="402">
        <f t="shared" si="17"/>
        <v>0.04</v>
      </c>
      <c r="P61" s="402">
        <f t="shared" si="17"/>
        <v>1.2</v>
      </c>
      <c r="Q61" s="402">
        <f t="shared" si="17"/>
        <v>15.18</v>
      </c>
      <c r="R61" s="402">
        <f t="shared" si="17"/>
        <v>16.43</v>
      </c>
      <c r="S61" s="402">
        <f t="shared" si="17"/>
        <v>36.909999999999997</v>
      </c>
      <c r="T61" s="391"/>
      <c r="U61" s="173"/>
      <c r="V61" s="1263"/>
      <c r="W61" s="746">
        <f>V60/$H$80</f>
        <v>0</v>
      </c>
      <c r="X61" s="1263"/>
      <c r="AB61" s="382" t="s">
        <v>313</v>
      </c>
      <c r="AC61" s="382" t="s">
        <v>324</v>
      </c>
      <c r="AD61" s="382"/>
      <c r="AE61" s="382"/>
      <c r="AF61" s="382"/>
    </row>
    <row r="62" spans="2:32" ht="12" customHeight="1">
      <c r="B62" s="88"/>
      <c r="C62" s="1121">
        <f>H50+H62</f>
        <v>234</v>
      </c>
      <c r="D62" s="940">
        <f>I66+I62+I54+I50</f>
        <v>0.30135222150676111</v>
      </c>
      <c r="E62" s="940">
        <f>H62/$H$80</f>
        <v>4.0273556231003038E-2</v>
      </c>
      <c r="F62" s="939">
        <v>59</v>
      </c>
      <c r="G62" s="88">
        <f>ROUNDDOWN(N63,0)</f>
        <v>24</v>
      </c>
      <c r="H62" s="939">
        <v>53</v>
      </c>
      <c r="I62" s="403">
        <f>H62/$H$82</f>
        <v>3.4127495170637477E-2</v>
      </c>
      <c r="J62" s="366">
        <v>59.99</v>
      </c>
      <c r="K62" s="366">
        <v>6.1</v>
      </c>
      <c r="L62" s="366">
        <v>16.5</v>
      </c>
      <c r="M62" s="366">
        <f>K62+L62</f>
        <v>22.6</v>
      </c>
      <c r="N62" s="366">
        <f>M62+J62</f>
        <v>82.59</v>
      </c>
      <c r="O62" s="366">
        <f>$O$82/$J$82*J62</f>
        <v>0.19469080542732672</v>
      </c>
      <c r="P62" s="366">
        <f>$P$82/$J$82*J62</f>
        <v>4.7854999974036909</v>
      </c>
      <c r="Q62" s="366">
        <f>$Q$82/$J$82*J62</f>
        <v>60.470964165727679</v>
      </c>
      <c r="R62" s="366">
        <f>O62+P62+Q62</f>
        <v>65.451154968558697</v>
      </c>
      <c r="S62" s="367">
        <f>N62+R62</f>
        <v>148.04115496855871</v>
      </c>
      <c r="T62" s="899" t="s">
        <v>370</v>
      </c>
      <c r="U62" s="173">
        <f>J62/N62</f>
        <v>0.72635912338055453</v>
      </c>
      <c r="V62" s="939">
        <f>116-57</f>
        <v>59</v>
      </c>
      <c r="W62" s="745">
        <f>V62/$V$82</f>
        <v>3.8764783180026283E-2</v>
      </c>
      <c r="X62" s="1269">
        <f t="shared" ref="X62" si="18">H62-V62</f>
        <v>-6</v>
      </c>
      <c r="Y62" s="760"/>
      <c r="AB62" s="2" t="s">
        <v>256</v>
      </c>
      <c r="AC62" s="2" t="s">
        <v>320</v>
      </c>
    </row>
    <row r="63" spans="2:32" ht="12" customHeight="1">
      <c r="B63" s="87"/>
      <c r="C63" s="1121"/>
      <c r="D63" s="938"/>
      <c r="E63" s="938"/>
      <c r="F63" s="936"/>
      <c r="G63" s="87">
        <f>ROUNDDOWN(J62,0)</f>
        <v>59</v>
      </c>
      <c r="H63" s="936"/>
      <c r="I63" s="404">
        <f>H62/$H$80</f>
        <v>4.0273556231003038E-2</v>
      </c>
      <c r="J63" s="402">
        <f t="shared" ref="J63:S63" si="19">ROUNDDOWN(J62*0.3025,2)</f>
        <v>18.14</v>
      </c>
      <c r="K63" s="402">
        <f t="shared" si="19"/>
        <v>1.84</v>
      </c>
      <c r="L63" s="402">
        <f t="shared" si="19"/>
        <v>4.99</v>
      </c>
      <c r="M63" s="402">
        <f t="shared" si="19"/>
        <v>6.83</v>
      </c>
      <c r="N63" s="402">
        <f t="shared" si="19"/>
        <v>24.98</v>
      </c>
      <c r="O63" s="402">
        <f t="shared" si="19"/>
        <v>0.05</v>
      </c>
      <c r="P63" s="402">
        <f t="shared" si="19"/>
        <v>1.44</v>
      </c>
      <c r="Q63" s="402">
        <f t="shared" si="19"/>
        <v>18.29</v>
      </c>
      <c r="R63" s="402">
        <f t="shared" si="19"/>
        <v>19.79</v>
      </c>
      <c r="S63" s="402">
        <f t="shared" si="19"/>
        <v>44.78</v>
      </c>
      <c r="T63" s="899"/>
      <c r="U63" s="173"/>
      <c r="V63" s="936"/>
      <c r="W63" s="746">
        <f>V62/$V$80</f>
        <v>4.4128646222887064E-2</v>
      </c>
      <c r="X63" s="1268"/>
      <c r="AB63" s="2" t="s">
        <v>311</v>
      </c>
      <c r="AC63" s="2" t="s">
        <v>321</v>
      </c>
    </row>
    <row r="64" spans="2:32" ht="12" customHeight="1">
      <c r="B64" s="88"/>
      <c r="C64" s="1121">
        <f>H64</f>
        <v>96</v>
      </c>
      <c r="D64" s="940"/>
      <c r="E64" s="940">
        <f>H64/$H$80</f>
        <v>7.29483282674772E-2</v>
      </c>
      <c r="F64" s="939">
        <v>92</v>
      </c>
      <c r="G64" s="88">
        <f>ROUNDDOWN(N65,0)</f>
        <v>30</v>
      </c>
      <c r="H64" s="939">
        <v>96</v>
      </c>
      <c r="I64" s="405">
        <f>H64/$H$82</f>
        <v>6.1815840309079204E-2</v>
      </c>
      <c r="J64" s="366">
        <v>74.989999999999995</v>
      </c>
      <c r="K64" s="366">
        <v>7.03</v>
      </c>
      <c r="L64" s="366">
        <v>18.5</v>
      </c>
      <c r="M64" s="366">
        <f>K64+L64</f>
        <v>25.53</v>
      </c>
      <c r="N64" s="366">
        <f>J64+M64</f>
        <v>100.52</v>
      </c>
      <c r="O64" s="366">
        <f>$O$82/$J$82*J64</f>
        <v>0.24337162025329603</v>
      </c>
      <c r="P64" s="366">
        <f>$P$82/$J$82*J64</f>
        <v>5.9820744258260161</v>
      </c>
      <c r="Q64" s="366">
        <f>$Q$82/$J$82*J64</f>
        <v>75.591225250673745</v>
      </c>
      <c r="R64" s="366">
        <f>O64+P64+Q64</f>
        <v>81.816671296753057</v>
      </c>
      <c r="S64" s="366">
        <f>N64+R64</f>
        <v>182.33667129675305</v>
      </c>
      <c r="T64" s="899"/>
      <c r="U64" s="173">
        <f>J64/N64</f>
        <v>0.74602069239952251</v>
      </c>
      <c r="V64" s="939">
        <f>84+8</f>
        <v>92</v>
      </c>
      <c r="W64" s="745">
        <f>V64/$V$82</f>
        <v>6.0446780551905388E-2</v>
      </c>
      <c r="X64" s="1269">
        <f t="shared" ref="X64" si="20">H64-V64</f>
        <v>4</v>
      </c>
      <c r="Y64" s="760">
        <v>52</v>
      </c>
      <c r="AB64" s="2" t="s">
        <v>258</v>
      </c>
      <c r="AC64" s="2" t="s">
        <v>322</v>
      </c>
    </row>
    <row r="65" spans="2:29" ht="12" customHeight="1">
      <c r="B65" s="87"/>
      <c r="C65" s="1121"/>
      <c r="D65" s="938"/>
      <c r="E65" s="938"/>
      <c r="F65" s="936"/>
      <c r="G65" s="87">
        <f>ROUNDDOWN(J64,0)</f>
        <v>74</v>
      </c>
      <c r="H65" s="936"/>
      <c r="I65" s="404">
        <f>H64/$H$80</f>
        <v>7.29483282674772E-2</v>
      </c>
      <c r="J65" s="402">
        <f t="shared" ref="J65:S65" si="21">ROUNDDOWN(J64*0.3025,2)</f>
        <v>22.68</v>
      </c>
      <c r="K65" s="402">
        <f t="shared" si="21"/>
        <v>2.12</v>
      </c>
      <c r="L65" s="402">
        <f t="shared" si="21"/>
        <v>5.59</v>
      </c>
      <c r="M65" s="402">
        <f t="shared" si="21"/>
        <v>7.72</v>
      </c>
      <c r="N65" s="402">
        <f t="shared" si="21"/>
        <v>30.4</v>
      </c>
      <c r="O65" s="402">
        <f t="shared" si="21"/>
        <v>7.0000000000000007E-2</v>
      </c>
      <c r="P65" s="402">
        <f t="shared" si="21"/>
        <v>1.8</v>
      </c>
      <c r="Q65" s="402">
        <f t="shared" si="21"/>
        <v>22.86</v>
      </c>
      <c r="R65" s="402">
        <f t="shared" si="21"/>
        <v>24.74</v>
      </c>
      <c r="S65" s="402">
        <f t="shared" si="21"/>
        <v>55.15</v>
      </c>
      <c r="T65" s="899"/>
      <c r="U65" s="173"/>
      <c r="V65" s="936"/>
      <c r="W65" s="746">
        <f>V64/$V$80</f>
        <v>6.8810770381451003E-2</v>
      </c>
      <c r="X65" s="1268"/>
      <c r="AB65" s="2" t="s">
        <v>312</v>
      </c>
      <c r="AC65" s="2" t="s">
        <v>323</v>
      </c>
    </row>
    <row r="66" spans="2:29" ht="12" customHeight="1">
      <c r="B66" s="88"/>
      <c r="C66" s="1121">
        <f>H54+H66</f>
        <v>234</v>
      </c>
      <c r="D66" s="940"/>
      <c r="E66" s="940">
        <f>H66/$H$80</f>
        <v>0.15881458966565348</v>
      </c>
      <c r="F66" s="939">
        <v>186</v>
      </c>
      <c r="G66" s="88">
        <f>ROUNDDOWN(N67,0)</f>
        <v>34</v>
      </c>
      <c r="H66" s="939">
        <v>209</v>
      </c>
      <c r="I66" s="403">
        <f>H66/$H$82</f>
        <v>0.13457823567289118</v>
      </c>
      <c r="J66" s="366">
        <v>84.99</v>
      </c>
      <c r="K66" s="366">
        <v>8.1999999999999993</v>
      </c>
      <c r="L66" s="366">
        <v>21.5</v>
      </c>
      <c r="M66" s="366">
        <f>K66+L66</f>
        <v>29.7</v>
      </c>
      <c r="N66" s="366">
        <f>J66+M66</f>
        <v>114.69</v>
      </c>
      <c r="O66" s="366">
        <f>$O$82/$J$82*J66</f>
        <v>0.27582549680394225</v>
      </c>
      <c r="P66" s="366">
        <f>$P$82/$J$82*J66</f>
        <v>6.7797907114409002</v>
      </c>
      <c r="Q66" s="366">
        <f>$Q$82/$J$82*J66</f>
        <v>85.671399307304469</v>
      </c>
      <c r="R66" s="366">
        <f>O66+P66+Q66</f>
        <v>92.727015515549311</v>
      </c>
      <c r="S66" s="366">
        <f>N66+R66</f>
        <v>207.41701551554931</v>
      </c>
      <c r="T66" s="899"/>
      <c r="U66" s="173">
        <f>J66/N66</f>
        <v>0.74104106722469265</v>
      </c>
      <c r="V66" s="939">
        <f>67+179+6</f>
        <v>252</v>
      </c>
      <c r="W66" s="745">
        <f>V66/$V$82</f>
        <v>0.16557161629434955</v>
      </c>
      <c r="X66" s="1269">
        <f t="shared" ref="X66" si="22">H66-V66</f>
        <v>-43</v>
      </c>
      <c r="Y66" s="760">
        <v>27</v>
      </c>
      <c r="AB66" s="2" t="s">
        <v>313</v>
      </c>
      <c r="AC66" s="2" t="s">
        <v>324</v>
      </c>
    </row>
    <row r="67" spans="2:29" ht="12" customHeight="1">
      <c r="B67" s="87"/>
      <c r="C67" s="1121"/>
      <c r="D67" s="938"/>
      <c r="E67" s="938"/>
      <c r="F67" s="1418"/>
      <c r="G67" s="392">
        <f>ROUNDDOWN(J66,0)</f>
        <v>84</v>
      </c>
      <c r="H67" s="1418"/>
      <c r="I67" s="406">
        <f>H66/$H$80</f>
        <v>0.15881458966565348</v>
      </c>
      <c r="J67" s="407">
        <f t="shared" ref="J67:S67" si="23">ROUNDDOWN(J66*0.3025,2)</f>
        <v>25.7</v>
      </c>
      <c r="K67" s="407">
        <f t="shared" si="23"/>
        <v>2.48</v>
      </c>
      <c r="L67" s="407">
        <f t="shared" si="23"/>
        <v>6.5</v>
      </c>
      <c r="M67" s="407">
        <f t="shared" si="23"/>
        <v>8.98</v>
      </c>
      <c r="N67" s="407">
        <f t="shared" si="23"/>
        <v>34.69</v>
      </c>
      <c r="O67" s="407">
        <f t="shared" si="23"/>
        <v>0.08</v>
      </c>
      <c r="P67" s="407">
        <f t="shared" si="23"/>
        <v>2.0499999999999998</v>
      </c>
      <c r="Q67" s="407">
        <f t="shared" si="23"/>
        <v>25.91</v>
      </c>
      <c r="R67" s="407">
        <f t="shared" si="23"/>
        <v>28.04</v>
      </c>
      <c r="S67" s="407">
        <f t="shared" si="23"/>
        <v>62.74</v>
      </c>
      <c r="T67" s="899"/>
      <c r="U67" s="173"/>
      <c r="V67" s="1418"/>
      <c r="W67" s="746">
        <f>V66/$V$80</f>
        <v>0.18848167539267016</v>
      </c>
      <c r="X67" s="1268"/>
      <c r="Y67" s="760"/>
    </row>
    <row r="68" spans="2:29" ht="12" customHeight="1">
      <c r="B68" s="88"/>
      <c r="C68" s="1121">
        <f>H68</f>
        <v>324</v>
      </c>
      <c r="D68" s="940"/>
      <c r="E68" s="940">
        <f>C68/$H$82</f>
        <v>0.20862846104314231</v>
      </c>
      <c r="F68" s="939">
        <v>281</v>
      </c>
      <c r="G68" s="88">
        <f>ROUNDDOWN(N69,0)</f>
        <v>40</v>
      </c>
      <c r="H68" s="939">
        <v>324</v>
      </c>
      <c r="I68" s="403">
        <f>H68/$H$82</f>
        <v>0.20862846104314231</v>
      </c>
      <c r="J68" s="366">
        <v>99.99</v>
      </c>
      <c r="K68" s="366">
        <v>8.7200000000000006</v>
      </c>
      <c r="L68" s="366">
        <v>23.8</v>
      </c>
      <c r="M68" s="366">
        <f>K68+L68</f>
        <v>32.520000000000003</v>
      </c>
      <c r="N68" s="366">
        <f>J68+M68</f>
        <v>132.51</v>
      </c>
      <c r="O68" s="366">
        <f>$O$82/$J$82*J68</f>
        <v>0.32450631162991161</v>
      </c>
      <c r="P68" s="366">
        <f>$P$82/$J$82*J68</f>
        <v>7.9763651398632271</v>
      </c>
      <c r="Q68" s="366">
        <f>$Q$82/$J$82*J68</f>
        <v>100.79166039225053</v>
      </c>
      <c r="R68" s="366">
        <f>O68+P68+Q68</f>
        <v>109.09253184374367</v>
      </c>
      <c r="S68" s="366">
        <f>N68+R68</f>
        <v>241.60253184374366</v>
      </c>
      <c r="T68" s="899"/>
      <c r="U68" s="173"/>
      <c r="V68" s="1431">
        <f>200+84</f>
        <v>284</v>
      </c>
      <c r="W68" s="745">
        <f>V68/$V$82</f>
        <v>0.18659658344283836</v>
      </c>
      <c r="X68" s="1269">
        <f t="shared" ref="X68" si="24">H68-V68</f>
        <v>40</v>
      </c>
      <c r="Y68" s="760"/>
    </row>
    <row r="69" spans="2:29" ht="12" customHeight="1">
      <c r="B69" s="272"/>
      <c r="C69" s="1121"/>
      <c r="D69" s="938"/>
      <c r="E69" s="938"/>
      <c r="F69" s="936"/>
      <c r="G69" s="87">
        <f>ROUNDDOWN(J68,0)</f>
        <v>99</v>
      </c>
      <c r="H69" s="936"/>
      <c r="I69" s="404">
        <f>H68/$H$80</f>
        <v>0.24620060790273557</v>
      </c>
      <c r="J69" s="402">
        <f t="shared" ref="J69:S69" si="25">ROUNDDOWN(J68*0.3025,2)</f>
        <v>30.24</v>
      </c>
      <c r="K69" s="402">
        <f t="shared" si="25"/>
        <v>2.63</v>
      </c>
      <c r="L69" s="402">
        <f t="shared" si="25"/>
        <v>7.19</v>
      </c>
      <c r="M69" s="402">
        <f t="shared" si="25"/>
        <v>9.83</v>
      </c>
      <c r="N69" s="402">
        <f t="shared" si="25"/>
        <v>40.08</v>
      </c>
      <c r="O69" s="402">
        <f t="shared" si="25"/>
        <v>0.09</v>
      </c>
      <c r="P69" s="402">
        <f t="shared" si="25"/>
        <v>2.41</v>
      </c>
      <c r="Q69" s="402">
        <f t="shared" si="25"/>
        <v>30.48</v>
      </c>
      <c r="R69" s="402">
        <f t="shared" si="25"/>
        <v>33</v>
      </c>
      <c r="S69" s="402">
        <f t="shared" si="25"/>
        <v>73.08</v>
      </c>
      <c r="T69" s="899"/>
      <c r="U69" s="173"/>
      <c r="V69" s="1432"/>
      <c r="W69" s="746">
        <f>V68/$V$80</f>
        <v>0.21241585639491398</v>
      </c>
      <c r="X69" s="1268"/>
    </row>
    <row r="70" spans="2:29" ht="12" customHeight="1">
      <c r="B70" s="323"/>
      <c r="C70" s="1417">
        <f>H70</f>
        <v>436</v>
      </c>
      <c r="D70" s="305"/>
      <c r="E70" s="940">
        <f>H70/$H$80</f>
        <v>0.33130699088145898</v>
      </c>
      <c r="F70" s="939">
        <v>428</v>
      </c>
      <c r="G70" s="88">
        <f>ROUNDDOWN(N71,0)</f>
        <v>45</v>
      </c>
      <c r="H70" s="939">
        <v>436</v>
      </c>
      <c r="I70" s="403">
        <f>H70/$H$82</f>
        <v>0.28074694140373468</v>
      </c>
      <c r="J70" s="366">
        <v>114.99</v>
      </c>
      <c r="K70" s="366">
        <v>9.1999999999999993</v>
      </c>
      <c r="L70" s="366">
        <v>25.5</v>
      </c>
      <c r="M70" s="366">
        <f>K70+L70</f>
        <v>34.700000000000003</v>
      </c>
      <c r="N70" s="366">
        <f>J70+M70</f>
        <v>149.69</v>
      </c>
      <c r="O70" s="366">
        <f>$O$82/$J$82*J70</f>
        <v>0.37318712645588092</v>
      </c>
      <c r="P70" s="366">
        <f>$P$82/$J$82*J70</f>
        <v>9.1729395682855532</v>
      </c>
      <c r="Q70" s="366">
        <f>$Q$82/$J$82*J70</f>
        <v>115.91192147719661</v>
      </c>
      <c r="R70" s="366">
        <f>O70+P70+Q70</f>
        <v>125.45804817193805</v>
      </c>
      <c r="S70" s="366">
        <f>N70+R70</f>
        <v>275.14804817193806</v>
      </c>
      <c r="T70" s="899"/>
      <c r="U70" s="173">
        <f>J70/N70</f>
        <v>0.76818758768120776</v>
      </c>
      <c r="V70" s="1431">
        <f>385+45</f>
        <v>430</v>
      </c>
      <c r="W70" s="745">
        <f>V70/$V$82</f>
        <v>0.28252299605781866</v>
      </c>
      <c r="X70" s="1269">
        <f t="shared" ref="X70" si="26">H70-V70</f>
        <v>6</v>
      </c>
    </row>
    <row r="71" spans="2:29" ht="12" customHeight="1">
      <c r="B71" s="323"/>
      <c r="C71" s="1417"/>
      <c r="D71" s="305"/>
      <c r="E71" s="938"/>
      <c r="F71" s="936"/>
      <c r="G71" s="87">
        <f>ROUNDDOWN(J70,0)</f>
        <v>114</v>
      </c>
      <c r="H71" s="936"/>
      <c r="I71" s="404">
        <f>H70/$H$80</f>
        <v>0.33130699088145898</v>
      </c>
      <c r="J71" s="402">
        <f t="shared" ref="J71:S71" si="27">ROUNDDOWN(J70*0.3025,2)</f>
        <v>34.78</v>
      </c>
      <c r="K71" s="402">
        <f t="shared" si="27"/>
        <v>2.78</v>
      </c>
      <c r="L71" s="402">
        <f t="shared" si="27"/>
        <v>7.71</v>
      </c>
      <c r="M71" s="402">
        <f t="shared" si="27"/>
        <v>10.49</v>
      </c>
      <c r="N71" s="402">
        <f t="shared" si="27"/>
        <v>45.28</v>
      </c>
      <c r="O71" s="402">
        <f t="shared" si="27"/>
        <v>0.11</v>
      </c>
      <c r="P71" s="402">
        <f t="shared" si="27"/>
        <v>2.77</v>
      </c>
      <c r="Q71" s="402">
        <f t="shared" si="27"/>
        <v>35.06</v>
      </c>
      <c r="R71" s="402">
        <f t="shared" si="27"/>
        <v>37.950000000000003</v>
      </c>
      <c r="S71" s="402">
        <f t="shared" si="27"/>
        <v>83.23</v>
      </c>
      <c r="T71" s="899"/>
      <c r="U71" s="173"/>
      <c r="V71" s="1432"/>
      <c r="W71" s="746">
        <f>V70/$V$80</f>
        <v>0.32161555721765145</v>
      </c>
      <c r="X71" s="1268"/>
    </row>
    <row r="72" spans="2:29" ht="12" customHeight="1">
      <c r="B72" s="323"/>
      <c r="C72" s="1417">
        <f>H72</f>
        <v>148</v>
      </c>
      <c r="D72" s="305"/>
      <c r="E72" s="1084">
        <f>C72/$H$82</f>
        <v>9.5299420476497101E-2</v>
      </c>
      <c r="F72" s="1085">
        <v>157</v>
      </c>
      <c r="G72" s="88">
        <f>ROUNDDOWN(N73,0)</f>
        <v>52</v>
      </c>
      <c r="H72" s="1085">
        <v>148</v>
      </c>
      <c r="I72" s="408">
        <f>H72/$H$82</f>
        <v>9.5299420476497101E-2</v>
      </c>
      <c r="J72" s="366">
        <v>135.99</v>
      </c>
      <c r="K72" s="366">
        <v>10.72</v>
      </c>
      <c r="L72" s="366">
        <v>26.8</v>
      </c>
      <c r="M72" s="366">
        <f>K72+L72</f>
        <v>37.520000000000003</v>
      </c>
      <c r="N72" s="366">
        <f>J72+M72</f>
        <v>173.51000000000002</v>
      </c>
      <c r="O72" s="366">
        <f>$O$82/$J$82*J72</f>
        <v>0.44134026721223807</v>
      </c>
      <c r="P72" s="366">
        <f>$P$82/$J$82*J72</f>
        <v>10.848143768076811</v>
      </c>
      <c r="Q72" s="366">
        <f>$Q$82/$J$82*J72</f>
        <v>137.08028699612115</v>
      </c>
      <c r="R72" s="366">
        <f>O72+P72+Q72</f>
        <v>148.36977103141021</v>
      </c>
      <c r="S72" s="366">
        <f>N72+R72</f>
        <v>321.8797710314102</v>
      </c>
      <c r="T72" s="899"/>
      <c r="U72" s="173"/>
      <c r="V72" s="1433">
        <f>147+10</f>
        <v>157</v>
      </c>
      <c r="W72" s="748">
        <f>V72/$H$82</f>
        <v>0.10109465550547328</v>
      </c>
      <c r="X72" s="1262">
        <f t="shared" ref="X72" si="28">H72-V72</f>
        <v>-9</v>
      </c>
    </row>
    <row r="73" spans="2:29" ht="12" customHeight="1">
      <c r="B73" s="323"/>
      <c r="C73" s="1417"/>
      <c r="D73" s="305"/>
      <c r="E73" s="938"/>
      <c r="F73" s="936"/>
      <c r="G73" s="87">
        <f>ROUNDDOWN(J72,0)</f>
        <v>135</v>
      </c>
      <c r="H73" s="936"/>
      <c r="I73" s="404">
        <f>H72/$H$80</f>
        <v>0.11246200607902736</v>
      </c>
      <c r="J73" s="402">
        <f t="shared" ref="J73:S73" si="29">ROUNDDOWN(J72*0.3025,2)</f>
        <v>41.13</v>
      </c>
      <c r="K73" s="402">
        <f t="shared" si="29"/>
        <v>3.24</v>
      </c>
      <c r="L73" s="402">
        <f t="shared" si="29"/>
        <v>8.1</v>
      </c>
      <c r="M73" s="402">
        <f t="shared" si="29"/>
        <v>11.34</v>
      </c>
      <c r="N73" s="402">
        <f t="shared" si="29"/>
        <v>52.48</v>
      </c>
      <c r="O73" s="402">
        <f t="shared" si="29"/>
        <v>0.13</v>
      </c>
      <c r="P73" s="402">
        <f t="shared" si="29"/>
        <v>3.28</v>
      </c>
      <c r="Q73" s="402">
        <f t="shared" si="29"/>
        <v>41.46</v>
      </c>
      <c r="R73" s="402">
        <f t="shared" si="29"/>
        <v>44.88</v>
      </c>
      <c r="S73" s="402">
        <f t="shared" si="29"/>
        <v>97.36</v>
      </c>
      <c r="T73" s="899"/>
      <c r="U73" s="173"/>
      <c r="V73" s="1432"/>
      <c r="W73" s="746">
        <f>V72/$H$80</f>
        <v>0.11930091185410334</v>
      </c>
      <c r="X73" s="1263"/>
    </row>
    <row r="74" spans="2:29" ht="12" hidden="1" customHeight="1">
      <c r="B74" s="88"/>
      <c r="C74" s="1121"/>
      <c r="D74" s="1084"/>
      <c r="E74" s="1084">
        <f>C74/$H$82</f>
        <v>0</v>
      </c>
      <c r="F74" s="1085"/>
      <c r="G74" s="88">
        <f>ROUNDDOWN(N75,0)</f>
        <v>59</v>
      </c>
      <c r="H74" s="1085"/>
      <c r="I74" s="1297">
        <f>H74/$H$82</f>
        <v>0</v>
      </c>
      <c r="J74" s="409">
        <v>158.97999999999999</v>
      </c>
      <c r="K74" s="409">
        <v>11.28</v>
      </c>
      <c r="L74" s="409">
        <v>25.54</v>
      </c>
      <c r="M74" s="409">
        <f>K74+L74</f>
        <v>36.82</v>
      </c>
      <c r="N74" s="409">
        <f>J74+M74</f>
        <v>195.79999999999998</v>
      </c>
      <c r="O74" s="409">
        <f>$O$82/$J$82*J74</f>
        <v>0.51595172940217371</v>
      </c>
      <c r="P74" s="409">
        <f>$P$82/$J$82*J74</f>
        <v>12.682093508705428</v>
      </c>
      <c r="Q74" s="409">
        <f>$Q$82/$J$82*J74</f>
        <v>160.25460715231515</v>
      </c>
      <c r="R74" s="409">
        <f>O74+P74+Q74</f>
        <v>173.45265239042274</v>
      </c>
      <c r="S74" s="409">
        <f>N74+R74</f>
        <v>369.25265239042272</v>
      </c>
      <c r="T74" s="899"/>
      <c r="U74" s="173"/>
      <c r="V74" s="1250"/>
      <c r="W74" s="1264">
        <f>V74/$H$82</f>
        <v>0</v>
      </c>
      <c r="X74" s="1262">
        <f t="shared" ref="X74" si="30">H74-V74</f>
        <v>0</v>
      </c>
    </row>
    <row r="75" spans="2:29" ht="12" hidden="1" customHeight="1">
      <c r="B75" s="87"/>
      <c r="C75" s="1121"/>
      <c r="D75" s="938"/>
      <c r="E75" s="938"/>
      <c r="F75" s="936"/>
      <c r="G75" s="87">
        <f>ROUNDDOWN(J74,0)</f>
        <v>158</v>
      </c>
      <c r="H75" s="936"/>
      <c r="I75" s="1298"/>
      <c r="J75" s="402">
        <f t="shared" ref="J75:S75" si="31">ROUNDDOWN(J74*0.3025,2)</f>
        <v>48.09</v>
      </c>
      <c r="K75" s="402">
        <f t="shared" si="31"/>
        <v>3.41</v>
      </c>
      <c r="L75" s="402">
        <f t="shared" si="31"/>
        <v>7.72</v>
      </c>
      <c r="M75" s="402">
        <f t="shared" si="31"/>
        <v>11.13</v>
      </c>
      <c r="N75" s="402">
        <f t="shared" si="31"/>
        <v>59.22</v>
      </c>
      <c r="O75" s="402">
        <f t="shared" si="31"/>
        <v>0.15</v>
      </c>
      <c r="P75" s="402">
        <f t="shared" si="31"/>
        <v>3.83</v>
      </c>
      <c r="Q75" s="402">
        <f t="shared" si="31"/>
        <v>48.47</v>
      </c>
      <c r="R75" s="402">
        <f t="shared" si="31"/>
        <v>52.46</v>
      </c>
      <c r="S75" s="402">
        <f t="shared" si="31"/>
        <v>111.69</v>
      </c>
      <c r="T75" s="899"/>
      <c r="U75" s="173"/>
      <c r="V75" s="1251"/>
      <c r="W75" s="1265"/>
      <c r="X75" s="1263"/>
    </row>
    <row r="76" spans="2:29" ht="12" customHeight="1">
      <c r="B76" s="324"/>
      <c r="C76" s="1417">
        <f>H76</f>
        <v>47</v>
      </c>
      <c r="D76" s="305"/>
      <c r="E76" s="940" t="e">
        <f>C76/$H$79</f>
        <v>#DIV/0!</v>
      </c>
      <c r="F76" s="939">
        <v>59</v>
      </c>
      <c r="G76" s="88">
        <f>ROUNDDOWN(N77,0)</f>
        <v>62</v>
      </c>
      <c r="H76" s="939">
        <v>47</v>
      </c>
      <c r="I76" s="410">
        <f>H76/$H$82</f>
        <v>3.0264005151320026E-2</v>
      </c>
      <c r="J76" s="409">
        <v>165.89</v>
      </c>
      <c r="K76" s="409">
        <v>13.45</v>
      </c>
      <c r="L76" s="409">
        <v>27.2</v>
      </c>
      <c r="M76" s="409">
        <f>K76+L76</f>
        <v>40.65</v>
      </c>
      <c r="N76" s="409">
        <f>J76+M76</f>
        <v>206.54</v>
      </c>
      <c r="O76" s="409">
        <f>$O$79/$J$79*J76</f>
        <v>0.53280370300396751</v>
      </c>
      <c r="P76" s="409">
        <f>$P$79/$J$79*J76</f>
        <v>13.226068392216133</v>
      </c>
      <c r="Q76" s="409">
        <f>$Q$79/$J$79*J76</f>
        <v>167.23767995465707</v>
      </c>
      <c r="R76" s="409">
        <f>O76+P76+Q76</f>
        <v>180.99655204987718</v>
      </c>
      <c r="S76" s="409">
        <f>N76+R76</f>
        <v>387.53655204987717</v>
      </c>
      <c r="T76" s="899"/>
      <c r="U76" s="173"/>
      <c r="V76" s="939">
        <f>58+1</f>
        <v>59</v>
      </c>
      <c r="W76" s="745">
        <f>V76/$V$82</f>
        <v>3.8764783180026283E-2</v>
      </c>
      <c r="X76" s="1262">
        <f t="shared" ref="X76" si="32">H76-V76</f>
        <v>-12</v>
      </c>
    </row>
    <row r="77" spans="2:29" ht="12" customHeight="1">
      <c r="B77" s="324"/>
      <c r="C77" s="1417"/>
      <c r="D77" s="305"/>
      <c r="E77" s="938"/>
      <c r="F77" s="936"/>
      <c r="G77" s="87">
        <f>ROUNDDOWN(J76,0)</f>
        <v>165</v>
      </c>
      <c r="H77" s="936"/>
      <c r="I77" s="404">
        <f>H76/$H$80</f>
        <v>3.5714285714285712E-2</v>
      </c>
      <c r="J77" s="402">
        <f t="shared" ref="J77:S77" si="33">ROUNDDOWN(J76*0.3025,2)</f>
        <v>50.18</v>
      </c>
      <c r="K77" s="402">
        <f t="shared" si="33"/>
        <v>4.0599999999999996</v>
      </c>
      <c r="L77" s="402">
        <f t="shared" si="33"/>
        <v>8.2200000000000006</v>
      </c>
      <c r="M77" s="402">
        <f t="shared" si="33"/>
        <v>12.29</v>
      </c>
      <c r="N77" s="402">
        <f t="shared" si="33"/>
        <v>62.47</v>
      </c>
      <c r="O77" s="402">
        <f t="shared" si="33"/>
        <v>0.16</v>
      </c>
      <c r="P77" s="402">
        <f t="shared" si="33"/>
        <v>4</v>
      </c>
      <c r="Q77" s="402">
        <f t="shared" si="33"/>
        <v>50.58</v>
      </c>
      <c r="R77" s="402">
        <f t="shared" si="33"/>
        <v>54.75</v>
      </c>
      <c r="S77" s="402">
        <f t="shared" si="33"/>
        <v>117.22</v>
      </c>
      <c r="T77" s="899"/>
      <c r="U77" s="173"/>
      <c r="V77" s="936"/>
      <c r="W77" s="746">
        <f>V76/$V$80</f>
        <v>4.4128646222887064E-2</v>
      </c>
      <c r="X77" s="1263"/>
    </row>
    <row r="78" spans="2:29" ht="12" customHeight="1">
      <c r="B78" s="88"/>
      <c r="C78" s="1121">
        <f>H78</f>
        <v>3</v>
      </c>
      <c r="D78" s="940"/>
      <c r="E78" s="940">
        <f>C78/$H$82</f>
        <v>1.9317450096587251E-3</v>
      </c>
      <c r="F78" s="939">
        <v>4</v>
      </c>
      <c r="G78" s="88">
        <f>ROUNDDOWN(N79,0)</f>
        <v>66</v>
      </c>
      <c r="H78" s="939">
        <v>3</v>
      </c>
      <c r="I78" s="410">
        <f>H78/$H$82</f>
        <v>1.9317450096587251E-3</v>
      </c>
      <c r="J78" s="366">
        <v>175</v>
      </c>
      <c r="K78" s="366">
        <v>15.3</v>
      </c>
      <c r="L78" s="366">
        <v>30.85</v>
      </c>
      <c r="M78" s="366">
        <f>K78+L78</f>
        <v>46.150000000000006</v>
      </c>
      <c r="N78" s="366">
        <f>J78+M78</f>
        <v>221.15</v>
      </c>
      <c r="O78" s="366">
        <f>$O$82/$J$82*J78</f>
        <v>0.56794283963630898</v>
      </c>
      <c r="P78" s="366">
        <f>$P$82/$J$82*J78</f>
        <v>13.960034998260474</v>
      </c>
      <c r="Q78" s="366">
        <f>$Q$82/$J$82*J78</f>
        <v>176.40304599103754</v>
      </c>
      <c r="R78" s="366">
        <f>O78+P78+Q78</f>
        <v>190.93102382893431</v>
      </c>
      <c r="S78" s="366">
        <f>N78+R78</f>
        <v>412.08102382893435</v>
      </c>
      <c r="T78" s="899"/>
      <c r="U78" s="173"/>
      <c r="V78" s="1431">
        <v>4</v>
      </c>
      <c r="W78" s="745">
        <f>V78/$V$82</f>
        <v>2.6281208935611039E-3</v>
      </c>
      <c r="X78" s="1269">
        <f t="shared" ref="X78" si="34">H78-V78</f>
        <v>-1</v>
      </c>
      <c r="Z78" s="173">
        <f>N56+N80</f>
        <v>202750.52</v>
      </c>
    </row>
    <row r="79" spans="2:29" ht="12" customHeight="1">
      <c r="B79" s="87"/>
      <c r="C79" s="1121"/>
      <c r="D79" s="938"/>
      <c r="E79" s="938"/>
      <c r="F79" s="936"/>
      <c r="G79" s="87">
        <f>ROUNDDOWN(J78,0)</f>
        <v>175</v>
      </c>
      <c r="H79" s="936"/>
      <c r="I79" s="404">
        <f>H78/$H$80</f>
        <v>2.2796352583586625E-3</v>
      </c>
      <c r="J79" s="402">
        <f t="shared" ref="J79:S79" si="35">ROUNDDOWN(J78*0.3025,2)</f>
        <v>52.93</v>
      </c>
      <c r="K79" s="402">
        <f t="shared" si="35"/>
        <v>4.62</v>
      </c>
      <c r="L79" s="402">
        <f t="shared" si="35"/>
        <v>9.33</v>
      </c>
      <c r="M79" s="402">
        <f t="shared" si="35"/>
        <v>13.96</v>
      </c>
      <c r="N79" s="402">
        <f t="shared" si="35"/>
        <v>66.89</v>
      </c>
      <c r="O79" s="402">
        <f t="shared" si="35"/>
        <v>0.17</v>
      </c>
      <c r="P79" s="402">
        <f t="shared" si="35"/>
        <v>4.22</v>
      </c>
      <c r="Q79" s="402">
        <f t="shared" si="35"/>
        <v>53.36</v>
      </c>
      <c r="R79" s="402">
        <f t="shared" si="35"/>
        <v>57.75</v>
      </c>
      <c r="S79" s="402">
        <f t="shared" si="35"/>
        <v>124.65</v>
      </c>
      <c r="T79" s="899"/>
      <c r="U79" s="173"/>
      <c r="V79" s="1432"/>
      <c r="W79" s="746">
        <f>V78/$V$80</f>
        <v>2.9917726252804786E-3</v>
      </c>
      <c r="X79" s="1268"/>
      <c r="Y79" s="144"/>
      <c r="Z79" s="144">
        <f>R56+R80</f>
        <v>168090.22803480056</v>
      </c>
    </row>
    <row r="80" spans="2:29" ht="12" customHeight="1">
      <c r="B80" s="130"/>
      <c r="C80" s="130"/>
      <c r="D80" s="1131"/>
      <c r="E80" s="1131">
        <f>E60+E62+E64+E66+E70</f>
        <v>0.60334346504559266</v>
      </c>
      <c r="F80" s="130">
        <f>H56/H80*100</f>
        <v>18.009118541033434</v>
      </c>
      <c r="G80" s="1202" t="s">
        <v>82</v>
      </c>
      <c r="H80" s="1253">
        <f>SUM(H58:H79)</f>
        <v>1316</v>
      </c>
      <c r="I80" s="411">
        <f>I60+I62+I64+I66+I70+I68+I72+I78+I76</f>
        <v>0.84739214423696074</v>
      </c>
      <c r="J80" s="398">
        <f>SUMPRODUCT(H58:H79,J58:J79)</f>
        <v>139122.16999999998</v>
      </c>
      <c r="K80" s="398">
        <f>SUMPRODUCT(H58:H79,K58:K79)</f>
        <v>11813.069999999998</v>
      </c>
      <c r="L80" s="398">
        <f>SUMPRODUCT(H58:H79,L58:L79)</f>
        <v>31310.550000000003</v>
      </c>
      <c r="M80" s="398">
        <f>K80+L80</f>
        <v>43123.62</v>
      </c>
      <c r="N80" s="398">
        <f>J80+M80</f>
        <v>182245.78999999998</v>
      </c>
      <c r="O80" s="398">
        <f>SUMPRODUCT(H58:H79,O58:O79)</f>
        <v>451.24341127435082</v>
      </c>
      <c r="P80" s="398">
        <f>SUMPRODUCT(H58:H79,P58:P79)</f>
        <v>11097.661457625336</v>
      </c>
      <c r="Q80" s="398">
        <f>SUMPRODUCT(H58:H79,Q58:Q79)</f>
        <v>140238.39948248971</v>
      </c>
      <c r="R80" s="398">
        <f>O80+P80+Q80</f>
        <v>151787.30435138941</v>
      </c>
      <c r="S80" s="398">
        <f>N80+R80</f>
        <v>334033.09435138939</v>
      </c>
      <c r="T80" s="1220"/>
      <c r="U80" s="130">
        <f>V56/V80*100</f>
        <v>13.836948391922213</v>
      </c>
      <c r="V80" s="1270">
        <f>SUM(V62:V79)</f>
        <v>1337</v>
      </c>
      <c r="W80" s="749">
        <f>W60+W62+W64+W66+W70+W68+W72+W78</f>
        <v>0.83762553592597255</v>
      </c>
      <c r="X80" s="1270">
        <f t="shared" ref="X80" si="36">H80-V80</f>
        <v>-21</v>
      </c>
      <c r="Y80" s="1253">
        <f>SUM(Y58:Y79)</f>
        <v>79</v>
      </c>
      <c r="Z80" s="173">
        <f>S56+S80</f>
        <v>370840.74803480052</v>
      </c>
    </row>
    <row r="81" spans="3:46" ht="12" customHeight="1">
      <c r="D81" s="1132"/>
      <c r="E81" s="1132"/>
      <c r="F81" s="756">
        <f>H80-V80</f>
        <v>-21</v>
      </c>
      <c r="G81" s="1203"/>
      <c r="H81" s="1254"/>
      <c r="I81" s="412">
        <f>H80/$H$80</f>
        <v>1</v>
      </c>
      <c r="J81" s="400">
        <f t="shared" ref="J81:S81" si="37">ROUNDDOWN(J80*0.3025,2)</f>
        <v>42084.45</v>
      </c>
      <c r="K81" s="400">
        <f t="shared" si="37"/>
        <v>3573.45</v>
      </c>
      <c r="L81" s="400">
        <f t="shared" si="37"/>
        <v>9471.44</v>
      </c>
      <c r="M81" s="400">
        <f t="shared" si="37"/>
        <v>13044.89</v>
      </c>
      <c r="N81" s="400">
        <f t="shared" si="37"/>
        <v>55129.35</v>
      </c>
      <c r="O81" s="400">
        <f t="shared" si="37"/>
        <v>136.5</v>
      </c>
      <c r="P81" s="400">
        <f t="shared" si="37"/>
        <v>3357.04</v>
      </c>
      <c r="Q81" s="400">
        <f t="shared" si="37"/>
        <v>42422.11</v>
      </c>
      <c r="R81" s="400">
        <f t="shared" si="37"/>
        <v>45915.65</v>
      </c>
      <c r="S81" s="400">
        <f t="shared" si="37"/>
        <v>101045.01</v>
      </c>
      <c r="T81" s="1207"/>
      <c r="V81" s="1271"/>
      <c r="W81" s="750">
        <f>V80/$V$80</f>
        <v>1</v>
      </c>
      <c r="X81" s="1271"/>
      <c r="Y81" s="1254"/>
    </row>
    <row r="82" spans="3:46" ht="17.25" customHeight="1">
      <c r="C82" s="1212"/>
      <c r="D82" s="940"/>
      <c r="F82" s="756">
        <f>H82-V82</f>
        <v>31</v>
      </c>
      <c r="G82" s="1213" t="s">
        <v>69</v>
      </c>
      <c r="H82" s="1255">
        <f>H56+H80</f>
        <v>1553</v>
      </c>
      <c r="I82" s="1217">
        <f>I56+I80</f>
        <v>0.98003863490019327</v>
      </c>
      <c r="J82" s="368">
        <f>J56+J80</f>
        <v>154064.79999999999</v>
      </c>
      <c r="K82" s="368">
        <f>K56+K80</f>
        <v>13319.669999999998</v>
      </c>
      <c r="L82" s="368">
        <f>L56+L80</f>
        <v>35366.050000000003</v>
      </c>
      <c r="M82" s="368">
        <f>K82+L82</f>
        <v>48685.72</v>
      </c>
      <c r="N82" s="368">
        <f>J82+M82</f>
        <v>202750.52</v>
      </c>
      <c r="O82" s="368">
        <v>500</v>
      </c>
      <c r="P82" s="368">
        <f>R6+R7+R8+R9+R10+R11+R12+R15</f>
        <v>12290</v>
      </c>
      <c r="Q82" s="368">
        <f>(R19*V18)</f>
        <v>155300</v>
      </c>
      <c r="R82" s="368">
        <f>O82+P82+Q82</f>
        <v>168090</v>
      </c>
      <c r="S82" s="368">
        <f>N82+R82</f>
        <v>370840.52</v>
      </c>
      <c r="T82" s="358"/>
      <c r="V82" s="1258">
        <f>V56+V80</f>
        <v>1522</v>
      </c>
      <c r="W82" s="1260">
        <f>W56+W80</f>
        <v>0.95917612725317358</v>
      </c>
      <c r="X82" s="1258">
        <f t="shared" ref="X82" si="38">H82-V82</f>
        <v>31</v>
      </c>
      <c r="Y82" s="1255">
        <f>Y56+Y80</f>
        <v>88</v>
      </c>
    </row>
    <row r="83" spans="3:46" ht="17.25" customHeight="1" thickBot="1">
      <c r="C83" s="1076"/>
      <c r="D83" s="938"/>
      <c r="E83" s="11">
        <f>H66+H70+H72+H78</f>
        <v>796</v>
      </c>
      <c r="F83" s="77"/>
      <c r="G83" s="1214"/>
      <c r="H83" s="1256"/>
      <c r="I83" s="1218"/>
      <c r="J83" s="413">
        <f t="shared" ref="J83:S83" si="39">ROUNDDOWN(J82*0.3025,2)</f>
        <v>46604.6</v>
      </c>
      <c r="K83" s="413">
        <f t="shared" si="39"/>
        <v>4029.2</v>
      </c>
      <c r="L83" s="413">
        <f t="shared" si="39"/>
        <v>10698.23</v>
      </c>
      <c r="M83" s="413">
        <f t="shared" si="39"/>
        <v>14727.43</v>
      </c>
      <c r="N83" s="413">
        <f t="shared" si="39"/>
        <v>61332.03</v>
      </c>
      <c r="O83" s="413">
        <f t="shared" si="39"/>
        <v>151.25</v>
      </c>
      <c r="P83" s="413">
        <f t="shared" si="39"/>
        <v>3717.72</v>
      </c>
      <c r="Q83" s="413">
        <f t="shared" si="39"/>
        <v>46978.25</v>
      </c>
      <c r="R83" s="413">
        <f t="shared" si="39"/>
        <v>50847.22</v>
      </c>
      <c r="S83" s="413">
        <f t="shared" si="39"/>
        <v>112179.25</v>
      </c>
      <c r="T83" s="360"/>
      <c r="V83" s="1259"/>
      <c r="W83" s="1261"/>
      <c r="X83" s="1259"/>
      <c r="Y83" s="1256"/>
    </row>
    <row r="84" spans="3:46" ht="6" customHeight="1">
      <c r="F84" s="77"/>
      <c r="G84" s="1046"/>
      <c r="H84" s="1047"/>
      <c r="I84" s="1047"/>
      <c r="J84" s="1047"/>
      <c r="K84" s="1047"/>
      <c r="L84" s="1047"/>
      <c r="M84" s="1047"/>
      <c r="N84" s="1047"/>
      <c r="O84" s="1047"/>
      <c r="P84" s="1047"/>
      <c r="Q84" s="1047"/>
      <c r="R84" s="1047"/>
      <c r="S84" s="1047"/>
      <c r="T84" s="1048"/>
    </row>
    <row r="85" spans="3:46" ht="18" customHeight="1">
      <c r="D85" s="321"/>
      <c r="E85" s="830">
        <f>G62</f>
        <v>24</v>
      </c>
      <c r="F85" s="756">
        <f>H42+H50+H62</f>
        <v>261</v>
      </c>
      <c r="G85" s="951" t="s">
        <v>87</v>
      </c>
      <c r="H85" s="951"/>
      <c r="I85" s="951"/>
      <c r="J85" s="951"/>
      <c r="K85" s="951"/>
      <c r="L85" s="951"/>
      <c r="M85" s="951"/>
      <c r="N85" s="951"/>
      <c r="O85" s="951"/>
      <c r="P85" s="951"/>
      <c r="Q85" s="951"/>
      <c r="R85" s="951"/>
      <c r="S85" s="951"/>
      <c r="T85" s="952"/>
    </row>
    <row r="86" spans="3:46" s="6" customFormat="1" ht="14.1" customHeight="1">
      <c r="E86" s="830">
        <f>G64</f>
        <v>30</v>
      </c>
      <c r="F86" s="831">
        <f>H64</f>
        <v>96</v>
      </c>
      <c r="G86" s="984" t="s">
        <v>16</v>
      </c>
      <c r="H86" s="985"/>
      <c r="I86" s="986" t="s">
        <v>7</v>
      </c>
      <c r="J86" s="987"/>
      <c r="K86" s="986" t="s">
        <v>83</v>
      </c>
      <c r="L86" s="987"/>
      <c r="M86" s="986" t="s">
        <v>22</v>
      </c>
      <c r="N86" s="987"/>
      <c r="O86" s="85" t="s">
        <v>218</v>
      </c>
      <c r="P86" s="85" t="s">
        <v>32</v>
      </c>
      <c r="Q86" s="1044" t="s">
        <v>73</v>
      </c>
      <c r="R86" s="1045"/>
      <c r="S86" s="1051" t="s">
        <v>74</v>
      </c>
      <c r="T86" s="1052"/>
    </row>
    <row r="87" spans="3:46" s="6" customFormat="1" ht="14.1" hidden="1" customHeight="1">
      <c r="E87" s="830">
        <f t="shared" ref="E87:E92" si="40">G64</f>
        <v>30</v>
      </c>
      <c r="F87" s="79"/>
      <c r="G87" s="1032" t="s">
        <v>50</v>
      </c>
      <c r="H87" s="1033"/>
      <c r="I87" s="1049">
        <f>M87*0.7</f>
        <v>0</v>
      </c>
      <c r="J87" s="1050"/>
      <c r="K87" s="1049">
        <f>M87*0.3</f>
        <v>0</v>
      </c>
      <c r="L87" s="1050"/>
      <c r="M87" s="1049">
        <v>0</v>
      </c>
      <c r="N87" s="1050"/>
      <c r="O87" s="58">
        <f>M87*0.15</f>
        <v>0</v>
      </c>
      <c r="P87" s="59" t="e">
        <f>#REF!*42</f>
        <v>#REF!</v>
      </c>
      <c r="Q87" s="988" t="e">
        <f>SUM(M87:P87)</f>
        <v>#REF!</v>
      </c>
      <c r="R87" s="989"/>
      <c r="S87" s="990"/>
      <c r="T87" s="991"/>
    </row>
    <row r="88" spans="3:46" s="6" customFormat="1" ht="14.1" hidden="1" customHeight="1">
      <c r="E88" s="830">
        <f t="shared" si="40"/>
        <v>74</v>
      </c>
      <c r="F88" s="79"/>
      <c r="G88" s="1034"/>
      <c r="H88" s="1035"/>
      <c r="I88" s="992">
        <f t="shared" ref="I88:I90" si="41">I87*0.3025</f>
        <v>0</v>
      </c>
      <c r="J88" s="993"/>
      <c r="K88" s="992">
        <f>K87*0.3025</f>
        <v>0</v>
      </c>
      <c r="L88" s="993"/>
      <c r="M88" s="1038">
        <f>M87*0.3025</f>
        <v>0</v>
      </c>
      <c r="N88" s="1039"/>
      <c r="O88" s="9">
        <f t="shared" ref="O88:O94" si="42">O87*0.3025</f>
        <v>0</v>
      </c>
      <c r="P88" s="60" t="e">
        <f>P87*0.3025</f>
        <v>#REF!</v>
      </c>
      <c r="Q88" s="1040" t="e">
        <f>Q87*0.3025</f>
        <v>#REF!</v>
      </c>
      <c r="R88" s="1041"/>
      <c r="S88" s="1042"/>
      <c r="T88" s="1043"/>
    </row>
    <row r="89" spans="3:46" s="6" customFormat="1" ht="14.1" customHeight="1">
      <c r="E89" s="830">
        <f>G66</f>
        <v>34</v>
      </c>
      <c r="F89" s="831">
        <f>H44+H54+H66</f>
        <v>238</v>
      </c>
      <c r="G89" s="996" t="s">
        <v>38</v>
      </c>
      <c r="H89" s="1001" t="s">
        <v>45</v>
      </c>
      <c r="I89" s="1057">
        <f>M89*0.7</f>
        <v>2660</v>
      </c>
      <c r="J89" s="1000"/>
      <c r="K89" s="999">
        <f>M89*0.3</f>
        <v>1140</v>
      </c>
      <c r="L89" s="1000"/>
      <c r="M89" s="1058">
        <v>3800</v>
      </c>
      <c r="N89" s="1059"/>
      <c r="O89" s="91">
        <f>$O$93*I89/$I$93</f>
        <v>300</v>
      </c>
      <c r="P89" s="91">
        <f>$P$93*I89/$I$93</f>
        <v>1480</v>
      </c>
      <c r="Q89" s="1017">
        <f>SUM(M89:P89)</f>
        <v>5580</v>
      </c>
      <c r="R89" s="1018"/>
      <c r="S89" s="1019"/>
      <c r="T89" s="1020"/>
      <c r="U89" s="7"/>
      <c r="V89" s="7">
        <f>I89/I93*Q93</f>
        <v>5580</v>
      </c>
      <c r="W89" s="7"/>
      <c r="X89" s="7"/>
      <c r="Y89" s="7"/>
      <c r="Z89" s="7"/>
      <c r="AA89" s="8"/>
    </row>
    <row r="90" spans="3:46" s="6" customFormat="1" ht="14.1" customHeight="1">
      <c r="E90" s="830">
        <f>G68</f>
        <v>40</v>
      </c>
      <c r="F90" s="831">
        <f>H68</f>
        <v>324</v>
      </c>
      <c r="G90" s="998"/>
      <c r="H90" s="1078"/>
      <c r="I90" s="1062">
        <f t="shared" si="41"/>
        <v>804.65</v>
      </c>
      <c r="J90" s="1063"/>
      <c r="K90" s="1064">
        <f>K89*0.3025</f>
        <v>344.84999999999997</v>
      </c>
      <c r="L90" s="1063"/>
      <c r="M90" s="1065">
        <f>M89*0.3025</f>
        <v>1149.5</v>
      </c>
      <c r="N90" s="1066"/>
      <c r="O90" s="98">
        <f>O89*0.3025</f>
        <v>90.75</v>
      </c>
      <c r="P90" s="98">
        <f>P89*0.3025</f>
        <v>447.7</v>
      </c>
      <c r="Q90" s="1065">
        <f>Q89*0.3025</f>
        <v>1687.95</v>
      </c>
      <c r="R90" s="1066"/>
      <c r="S90" s="1067"/>
      <c r="T90" s="1068"/>
      <c r="U90" s="7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</row>
    <row r="91" spans="3:46" s="6" customFormat="1" ht="14.1" hidden="1" customHeight="1">
      <c r="E91" s="830">
        <f t="shared" si="40"/>
        <v>40</v>
      </c>
      <c r="F91" s="79"/>
      <c r="G91" s="997" t="s">
        <v>457</v>
      </c>
      <c r="H91" s="1077" t="s">
        <v>45</v>
      </c>
      <c r="I91" s="1057">
        <f>M91*0.7</f>
        <v>0</v>
      </c>
      <c r="J91" s="1000"/>
      <c r="K91" s="999">
        <f>M91*0.3</f>
        <v>0</v>
      </c>
      <c r="L91" s="1000"/>
      <c r="M91" s="1058">
        <v>0</v>
      </c>
      <c r="N91" s="1059"/>
      <c r="O91" s="97">
        <f>$O$93*I91/$I$93</f>
        <v>0</v>
      </c>
      <c r="P91" s="97">
        <f>$P$93*I91/$I$93</f>
        <v>0</v>
      </c>
      <c r="Q91" s="1058">
        <f>SUM(M91:P91)</f>
        <v>0</v>
      </c>
      <c r="R91" s="1059"/>
      <c r="S91" s="1060"/>
      <c r="T91" s="1061"/>
      <c r="U91"/>
      <c r="V91" s="7">
        <f>I91/I93*Q93</f>
        <v>0</v>
      </c>
      <c r="W91" s="7"/>
      <c r="X91" s="7"/>
      <c r="Y91" s="7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</row>
    <row r="92" spans="3:46" ht="14.1" hidden="1" customHeight="1">
      <c r="E92" s="830">
        <f t="shared" si="40"/>
        <v>99</v>
      </c>
      <c r="F92" s="77"/>
      <c r="G92" s="998"/>
      <c r="H92" s="1078"/>
      <c r="I92" s="1062">
        <f t="shared" ref="I92" si="43">I91*0.3025</f>
        <v>0</v>
      </c>
      <c r="J92" s="1063"/>
      <c r="K92" s="1064">
        <f>K91*0.3025</f>
        <v>0</v>
      </c>
      <c r="L92" s="1063"/>
      <c r="M92" s="1065">
        <f>M91*0.3025</f>
        <v>0</v>
      </c>
      <c r="N92" s="1066"/>
      <c r="O92" s="94">
        <f>O91*0.3025</f>
        <v>0</v>
      </c>
      <c r="P92" s="98">
        <f>P91*0.3025</f>
        <v>0</v>
      </c>
      <c r="Q92" s="1065">
        <f>Q91*0.3025</f>
        <v>0</v>
      </c>
      <c r="R92" s="1066"/>
      <c r="S92" s="1067"/>
      <c r="T92" s="1068"/>
      <c r="U92"/>
      <c r="AT92" s="6"/>
    </row>
    <row r="93" spans="3:46" ht="14.1" customHeight="1">
      <c r="E93" s="830">
        <f>G70</f>
        <v>45</v>
      </c>
      <c r="F93" s="756">
        <f>H70</f>
        <v>436</v>
      </c>
      <c r="G93" s="1225" t="s">
        <v>69</v>
      </c>
      <c r="H93" s="1226"/>
      <c r="I93" s="1229">
        <f>M93*0.7</f>
        <v>2660</v>
      </c>
      <c r="J93" s="1230"/>
      <c r="K93" s="1231">
        <f>M93*0.3</f>
        <v>1140</v>
      </c>
      <c r="L93" s="1230"/>
      <c r="M93" s="1231">
        <f>M89+M91</f>
        <v>3800</v>
      </c>
      <c r="N93" s="1230"/>
      <c r="O93" s="293">
        <v>300</v>
      </c>
      <c r="P93" s="293">
        <f>R28*V18</f>
        <v>1480</v>
      </c>
      <c r="Q93" s="1232">
        <f>SUM(M93:P93)</f>
        <v>5580</v>
      </c>
      <c r="R93" s="1233"/>
      <c r="S93" s="1234"/>
      <c r="T93" s="1235"/>
      <c r="U93" s="6"/>
      <c r="AT93" s="6"/>
    </row>
    <row r="94" spans="3:46" ht="14.1" customHeight="1">
      <c r="E94" s="830">
        <f>G72</f>
        <v>52</v>
      </c>
      <c r="F94" s="756">
        <f>H72</f>
        <v>148</v>
      </c>
      <c r="G94" s="1227"/>
      <c r="H94" s="1228"/>
      <c r="I94" s="1236">
        <f t="shared" ref="I94" si="44">I93*0.3025</f>
        <v>804.65</v>
      </c>
      <c r="J94" s="1237"/>
      <c r="K94" s="1238">
        <f>K93*0.3025</f>
        <v>344.84999999999997</v>
      </c>
      <c r="L94" s="1237"/>
      <c r="M94" s="1221">
        <f>M93*0.3025</f>
        <v>1149.5</v>
      </c>
      <c r="N94" s="1222"/>
      <c r="O94" s="294">
        <f t="shared" si="42"/>
        <v>90.75</v>
      </c>
      <c r="P94" s="295">
        <f>P93*0.3025</f>
        <v>447.7</v>
      </c>
      <c r="Q94" s="1221">
        <f>Q93*0.3025</f>
        <v>1687.95</v>
      </c>
      <c r="R94" s="1222"/>
      <c r="S94" s="1223"/>
      <c r="T94" s="1224"/>
      <c r="U94" s="7"/>
      <c r="AT94" s="6"/>
    </row>
    <row r="95" spans="3:46" s="781" customFormat="1" ht="14.1" customHeight="1">
      <c r="E95" s="830">
        <f>G76</f>
        <v>62</v>
      </c>
      <c r="F95" s="832">
        <f>H76</f>
        <v>47</v>
      </c>
      <c r="G95" s="782"/>
      <c r="H95" s="782"/>
      <c r="I95" s="783"/>
      <c r="J95" s="783"/>
      <c r="K95" s="783"/>
      <c r="L95" s="783"/>
      <c r="M95" s="784"/>
      <c r="N95" s="784"/>
      <c r="O95" s="785"/>
      <c r="P95" s="784"/>
      <c r="Q95" s="784"/>
      <c r="R95" s="784"/>
      <c r="S95" s="786"/>
      <c r="T95" s="786"/>
      <c r="U95" s="787"/>
      <c r="AQ95" s="788"/>
    </row>
    <row r="96" spans="3:46" ht="18" customHeight="1">
      <c r="E96" s="830">
        <f>G78</f>
        <v>66</v>
      </c>
      <c r="F96" s="11">
        <f>H78</f>
        <v>3</v>
      </c>
      <c r="G96" s="951" t="s">
        <v>476</v>
      </c>
      <c r="H96" s="951"/>
      <c r="I96" s="951"/>
      <c r="J96" s="951"/>
      <c r="K96" s="951"/>
      <c r="L96" s="951"/>
      <c r="M96" s="951"/>
      <c r="N96" s="951"/>
      <c r="O96" s="951"/>
      <c r="P96" s="951"/>
      <c r="Q96" s="951"/>
      <c r="R96" s="951"/>
      <c r="S96" s="951"/>
      <c r="T96" s="952"/>
      <c r="U96" s="7"/>
      <c r="AQ96" s="6"/>
    </row>
    <row r="97" spans="5:46" ht="14.1" customHeight="1">
      <c r="E97" s="830"/>
      <c r="G97" s="984" t="s">
        <v>16</v>
      </c>
      <c r="H97" s="985"/>
      <c r="I97" s="986" t="s">
        <v>7</v>
      </c>
      <c r="J97" s="987"/>
      <c r="K97" s="986" t="s">
        <v>83</v>
      </c>
      <c r="L97" s="987"/>
      <c r="M97" s="986" t="s">
        <v>22</v>
      </c>
      <c r="N97" s="987"/>
      <c r="O97" s="85" t="s">
        <v>218</v>
      </c>
      <c r="P97" s="85" t="s">
        <v>32</v>
      </c>
      <c r="Q97" s="1044" t="s">
        <v>73</v>
      </c>
      <c r="R97" s="1045"/>
      <c r="S97" s="1051" t="s">
        <v>74</v>
      </c>
      <c r="T97" s="1052"/>
      <c r="U97" s="7"/>
      <c r="AQ97" s="6"/>
    </row>
    <row r="98" spans="5:46" ht="14.1" customHeight="1">
      <c r="E98" s="830"/>
      <c r="G98" s="996"/>
      <c r="H98" s="1295"/>
      <c r="I98" s="999"/>
      <c r="J98" s="1000"/>
      <c r="K98" s="999"/>
      <c r="L98" s="1000"/>
      <c r="M98" s="1058"/>
      <c r="N98" s="1059"/>
      <c r="O98" s="91"/>
      <c r="P98" s="91"/>
      <c r="Q98" s="1017"/>
      <c r="R98" s="1018"/>
      <c r="S98" s="1019"/>
      <c r="T98" s="1020"/>
      <c r="U98" s="7"/>
      <c r="AQ98" s="6"/>
    </row>
    <row r="99" spans="5:46" ht="14.1" customHeight="1">
      <c r="E99" s="830"/>
      <c r="G99" s="997"/>
      <c r="H99" s="1296"/>
      <c r="I99" s="1023"/>
      <c r="J99" s="1022"/>
      <c r="K99" s="1023"/>
      <c r="L99" s="1022"/>
      <c r="M99" s="1378"/>
      <c r="N99" s="1379"/>
      <c r="O99" s="92"/>
      <c r="P99" s="92"/>
      <c r="Q99" s="1378"/>
      <c r="R99" s="1379"/>
      <c r="S99" s="1026"/>
      <c r="T99" s="1027"/>
      <c r="U99" s="7"/>
      <c r="AQ99" s="6"/>
    </row>
    <row r="100" spans="5:46" ht="14.1" customHeight="1">
      <c r="E100" s="830"/>
      <c r="G100" s="997"/>
      <c r="H100" s="1414"/>
      <c r="I100" s="999"/>
      <c r="J100" s="1000"/>
      <c r="K100" s="999"/>
      <c r="L100" s="1000"/>
      <c r="M100" s="1058"/>
      <c r="N100" s="1059"/>
      <c r="O100" s="91"/>
      <c r="P100" s="91"/>
      <c r="Q100" s="1017"/>
      <c r="R100" s="1018"/>
      <c r="S100" s="1060"/>
      <c r="T100" s="1061"/>
      <c r="U100" s="7"/>
      <c r="AQ100" s="6"/>
    </row>
    <row r="101" spans="5:46" ht="14.1" customHeight="1">
      <c r="G101" s="998"/>
      <c r="H101" s="1296"/>
      <c r="I101" s="1064"/>
      <c r="J101" s="1063"/>
      <c r="K101" s="1064"/>
      <c r="L101" s="1063"/>
      <c r="M101" s="1415"/>
      <c r="N101" s="1416"/>
      <c r="O101" s="92"/>
      <c r="P101" s="92"/>
      <c r="Q101" s="1378"/>
      <c r="R101" s="1379"/>
      <c r="S101" s="1067"/>
      <c r="T101" s="1068"/>
      <c r="U101" s="7"/>
      <c r="AQ101" s="6"/>
    </row>
    <row r="102" spans="5:46" ht="14.1" customHeight="1">
      <c r="G102" s="1225"/>
      <c r="H102" s="1226"/>
      <c r="I102" s="1229"/>
      <c r="J102" s="1230"/>
      <c r="K102" s="1231"/>
      <c r="L102" s="1230"/>
      <c r="M102" s="1231"/>
      <c r="N102" s="1230"/>
      <c r="O102" s="293"/>
      <c r="P102" s="293"/>
      <c r="Q102" s="1232"/>
      <c r="R102" s="1233"/>
      <c r="S102" s="1234"/>
      <c r="T102" s="1235"/>
      <c r="U102" s="7"/>
      <c r="AQ102" s="6"/>
    </row>
    <row r="103" spans="5:46" ht="14.1" customHeight="1">
      <c r="G103" s="1227"/>
      <c r="H103" s="1228"/>
      <c r="I103" s="1236"/>
      <c r="J103" s="1237"/>
      <c r="K103" s="1238"/>
      <c r="L103" s="1237"/>
      <c r="M103" s="1221"/>
      <c r="N103" s="1222"/>
      <c r="O103" s="294"/>
      <c r="P103" s="295"/>
      <c r="Q103" s="1221"/>
      <c r="R103" s="1222"/>
      <c r="S103" s="1223"/>
      <c r="T103" s="1224"/>
      <c r="U103" s="6"/>
      <c r="AQ103" s="6"/>
    </row>
    <row r="104" spans="5:46" ht="14.1" customHeight="1">
      <c r="Q104" s="5"/>
      <c r="R104" s="5"/>
      <c r="S104" s="5"/>
      <c r="T104" s="6"/>
      <c r="U104" s="6"/>
      <c r="AT104" s="6"/>
    </row>
    <row r="105" spans="5:46" ht="14.1" customHeight="1">
      <c r="J105" s="2">
        <f>H60*J60+J62*H62+H64*J64+J66*H66+H70*J70</f>
        <v>78277.06</v>
      </c>
      <c r="K105" s="2">
        <f>H60*K60+K62*H62+H64*K64+K66*H66+H70*K70</f>
        <v>6723.18</v>
      </c>
      <c r="P105" s="379">
        <f>P89+P91</f>
        <v>1480</v>
      </c>
      <c r="T105" s="6"/>
      <c r="U105" s="6"/>
      <c r="AT105" s="6"/>
    </row>
    <row r="106" spans="5:46" ht="14.1" customHeight="1">
      <c r="T106" s="6"/>
      <c r="U106" s="6"/>
      <c r="AT106" s="6"/>
    </row>
    <row r="107" spans="5:46" ht="14.1" customHeight="1">
      <c r="T107" s="6"/>
      <c r="U107" s="6"/>
      <c r="AT107" s="6"/>
    </row>
    <row r="108" spans="5:46" ht="14.1" customHeight="1">
      <c r="H108" s="11">
        <f>H42+H62</f>
        <v>80</v>
      </c>
      <c r="I108" s="145">
        <f>I42+I62</f>
        <v>5.1513200257566005E-2</v>
      </c>
      <c r="M108" s="144">
        <f t="shared" ref="M108:S108" si="45">M56+M80</f>
        <v>48685.72</v>
      </c>
      <c r="N108" s="144">
        <f t="shared" si="45"/>
        <v>202750.52</v>
      </c>
      <c r="O108" s="144">
        <f t="shared" si="45"/>
        <v>499.73803821054912</v>
      </c>
      <c r="P108" s="144">
        <f t="shared" si="45"/>
        <v>12289.659387717089</v>
      </c>
      <c r="Q108" s="144">
        <f t="shared" si="45"/>
        <v>155300.8306088729</v>
      </c>
      <c r="R108" s="144">
        <f t="shared" si="45"/>
        <v>168090.22803480056</v>
      </c>
      <c r="S108" s="144">
        <f t="shared" si="45"/>
        <v>370840.74803480052</v>
      </c>
      <c r="T108" s="6"/>
      <c r="U108" s="6"/>
      <c r="AT108" s="6"/>
    </row>
    <row r="109" spans="5:46" ht="14.1" customHeight="1">
      <c r="H109" s="11">
        <f>H62+H64+H68</f>
        <v>473</v>
      </c>
      <c r="AT109" s="6"/>
    </row>
    <row r="110" spans="5:46" ht="14.1" customHeight="1">
      <c r="AT110" s="6"/>
    </row>
    <row r="111" spans="5:46" ht="14.1" customHeight="1">
      <c r="AT111" s="6"/>
    </row>
    <row r="112" spans="5:46" ht="14.1" customHeight="1">
      <c r="AT112" s="6"/>
    </row>
    <row r="113" spans="7:46" ht="14.1" customHeight="1">
      <c r="AT113" s="6"/>
    </row>
    <row r="114" spans="7:46" ht="14.1" customHeight="1" thickBot="1">
      <c r="G114" s="1"/>
      <c r="K114" s="3"/>
      <c r="M114" s="1007" t="s">
        <v>89</v>
      </c>
      <c r="N114" s="1007"/>
      <c r="O114" s="1007"/>
      <c r="P114" s="112"/>
      <c r="Q114" s="113"/>
      <c r="R114" s="112"/>
      <c r="S114" s="6"/>
      <c r="AT114" s="6"/>
    </row>
    <row r="115" spans="7:46" ht="14.1" customHeight="1">
      <c r="G115" s="34"/>
      <c r="H115" s="35"/>
      <c r="I115" s="36"/>
      <c r="J115" s="36"/>
      <c r="K115" s="37"/>
      <c r="M115" s="114"/>
      <c r="N115" s="115">
        <v>0</v>
      </c>
      <c r="O115" s="116">
        <v>300</v>
      </c>
      <c r="P115" s="117">
        <v>500</v>
      </c>
      <c r="Q115" s="118">
        <v>1000</v>
      </c>
      <c r="R115" s="117">
        <v>2000</v>
      </c>
      <c r="S115" s="6"/>
      <c r="AT115" s="6"/>
    </row>
    <row r="116" spans="7:46" ht="14.1" customHeight="1">
      <c r="G116" s="38"/>
      <c r="H116" s="39"/>
      <c r="I116" s="40"/>
      <c r="J116" s="40"/>
      <c r="K116" s="41"/>
      <c r="M116" s="119"/>
      <c r="N116" s="120" t="s">
        <v>90</v>
      </c>
      <c r="O116" s="120" t="s">
        <v>91</v>
      </c>
      <c r="P116" s="120" t="s">
        <v>92</v>
      </c>
      <c r="Q116" s="120" t="s">
        <v>93</v>
      </c>
      <c r="R116" s="120" t="s">
        <v>94</v>
      </c>
      <c r="S116" s="6"/>
      <c r="AT116" s="6"/>
    </row>
    <row r="117" spans="7:46" ht="14.1" customHeight="1">
      <c r="G117" s="980"/>
      <c r="H117" s="106"/>
      <c r="I117" s="106"/>
      <c r="J117" s="106"/>
      <c r="K117" s="42"/>
      <c r="M117" s="119" t="s">
        <v>4</v>
      </c>
      <c r="N117" s="121">
        <v>6</v>
      </c>
      <c r="O117" s="121">
        <v>8</v>
      </c>
      <c r="P117" s="121">
        <v>12</v>
      </c>
      <c r="Q117" s="122">
        <v>15</v>
      </c>
      <c r="R117" s="121">
        <v>20</v>
      </c>
      <c r="S117" s="6"/>
      <c r="AT117" s="6"/>
    </row>
    <row r="118" spans="7:46" ht="14.1" customHeight="1">
      <c r="G118" s="981"/>
      <c r="H118" s="107"/>
      <c r="I118" s="107"/>
      <c r="J118" s="108"/>
      <c r="K118" s="43"/>
      <c r="M118" s="114"/>
      <c r="N118" s="112"/>
      <c r="O118" s="112"/>
      <c r="P118" s="112"/>
      <c r="Q118" s="113"/>
      <c r="R118" s="112"/>
      <c r="S118" s="6"/>
      <c r="AT118" s="6"/>
    </row>
    <row r="119" spans="7:46" ht="14.1" customHeight="1">
      <c r="G119" s="994"/>
      <c r="H119" s="106"/>
      <c r="I119" s="106"/>
      <c r="J119" s="106"/>
      <c r="K119" s="42"/>
      <c r="M119" s="114"/>
      <c r="N119" s="112"/>
      <c r="O119" s="112"/>
      <c r="P119" s="112"/>
      <c r="Q119" s="113"/>
      <c r="R119" s="112"/>
      <c r="S119" s="6"/>
      <c r="AT119" s="6"/>
    </row>
    <row r="120" spans="7:46" ht="14.1" customHeight="1">
      <c r="G120" s="995"/>
      <c r="H120" s="107"/>
      <c r="I120" s="107"/>
      <c r="J120" s="108"/>
      <c r="K120" s="43"/>
      <c r="M120" s="1007" t="s">
        <v>95</v>
      </c>
      <c r="N120" s="1007"/>
      <c r="O120" s="1007"/>
      <c r="P120" s="112"/>
      <c r="Q120" s="113"/>
      <c r="R120" s="112"/>
      <c r="S120" s="6"/>
      <c r="AT120" s="6"/>
    </row>
    <row r="121" spans="7:46" ht="20.25" customHeight="1">
      <c r="G121" s="994"/>
      <c r="H121" s="106"/>
      <c r="I121" s="106"/>
      <c r="J121" s="106"/>
      <c r="K121" s="42"/>
      <c r="M121" s="123"/>
      <c r="N121" s="123">
        <v>0</v>
      </c>
      <c r="O121" s="142">
        <v>150</v>
      </c>
      <c r="P121" s="142">
        <v>300</v>
      </c>
      <c r="Q121" s="142">
        <v>500</v>
      </c>
      <c r="R121" s="142">
        <v>1000</v>
      </c>
      <c r="S121" s="142">
        <v>1500</v>
      </c>
      <c r="AT121" s="6"/>
    </row>
    <row r="122" spans="7:46" ht="20.25" customHeight="1">
      <c r="G122" s="981"/>
      <c r="H122" s="107"/>
      <c r="I122" s="107"/>
      <c r="J122" s="108"/>
      <c r="K122" s="43"/>
      <c r="M122" s="125"/>
      <c r="N122" s="125" t="s">
        <v>96</v>
      </c>
      <c r="O122" s="125" t="s">
        <v>97</v>
      </c>
      <c r="P122" s="125" t="s">
        <v>91</v>
      </c>
      <c r="Q122" s="125" t="s">
        <v>92</v>
      </c>
      <c r="R122" s="125" t="s">
        <v>98</v>
      </c>
      <c r="S122" s="125" t="s">
        <v>99</v>
      </c>
    </row>
    <row r="123" spans="7:46" ht="14.1" customHeight="1">
      <c r="G123" s="980"/>
      <c r="H123" s="106"/>
      <c r="I123" s="106"/>
      <c r="J123" s="106"/>
      <c r="M123" s="126" t="s">
        <v>100</v>
      </c>
      <c r="N123" s="124">
        <v>0</v>
      </c>
      <c r="O123" s="127">
        <f>50+(H82*0.1)</f>
        <v>205.3</v>
      </c>
      <c r="P123" s="127">
        <v>155</v>
      </c>
      <c r="Q123" s="127">
        <v>225</v>
      </c>
      <c r="R123" s="127">
        <v>375</v>
      </c>
      <c r="S123" s="128">
        <v>500</v>
      </c>
    </row>
    <row r="124" spans="7:46" ht="14.1" customHeight="1">
      <c r="G124" s="981"/>
      <c r="H124" s="108"/>
      <c r="I124" s="107"/>
      <c r="J124" s="108"/>
      <c r="M124" s="126" t="s">
        <v>24</v>
      </c>
      <c r="N124" s="124">
        <v>0</v>
      </c>
      <c r="O124" s="123">
        <v>0</v>
      </c>
      <c r="P124" s="127">
        <v>198</v>
      </c>
      <c r="Q124" s="127">
        <v>330</v>
      </c>
      <c r="R124" s="127">
        <v>580</v>
      </c>
      <c r="S124" s="127">
        <v>725</v>
      </c>
    </row>
    <row r="125" spans="7:46" ht="14.1" customHeight="1">
      <c r="G125" s="980"/>
      <c r="H125" s="106"/>
      <c r="I125" s="106"/>
      <c r="J125" s="106"/>
      <c r="K125" s="42"/>
      <c r="M125" s="126" t="s">
        <v>35</v>
      </c>
      <c r="N125" s="124">
        <v>0</v>
      </c>
      <c r="O125" s="123">
        <v>0</v>
      </c>
      <c r="P125" s="129">
        <v>108</v>
      </c>
      <c r="Q125" s="129">
        <v>158</v>
      </c>
      <c r="R125" s="129">
        <v>203</v>
      </c>
      <c r="S125" s="129">
        <v>298</v>
      </c>
    </row>
    <row r="126" spans="7:46" ht="14.1" customHeight="1">
      <c r="G126" s="981"/>
      <c r="H126" s="107"/>
      <c r="I126" s="107"/>
      <c r="J126" s="108"/>
      <c r="K126" s="43"/>
      <c r="S126" s="6"/>
    </row>
    <row r="127" spans="7:46" ht="14.1" customHeight="1">
      <c r="G127" s="81"/>
      <c r="H127" s="106"/>
      <c r="I127" s="106"/>
      <c r="J127" s="106"/>
      <c r="K127" s="42"/>
      <c r="M127" s="1007" t="s">
        <v>101</v>
      </c>
      <c r="N127" s="1007"/>
      <c r="O127" s="1007"/>
      <c r="S127" s="6"/>
    </row>
    <row r="128" spans="7:46" ht="14.1" customHeight="1" thickBot="1">
      <c r="G128" s="44"/>
      <c r="H128" s="109"/>
      <c r="I128" s="109"/>
      <c r="J128" s="110"/>
      <c r="K128" s="45"/>
      <c r="N128" s="130">
        <v>0</v>
      </c>
      <c r="O128" s="130">
        <v>500</v>
      </c>
      <c r="P128" s="130">
        <v>1000</v>
      </c>
      <c r="Q128" s="130">
        <v>1500</v>
      </c>
      <c r="R128" s="6"/>
      <c r="S128" s="6"/>
    </row>
    <row r="129" spans="13:19" ht="14.1" customHeight="1">
      <c r="M129" s="131"/>
      <c r="N129" s="132" t="s">
        <v>102</v>
      </c>
      <c r="O129" s="132" t="s">
        <v>103</v>
      </c>
      <c r="P129" s="132" t="s">
        <v>104</v>
      </c>
      <c r="Q129" s="125" t="s">
        <v>99</v>
      </c>
      <c r="R129" s="6"/>
      <c r="S129" s="6"/>
    </row>
    <row r="130" spans="13:19" ht="14.1" customHeight="1">
      <c r="M130" s="133" t="s">
        <v>105</v>
      </c>
      <c r="N130" s="134">
        <v>90</v>
      </c>
      <c r="O130" s="134">
        <v>90</v>
      </c>
      <c r="P130" s="134">
        <v>108</v>
      </c>
      <c r="Q130" s="135">
        <v>138</v>
      </c>
      <c r="R130" s="6"/>
      <c r="S130" s="6"/>
    </row>
    <row r="131" spans="13:19" ht="14.1" customHeight="1">
      <c r="M131" s="133" t="s">
        <v>106</v>
      </c>
      <c r="N131" s="134">
        <v>188</v>
      </c>
      <c r="O131" s="134">
        <v>188</v>
      </c>
      <c r="P131" s="134">
        <v>324</v>
      </c>
      <c r="Q131" s="135">
        <v>454</v>
      </c>
    </row>
    <row r="132" spans="13:19" ht="14.1" customHeight="1">
      <c r="M132" s="136" t="s">
        <v>107</v>
      </c>
      <c r="N132" s="135">
        <v>146</v>
      </c>
      <c r="O132" s="134">
        <v>158</v>
      </c>
      <c r="P132" s="135">
        <v>184</v>
      </c>
      <c r="Q132" s="135">
        <v>210</v>
      </c>
    </row>
    <row r="133" spans="13:19" ht="14.1" customHeight="1">
      <c r="M133" s="133" t="s">
        <v>108</v>
      </c>
      <c r="N133" s="135">
        <v>60</v>
      </c>
      <c r="O133" s="134">
        <v>80</v>
      </c>
      <c r="P133" s="135">
        <v>100</v>
      </c>
      <c r="Q133" s="135">
        <v>150</v>
      </c>
    </row>
    <row r="134" spans="13:19" ht="14.1" customHeight="1">
      <c r="M134" s="137" t="s">
        <v>1</v>
      </c>
      <c r="N134" s="135">
        <f>SUM(N130:N133)</f>
        <v>484</v>
      </c>
      <c r="O134" s="135">
        <f t="shared" ref="O134:Q134" si="46">SUM(O130:O133)</f>
        <v>516</v>
      </c>
      <c r="P134" s="135">
        <f t="shared" si="46"/>
        <v>716</v>
      </c>
      <c r="Q134" s="135">
        <f t="shared" si="46"/>
        <v>952</v>
      </c>
    </row>
    <row r="135" spans="13:19" ht="14.1" customHeight="1">
      <c r="M135" s="1007" t="s">
        <v>109</v>
      </c>
      <c r="N135" s="1007"/>
      <c r="O135" s="1007"/>
    </row>
    <row r="136" spans="13:19" ht="14.1" customHeight="1">
      <c r="N136" s="130">
        <v>0</v>
      </c>
      <c r="O136" s="130">
        <v>500</v>
      </c>
      <c r="P136" s="130">
        <v>1000</v>
      </c>
      <c r="Q136" s="130">
        <v>1500</v>
      </c>
    </row>
    <row r="137" spans="13:19" ht="14.1" customHeight="1">
      <c r="M137" s="131"/>
      <c r="N137" s="132" t="s">
        <v>102</v>
      </c>
      <c r="O137" s="132" t="s">
        <v>103</v>
      </c>
      <c r="P137" s="132" t="s">
        <v>104</v>
      </c>
      <c r="Q137" s="125" t="s">
        <v>99</v>
      </c>
    </row>
    <row r="138" spans="13:19" ht="14.1" customHeight="1">
      <c r="M138" s="133" t="s">
        <v>114</v>
      </c>
      <c r="N138" s="138">
        <v>36</v>
      </c>
      <c r="O138" s="138">
        <v>48</v>
      </c>
      <c r="P138" s="138">
        <v>56</v>
      </c>
      <c r="Q138" s="139">
        <v>63</v>
      </c>
    </row>
    <row r="139" spans="13:19" ht="14.1" customHeight="1">
      <c r="M139" s="133" t="s">
        <v>115</v>
      </c>
      <c r="N139" s="138">
        <v>12</v>
      </c>
      <c r="O139" s="138">
        <v>18</v>
      </c>
      <c r="P139" s="138">
        <v>22</v>
      </c>
      <c r="Q139" s="139">
        <v>34</v>
      </c>
    </row>
    <row r="140" spans="13:19" ht="14.1" customHeight="1">
      <c r="M140" s="137" t="s">
        <v>1</v>
      </c>
      <c r="N140" s="140">
        <f>SUM(N138:N139)</f>
        <v>48</v>
      </c>
      <c r="O140" s="141">
        <f>SUM(O138:O139)</f>
        <v>66</v>
      </c>
      <c r="P140" s="140">
        <f>SUM(P138:P139)</f>
        <v>78</v>
      </c>
      <c r="Q140" s="140">
        <f>SUM(Q138:Q139)</f>
        <v>97</v>
      </c>
    </row>
  </sheetData>
  <mergeCells count="337">
    <mergeCell ref="S97:T97"/>
    <mergeCell ref="G98:G101"/>
    <mergeCell ref="H98:H99"/>
    <mergeCell ref="I98:J98"/>
    <mergeCell ref="K98:L98"/>
    <mergeCell ref="M98:N98"/>
    <mergeCell ref="Q98:R98"/>
    <mergeCell ref="S98:T98"/>
    <mergeCell ref="I99:J99"/>
    <mergeCell ref="K99:L99"/>
    <mergeCell ref="M99:N99"/>
    <mergeCell ref="Q99:R99"/>
    <mergeCell ref="S99:T99"/>
    <mergeCell ref="H100:H101"/>
    <mergeCell ref="I100:J100"/>
    <mergeCell ref="K100:L100"/>
    <mergeCell ref="M100:N100"/>
    <mergeCell ref="Q100:R100"/>
    <mergeCell ref="S100:T100"/>
    <mergeCell ref="I101:J101"/>
    <mergeCell ref="K101:L101"/>
    <mergeCell ref="M101:N101"/>
    <mergeCell ref="Q101:R101"/>
    <mergeCell ref="S101:T101"/>
    <mergeCell ref="G102:H103"/>
    <mergeCell ref="I102:J102"/>
    <mergeCell ref="K102:L102"/>
    <mergeCell ref="M102:N102"/>
    <mergeCell ref="Q102:R102"/>
    <mergeCell ref="S102:T102"/>
    <mergeCell ref="I103:J103"/>
    <mergeCell ref="K103:L103"/>
    <mergeCell ref="M103:N103"/>
    <mergeCell ref="Q103:R103"/>
    <mergeCell ref="S103:T103"/>
    <mergeCell ref="Y56:Y57"/>
    <mergeCell ref="Y80:Y81"/>
    <mergeCell ref="Y82:Y83"/>
    <mergeCell ref="V78:V79"/>
    <mergeCell ref="V80:V81"/>
    <mergeCell ref="V82:V83"/>
    <mergeCell ref="W82:W83"/>
    <mergeCell ref="V62:V63"/>
    <mergeCell ref="V64:V65"/>
    <mergeCell ref="V66:V67"/>
    <mergeCell ref="V68:V69"/>
    <mergeCell ref="V70:V71"/>
    <mergeCell ref="V72:V73"/>
    <mergeCell ref="V74:V75"/>
    <mergeCell ref="W74:W75"/>
    <mergeCell ref="V76:V77"/>
    <mergeCell ref="X68:X69"/>
    <mergeCell ref="X70:X71"/>
    <mergeCell ref="X72:X73"/>
    <mergeCell ref="X74:X75"/>
    <mergeCell ref="X76:X77"/>
    <mergeCell ref="X78:X79"/>
    <mergeCell ref="X80:X81"/>
    <mergeCell ref="X82:X83"/>
    <mergeCell ref="W38:W39"/>
    <mergeCell ref="V50:V51"/>
    <mergeCell ref="V52:V53"/>
    <mergeCell ref="W52:W53"/>
    <mergeCell ref="V54:V55"/>
    <mergeCell ref="V56:V57"/>
    <mergeCell ref="V58:V59"/>
    <mergeCell ref="W58:W59"/>
    <mergeCell ref="V60:V61"/>
    <mergeCell ref="V40:V41"/>
    <mergeCell ref="Z3:AB3"/>
    <mergeCell ref="AC3:AE3"/>
    <mergeCell ref="AF3:AH3"/>
    <mergeCell ref="AI3:AK3"/>
    <mergeCell ref="H5:L5"/>
    <mergeCell ref="O5:Q5"/>
    <mergeCell ref="O6:P6"/>
    <mergeCell ref="S6:T6"/>
    <mergeCell ref="H7:L7"/>
    <mergeCell ref="S7:T7"/>
    <mergeCell ref="G2:L2"/>
    <mergeCell ref="H3:L3"/>
    <mergeCell ref="S3:T3"/>
    <mergeCell ref="H4:L4"/>
    <mergeCell ref="O4:Q4"/>
    <mergeCell ref="H8:I8"/>
    <mergeCell ref="O8:O14"/>
    <mergeCell ref="S8:T8"/>
    <mergeCell ref="H9:H13"/>
    <mergeCell ref="S9:T9"/>
    <mergeCell ref="S12:T12"/>
    <mergeCell ref="S14:T14"/>
    <mergeCell ref="G8:G15"/>
    <mergeCell ref="H14:I15"/>
    <mergeCell ref="J14:J15"/>
    <mergeCell ref="K14:K15"/>
    <mergeCell ref="L14:L15"/>
    <mergeCell ref="S15:T15"/>
    <mergeCell ref="P8:P10"/>
    <mergeCell ref="G16:G28"/>
    <mergeCell ref="H16:I16"/>
    <mergeCell ref="J16:K16"/>
    <mergeCell ref="O16:P16"/>
    <mergeCell ref="S16:T16"/>
    <mergeCell ref="H17:H19"/>
    <mergeCell ref="L17:L19"/>
    <mergeCell ref="O17:P17"/>
    <mergeCell ref="S17:T17"/>
    <mergeCell ref="N19:N29"/>
    <mergeCell ref="O19:O21"/>
    <mergeCell ref="H20:H22"/>
    <mergeCell ref="L20:L22"/>
    <mergeCell ref="H26:H28"/>
    <mergeCell ref="L26:L28"/>
    <mergeCell ref="S28:T28"/>
    <mergeCell ref="H29:I29"/>
    <mergeCell ref="O29:P29"/>
    <mergeCell ref="N18:T18"/>
    <mergeCell ref="H23:H25"/>
    <mergeCell ref="L23:L25"/>
    <mergeCell ref="O22:O23"/>
    <mergeCell ref="R19:R27"/>
    <mergeCell ref="S19:T27"/>
    <mergeCell ref="H30:J30"/>
    <mergeCell ref="L30:L31"/>
    <mergeCell ref="N30:T30"/>
    <mergeCell ref="H31:K31"/>
    <mergeCell ref="N31:N35"/>
    <mergeCell ref="S31:S32"/>
    <mergeCell ref="T31:T35"/>
    <mergeCell ref="H32:J32"/>
    <mergeCell ref="L32:L33"/>
    <mergeCell ref="H33:K33"/>
    <mergeCell ref="S33:S35"/>
    <mergeCell ref="H34:K34"/>
    <mergeCell ref="V34:V35"/>
    <mergeCell ref="H35:J35"/>
    <mergeCell ref="G37:T37"/>
    <mergeCell ref="B38:B39"/>
    <mergeCell ref="C38:C39"/>
    <mergeCell ref="D38:D39"/>
    <mergeCell ref="E38:E39"/>
    <mergeCell ref="G38:G39"/>
    <mergeCell ref="H38:H39"/>
    <mergeCell ref="I38:I39"/>
    <mergeCell ref="J38:J39"/>
    <mergeCell ref="K38:M38"/>
    <mergeCell ref="V38:V39"/>
    <mergeCell ref="S38:S39"/>
    <mergeCell ref="T38:T39"/>
    <mergeCell ref="B42:B43"/>
    <mergeCell ref="C42:C43"/>
    <mergeCell ref="D42:D43"/>
    <mergeCell ref="E42:E43"/>
    <mergeCell ref="F42:F43"/>
    <mergeCell ref="H42:H43"/>
    <mergeCell ref="N38:N39"/>
    <mergeCell ref="O38:Q38"/>
    <mergeCell ref="R38:R39"/>
    <mergeCell ref="B40:B41"/>
    <mergeCell ref="C40:C41"/>
    <mergeCell ref="D40:D41"/>
    <mergeCell ref="E40:E41"/>
    <mergeCell ref="F40:F41"/>
    <mergeCell ref="E60:E61"/>
    <mergeCell ref="F44:F45"/>
    <mergeCell ref="H44:H45"/>
    <mergeCell ref="E46:E47"/>
    <mergeCell ref="H46:H47"/>
    <mergeCell ref="H40:H41"/>
    <mergeCell ref="I40:I41"/>
    <mergeCell ref="T40:T45"/>
    <mergeCell ref="T46:T55"/>
    <mergeCell ref="E48:E49"/>
    <mergeCell ref="H48:H49"/>
    <mergeCell ref="I48:I49"/>
    <mergeCell ref="I52:I53"/>
    <mergeCell ref="F60:F61"/>
    <mergeCell ref="H60:H61"/>
    <mergeCell ref="B50:B51"/>
    <mergeCell ref="C50:C51"/>
    <mergeCell ref="D50:D51"/>
    <mergeCell ref="E50:E51"/>
    <mergeCell ref="H50:H51"/>
    <mergeCell ref="E52:E53"/>
    <mergeCell ref="B56:B57"/>
    <mergeCell ref="C56:C57"/>
    <mergeCell ref="D56:D57"/>
    <mergeCell ref="E56:E57"/>
    <mergeCell ref="G56:G57"/>
    <mergeCell ref="H56:H57"/>
    <mergeCell ref="H52:H53"/>
    <mergeCell ref="B54:B55"/>
    <mergeCell ref="C54:C55"/>
    <mergeCell ref="D54:D55"/>
    <mergeCell ref="E54:E55"/>
    <mergeCell ref="H54:H55"/>
    <mergeCell ref="C62:C63"/>
    <mergeCell ref="D62:D63"/>
    <mergeCell ref="E62:E63"/>
    <mergeCell ref="F62:F63"/>
    <mergeCell ref="H62:H63"/>
    <mergeCell ref="T56:T57"/>
    <mergeCell ref="C58:C59"/>
    <mergeCell ref="D58:D59"/>
    <mergeCell ref="E58:E59"/>
    <mergeCell ref="F58:F59"/>
    <mergeCell ref="H58:H59"/>
    <mergeCell ref="I58:I59"/>
    <mergeCell ref="C60:C61"/>
    <mergeCell ref="D60:D61"/>
    <mergeCell ref="T62:T79"/>
    <mergeCell ref="C64:C65"/>
    <mergeCell ref="D64:D65"/>
    <mergeCell ref="E64:E65"/>
    <mergeCell ref="F64:F65"/>
    <mergeCell ref="H64:H65"/>
    <mergeCell ref="C66:C67"/>
    <mergeCell ref="D66:D67"/>
    <mergeCell ref="E66:E67"/>
    <mergeCell ref="F66:F67"/>
    <mergeCell ref="H66:H67"/>
    <mergeCell ref="E70:E71"/>
    <mergeCell ref="H70:H71"/>
    <mergeCell ref="E72:E73"/>
    <mergeCell ref="H72:H73"/>
    <mergeCell ref="C74:C75"/>
    <mergeCell ref="D74:D75"/>
    <mergeCell ref="E74:E75"/>
    <mergeCell ref="F74:F75"/>
    <mergeCell ref="H74:H75"/>
    <mergeCell ref="C68:C69"/>
    <mergeCell ref="D68:D69"/>
    <mergeCell ref="E68:E69"/>
    <mergeCell ref="F68:F69"/>
    <mergeCell ref="H68:H69"/>
    <mergeCell ref="C70:C71"/>
    <mergeCell ref="C72:C73"/>
    <mergeCell ref="F70:F71"/>
    <mergeCell ref="F72:F73"/>
    <mergeCell ref="C82:C83"/>
    <mergeCell ref="D82:D83"/>
    <mergeCell ref="G82:G83"/>
    <mergeCell ref="H82:H83"/>
    <mergeCell ref="I82:I83"/>
    <mergeCell ref="I74:I75"/>
    <mergeCell ref="E76:E77"/>
    <mergeCell ref="H76:H77"/>
    <mergeCell ref="C78:C79"/>
    <mergeCell ref="D78:D79"/>
    <mergeCell ref="E78:E79"/>
    <mergeCell ref="F78:F79"/>
    <mergeCell ref="H78:H79"/>
    <mergeCell ref="D80:D81"/>
    <mergeCell ref="E80:E81"/>
    <mergeCell ref="G80:G81"/>
    <mergeCell ref="H80:H81"/>
    <mergeCell ref="C76:C77"/>
    <mergeCell ref="F76:F77"/>
    <mergeCell ref="S87:T87"/>
    <mergeCell ref="I88:J88"/>
    <mergeCell ref="K88:L88"/>
    <mergeCell ref="G89:G90"/>
    <mergeCell ref="G91:G92"/>
    <mergeCell ref="I89:J89"/>
    <mergeCell ref="H89:H90"/>
    <mergeCell ref="T80:T81"/>
    <mergeCell ref="G84:T84"/>
    <mergeCell ref="G85:T85"/>
    <mergeCell ref="G86:H86"/>
    <mergeCell ref="I86:J86"/>
    <mergeCell ref="K86:L86"/>
    <mergeCell ref="M86:N86"/>
    <mergeCell ref="Q86:R86"/>
    <mergeCell ref="S86:T86"/>
    <mergeCell ref="I92:J92"/>
    <mergeCell ref="I91:J91"/>
    <mergeCell ref="H91:H92"/>
    <mergeCell ref="I90:J90"/>
    <mergeCell ref="G87:H88"/>
    <mergeCell ref="I87:J87"/>
    <mergeCell ref="K87:L87"/>
    <mergeCell ref="M87:N87"/>
    <mergeCell ref="Q87:R87"/>
    <mergeCell ref="M135:O135"/>
    <mergeCell ref="G117:G118"/>
    <mergeCell ref="G119:G120"/>
    <mergeCell ref="M120:O120"/>
    <mergeCell ref="G121:G122"/>
    <mergeCell ref="G123:G124"/>
    <mergeCell ref="G125:G126"/>
    <mergeCell ref="I94:J94"/>
    <mergeCell ref="K94:L94"/>
    <mergeCell ref="M94:N94"/>
    <mergeCell ref="M114:O114"/>
    <mergeCell ref="G93:H94"/>
    <mergeCell ref="I93:J93"/>
    <mergeCell ref="K93:L93"/>
    <mergeCell ref="M93:N93"/>
    <mergeCell ref="M127:O127"/>
    <mergeCell ref="Q94:R94"/>
    <mergeCell ref="G96:T96"/>
    <mergeCell ref="G97:H97"/>
    <mergeCell ref="I97:J97"/>
    <mergeCell ref="K97:L97"/>
    <mergeCell ref="M97:N97"/>
    <mergeCell ref="Q97:R97"/>
    <mergeCell ref="S94:T94"/>
    <mergeCell ref="K92:L92"/>
    <mergeCell ref="M92:N92"/>
    <mergeCell ref="Q92:R92"/>
    <mergeCell ref="S92:T92"/>
    <mergeCell ref="M88:N88"/>
    <mergeCell ref="Q88:R88"/>
    <mergeCell ref="M90:N90"/>
    <mergeCell ref="Q90:R90"/>
    <mergeCell ref="S90:T90"/>
    <mergeCell ref="Q93:R93"/>
    <mergeCell ref="S93:T93"/>
    <mergeCell ref="K90:L90"/>
    <mergeCell ref="K89:L89"/>
    <mergeCell ref="M89:N89"/>
    <mergeCell ref="Q89:R89"/>
    <mergeCell ref="S89:T89"/>
    <mergeCell ref="S88:T88"/>
    <mergeCell ref="K91:L91"/>
    <mergeCell ref="M91:N91"/>
    <mergeCell ref="Q91:R91"/>
    <mergeCell ref="S91:T91"/>
    <mergeCell ref="X50:X51"/>
    <mergeCell ref="X52:X53"/>
    <mergeCell ref="X54:X55"/>
    <mergeCell ref="X56:X57"/>
    <mergeCell ref="X58:X59"/>
    <mergeCell ref="X60:X61"/>
    <mergeCell ref="X62:X63"/>
    <mergeCell ref="X64:X65"/>
    <mergeCell ref="X66:X67"/>
  </mergeCells>
  <phoneticPr fontId="2" type="noConversion"/>
  <printOptions horizontalCentered="1"/>
  <pageMargins left="0.7" right="0.7" top="0.75" bottom="0.75" header="0.3" footer="0.3"/>
  <pageSetup paperSize="8" scale="68" orientation="landscape" r:id="rId1"/>
  <headerFooter alignWithMargins="0"/>
  <rowBreaks count="1" manualBreakCount="1">
    <brk id="90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4F81BD"/>
    <pageSetUpPr autoPageBreaks="0" fitToPage="1"/>
  </sheetPr>
  <dimension ref="B1:AW128"/>
  <sheetViews>
    <sheetView view="pageBreakPreview" topLeftCell="D15" zoomScale="85" zoomScaleNormal="100" zoomScaleSheetLayoutView="85" workbookViewId="0">
      <selection activeCell="S25" sqref="S25:T25"/>
    </sheetView>
  </sheetViews>
  <sheetFormatPr defaultColWidth="8.77734375" defaultRowHeight="14.1" customHeight="1"/>
  <cols>
    <col min="1" max="2" width="8.77734375" style="2"/>
    <col min="3" max="3" width="10.21875" style="2" bestFit="1" customWidth="1"/>
    <col min="4" max="4" width="7.6640625" style="2" customWidth="1"/>
    <col min="5" max="5" width="9.77734375" style="2" bestFit="1" customWidth="1"/>
    <col min="6" max="6" width="8.77734375" style="2"/>
    <col min="7" max="7" width="13.21875" style="2" customWidth="1"/>
    <col min="8" max="9" width="9.21875" style="2" customWidth="1"/>
    <col min="10" max="11" width="12.77734375" style="2" customWidth="1"/>
    <col min="12" max="13" width="11.6640625" style="2" customWidth="1"/>
    <col min="14" max="14" width="12.21875" style="2" bestFit="1" customWidth="1"/>
    <col min="15" max="15" width="14.44140625" style="2" customWidth="1"/>
    <col min="16" max="16" width="18.44140625" style="2" bestFit="1" customWidth="1"/>
    <col min="17" max="17" width="13.5546875" style="2" customWidth="1"/>
    <col min="18" max="18" width="12.33203125" style="2" customWidth="1"/>
    <col min="19" max="20" width="14.109375" style="2" customWidth="1"/>
    <col min="21" max="21" width="4.5546875" style="2" customWidth="1"/>
    <col min="22" max="29" width="10.77734375" style="2" customWidth="1"/>
    <col min="30" max="30" width="25.88671875" style="2" customWidth="1"/>
    <col min="31" max="31" width="6.6640625" style="2" customWidth="1"/>
    <col min="32" max="32" width="6.44140625" style="2" customWidth="1"/>
    <col min="33" max="33" width="34.77734375" style="2" customWidth="1"/>
    <col min="34" max="34" width="6.21875" style="2" customWidth="1"/>
    <col min="35" max="35" width="8.6640625" style="2" customWidth="1"/>
    <col min="36" max="36" width="7" style="2" customWidth="1"/>
    <col min="37" max="37" width="8.21875" style="2" customWidth="1"/>
    <col min="38" max="38" width="8.44140625" style="2" customWidth="1"/>
    <col min="39" max="39" width="7.77734375" style="2" customWidth="1"/>
    <col min="40" max="40" width="7.109375" style="2" customWidth="1"/>
    <col min="41" max="41" width="10.5546875" style="2" bestFit="1" customWidth="1"/>
    <col min="42" max="16384" width="8.77734375" style="2"/>
  </cols>
  <sheetData>
    <row r="1" spans="3:40" ht="14.1" customHeight="1"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</row>
    <row r="2" spans="3:40" ht="18" customHeight="1" thickBot="1">
      <c r="F2" s="77"/>
      <c r="G2" s="839" t="s">
        <v>252</v>
      </c>
      <c r="H2" s="839"/>
      <c r="I2" s="839"/>
      <c r="J2" s="839"/>
      <c r="K2" s="839"/>
      <c r="L2" s="840"/>
      <c r="M2" s="70"/>
      <c r="N2" s="418" t="s">
        <v>33</v>
      </c>
      <c r="O2" s="419"/>
      <c r="P2" s="419"/>
      <c r="Q2" s="419"/>
      <c r="R2" s="419"/>
    </row>
    <row r="3" spans="3:40" ht="17.100000000000001" customHeight="1">
      <c r="E3" s="310">
        <v>0.91</v>
      </c>
      <c r="F3" s="77"/>
      <c r="G3" s="72" t="s">
        <v>52</v>
      </c>
      <c r="H3" s="844" t="s">
        <v>254</v>
      </c>
      <c r="I3" s="845"/>
      <c r="J3" s="845"/>
      <c r="K3" s="845"/>
      <c r="L3" s="846"/>
      <c r="M3" s="415"/>
      <c r="N3" s="420" t="s">
        <v>65</v>
      </c>
      <c r="O3" s="421"/>
      <c r="P3" s="422" t="s">
        <v>61</v>
      </c>
      <c r="Q3" s="423"/>
      <c r="R3" s="424" t="s">
        <v>10</v>
      </c>
      <c r="S3" s="1346" t="s">
        <v>51</v>
      </c>
      <c r="T3" s="1347"/>
      <c r="W3" s="1076" t="s">
        <v>268</v>
      </c>
      <c r="X3" s="1076"/>
      <c r="Y3" s="1076"/>
      <c r="Z3" s="1076"/>
      <c r="AA3" s="1076"/>
      <c r="AB3" s="1076"/>
      <c r="AC3" s="1076"/>
      <c r="AD3" s="1076"/>
      <c r="AE3" s="1076"/>
      <c r="AF3" s="1076" t="s">
        <v>269</v>
      </c>
      <c r="AG3" s="1076"/>
      <c r="AH3" s="1076"/>
      <c r="AI3" s="1076" t="s">
        <v>282</v>
      </c>
      <c r="AJ3" s="1076"/>
      <c r="AK3" s="1076"/>
      <c r="AL3" s="1076" t="s">
        <v>290</v>
      </c>
      <c r="AM3" s="1076"/>
      <c r="AN3" s="1076"/>
    </row>
    <row r="4" spans="3:40" ht="17.100000000000001" customHeight="1" thickBot="1">
      <c r="E4" s="311">
        <f>J24/(J14*E3)</f>
        <v>2.9930877279881845</v>
      </c>
      <c r="F4" s="77"/>
      <c r="G4" s="73" t="s">
        <v>11</v>
      </c>
      <c r="H4" s="849" t="s">
        <v>390</v>
      </c>
      <c r="I4" s="850"/>
      <c r="J4" s="850"/>
      <c r="K4" s="850"/>
      <c r="L4" s="851"/>
      <c r="M4" s="415"/>
      <c r="N4" s="425" t="s">
        <v>4</v>
      </c>
      <c r="O4" s="852" t="str">
        <f>INDEX($N$104:$R$104,MATCH($H$79,$N$103:$R$103,1))</f>
        <v>500~1000세대 미만</v>
      </c>
      <c r="P4" s="852"/>
      <c r="Q4" s="853"/>
      <c r="R4" s="388">
        <f>INDEX($N$105:$R$105,MATCH($H$79,$N$103:$R$103,1))</f>
        <v>12</v>
      </c>
      <c r="S4" s="21"/>
      <c r="T4" s="426"/>
      <c r="AA4" s="130" t="s">
        <v>255</v>
      </c>
    </row>
    <row r="5" spans="3:40" ht="17.100000000000001" customHeight="1">
      <c r="F5" s="77"/>
      <c r="G5" s="73" t="s">
        <v>27</v>
      </c>
      <c r="H5" s="849" t="s">
        <v>231</v>
      </c>
      <c r="I5" s="850"/>
      <c r="J5" s="850"/>
      <c r="K5" s="850"/>
      <c r="L5" s="851"/>
      <c r="M5" s="415"/>
      <c r="N5" s="427" t="s">
        <v>5</v>
      </c>
      <c r="O5" s="857" t="s">
        <v>25</v>
      </c>
      <c r="P5" s="857"/>
      <c r="Q5" s="861"/>
      <c r="R5" s="389" t="s">
        <v>12</v>
      </c>
      <c r="S5" s="22"/>
      <c r="T5" s="428"/>
      <c r="W5" s="130"/>
      <c r="Z5" s="130"/>
      <c r="AA5" s="130" t="s">
        <v>257</v>
      </c>
      <c r="AB5" s="130"/>
      <c r="AC5" s="130"/>
      <c r="AD5" s="130" t="s">
        <v>331</v>
      </c>
      <c r="AE5" s="130" t="s">
        <v>271</v>
      </c>
      <c r="AF5" s="130" t="s">
        <v>275</v>
      </c>
      <c r="AG5" s="130" t="s">
        <v>335</v>
      </c>
      <c r="AH5" s="130" t="s">
        <v>271</v>
      </c>
      <c r="AI5" s="130" t="s">
        <v>298</v>
      </c>
      <c r="AJ5" s="130"/>
      <c r="AK5" s="130" t="s">
        <v>302</v>
      </c>
      <c r="AL5" s="130" t="s">
        <v>292</v>
      </c>
      <c r="AM5" s="130"/>
      <c r="AN5" s="130" t="s">
        <v>272</v>
      </c>
    </row>
    <row r="6" spans="3:40" ht="17.100000000000001" customHeight="1">
      <c r="F6" s="77"/>
      <c r="G6" s="73" t="s">
        <v>39</v>
      </c>
      <c r="H6" s="50" t="s">
        <v>388</v>
      </c>
      <c r="I6" s="185">
        <f>ROUNDUP(E4,0)</f>
        <v>3</v>
      </c>
      <c r="J6" s="186"/>
      <c r="K6" s="186"/>
      <c r="L6" s="186"/>
      <c r="M6" s="415"/>
      <c r="N6" s="427" t="s">
        <v>6</v>
      </c>
      <c r="O6" s="862">
        <f>H79</f>
        <v>938</v>
      </c>
      <c r="P6" s="862"/>
      <c r="Q6" s="23">
        <f>IF(H79&gt;=50, ROUNDUP((10+(H79-50)*0.05),2), "해당없음")</f>
        <v>54.4</v>
      </c>
      <c r="R6" s="762">
        <v>200</v>
      </c>
      <c r="S6" s="1143" t="s">
        <v>13</v>
      </c>
      <c r="T6" s="1366"/>
      <c r="W6" s="130"/>
      <c r="Z6" s="130"/>
      <c r="AA6" s="130" t="s">
        <v>259</v>
      </c>
      <c r="AB6" s="130"/>
      <c r="AC6" s="130"/>
      <c r="AD6" s="130" t="s">
        <v>327</v>
      </c>
      <c r="AE6" s="130" t="s">
        <v>270</v>
      </c>
      <c r="AF6" s="130" t="s">
        <v>276</v>
      </c>
      <c r="AG6" s="130" t="s">
        <v>335</v>
      </c>
      <c r="AH6" s="130" t="s">
        <v>271</v>
      </c>
      <c r="AI6" s="130" t="s">
        <v>283</v>
      </c>
      <c r="AJ6" s="130"/>
      <c r="AK6" s="130" t="s">
        <v>302</v>
      </c>
      <c r="AL6" s="130" t="s">
        <v>293</v>
      </c>
      <c r="AM6" s="130"/>
      <c r="AN6" s="130" t="s">
        <v>272</v>
      </c>
    </row>
    <row r="7" spans="3:40" ht="17.100000000000001" customHeight="1">
      <c r="F7" s="77"/>
      <c r="G7" s="74" t="s">
        <v>40</v>
      </c>
      <c r="H7" s="863" t="s">
        <v>78</v>
      </c>
      <c r="I7" s="864"/>
      <c r="J7" s="864"/>
      <c r="K7" s="864"/>
      <c r="L7" s="865"/>
      <c r="M7" s="415"/>
      <c r="N7" s="429" t="s">
        <v>66</v>
      </c>
      <c r="O7" s="24"/>
      <c r="P7" s="63"/>
      <c r="Q7" s="25"/>
      <c r="R7" s="763">
        <v>150</v>
      </c>
      <c r="S7" s="859"/>
      <c r="T7" s="1348"/>
      <c r="W7" s="130"/>
      <c r="Z7" s="130"/>
      <c r="AA7" s="130" t="s">
        <v>260</v>
      </c>
      <c r="AB7" s="130"/>
      <c r="AC7" s="130"/>
      <c r="AD7" s="130" t="s">
        <v>328</v>
      </c>
      <c r="AE7" s="130" t="s">
        <v>270</v>
      </c>
      <c r="AF7" s="130" t="s">
        <v>277</v>
      </c>
      <c r="AG7" s="130" t="s">
        <v>336</v>
      </c>
      <c r="AH7" s="130" t="s">
        <v>280</v>
      </c>
      <c r="AI7" s="130" t="s">
        <v>284</v>
      </c>
      <c r="AJ7" s="130"/>
      <c r="AK7" s="130" t="s">
        <v>302</v>
      </c>
      <c r="AL7" s="130" t="s">
        <v>294</v>
      </c>
      <c r="AM7" s="130"/>
      <c r="AN7" s="130" t="s">
        <v>280</v>
      </c>
    </row>
    <row r="8" spans="3:40" ht="17.100000000000001" customHeight="1">
      <c r="F8" s="77"/>
      <c r="G8" s="1134" t="s">
        <v>41</v>
      </c>
      <c r="H8" s="884" t="s">
        <v>3</v>
      </c>
      <c r="I8" s="885"/>
      <c r="J8" s="325">
        <f>'설계개요(통합개요-1)'!J8</f>
        <v>250722.1</v>
      </c>
      <c r="K8" s="331">
        <f t="shared" ref="K8" si="0">ROUNDDOWN(J8*0.3025,2)</f>
        <v>75843.429999999993</v>
      </c>
      <c r="L8" s="105">
        <f t="shared" ref="L8:L14" si="1">J8/$J$8</f>
        <v>1</v>
      </c>
      <c r="M8" s="415"/>
      <c r="N8" s="425" t="s">
        <v>67</v>
      </c>
      <c r="O8" s="1093" t="s">
        <v>75</v>
      </c>
      <c r="P8" s="1356" t="s">
        <v>481</v>
      </c>
      <c r="Q8" s="768">
        <f>330+(H79*0.2)</f>
        <v>517.6</v>
      </c>
      <c r="R8" s="761">
        <v>600</v>
      </c>
      <c r="S8" s="1349" t="s">
        <v>247</v>
      </c>
      <c r="T8" s="1350"/>
      <c r="W8" s="130"/>
      <c r="Z8" s="130"/>
      <c r="AA8" s="130" t="s">
        <v>261</v>
      </c>
      <c r="AB8" s="130"/>
      <c r="AC8" s="130"/>
      <c r="AD8" s="130" t="s">
        <v>329</v>
      </c>
      <c r="AE8" s="130" t="s">
        <v>272</v>
      </c>
      <c r="AF8" s="130" t="s">
        <v>278</v>
      </c>
      <c r="AG8" s="130" t="s">
        <v>336</v>
      </c>
      <c r="AH8" s="130" t="s">
        <v>280</v>
      </c>
      <c r="AI8" s="130" t="s">
        <v>285</v>
      </c>
      <c r="AJ8" s="130"/>
      <c r="AK8" s="130" t="s">
        <v>271</v>
      </c>
      <c r="AL8" s="130" t="s">
        <v>295</v>
      </c>
      <c r="AM8" s="130"/>
      <c r="AN8" s="130" t="s">
        <v>280</v>
      </c>
    </row>
    <row r="9" spans="3:40" ht="17.100000000000001" customHeight="1">
      <c r="F9" s="77"/>
      <c r="G9" s="1135"/>
      <c r="H9" s="1137" t="s">
        <v>14</v>
      </c>
      <c r="I9" s="65" t="s">
        <v>349</v>
      </c>
      <c r="J9" s="326">
        <v>69445.7</v>
      </c>
      <c r="K9" s="332">
        <f t="shared" ref="K9:K14" si="2">ROUNDDOWN(J9*0.3025,2)</f>
        <v>21007.32</v>
      </c>
      <c r="L9" s="15">
        <f t="shared" si="1"/>
        <v>0.27698276298738722</v>
      </c>
      <c r="M9" s="416"/>
      <c r="N9" s="427" t="s">
        <v>24</v>
      </c>
      <c r="O9" s="1093"/>
      <c r="P9" s="1356"/>
      <c r="Q9" s="768">
        <f>330+(H79*0.2)</f>
        <v>517.6</v>
      </c>
      <c r="R9" s="762">
        <v>650</v>
      </c>
      <c r="S9" s="1241" t="s">
        <v>247</v>
      </c>
      <c r="T9" s="1351"/>
      <c r="W9" s="130"/>
      <c r="Z9" s="130"/>
      <c r="AA9" s="130" t="s">
        <v>262</v>
      </c>
      <c r="AB9" s="130"/>
      <c r="AC9" s="130"/>
      <c r="AD9" s="130" t="s">
        <v>329</v>
      </c>
      <c r="AE9" s="130" t="s">
        <v>272</v>
      </c>
      <c r="AF9" s="130" t="s">
        <v>279</v>
      </c>
      <c r="AG9" s="130" t="s">
        <v>336</v>
      </c>
      <c r="AH9" s="130" t="s">
        <v>280</v>
      </c>
      <c r="AI9" s="130" t="s">
        <v>286</v>
      </c>
      <c r="AJ9" s="130"/>
      <c r="AK9" s="130" t="s">
        <v>271</v>
      </c>
      <c r="AL9" s="130" t="s">
        <v>296</v>
      </c>
      <c r="AM9" s="130"/>
      <c r="AN9" s="130" t="s">
        <v>272</v>
      </c>
    </row>
    <row r="10" spans="3:40" ht="17.100000000000001" customHeight="1">
      <c r="C10" s="130" t="s">
        <v>158</v>
      </c>
      <c r="D10" s="289">
        <v>3</v>
      </c>
      <c r="E10" s="312">
        <f>$H$79*D10</f>
        <v>2814</v>
      </c>
      <c r="F10" s="77"/>
      <c r="G10" s="1135"/>
      <c r="H10" s="1138"/>
      <c r="I10" s="65" t="s">
        <v>352</v>
      </c>
      <c r="J10" s="326">
        <v>41680.400000000001</v>
      </c>
      <c r="K10" s="332">
        <f t="shared" si="2"/>
        <v>12608.32</v>
      </c>
      <c r="L10" s="15">
        <f t="shared" si="1"/>
        <v>0.16624142825861782</v>
      </c>
      <c r="M10" s="415"/>
      <c r="N10" s="427" t="s">
        <v>35</v>
      </c>
      <c r="O10" s="1093"/>
      <c r="P10" s="1357"/>
      <c r="Q10" s="768">
        <f>158+(H79*0.2)</f>
        <v>345.6</v>
      </c>
      <c r="R10" s="762">
        <v>700</v>
      </c>
      <c r="S10" s="773"/>
      <c r="T10" s="428"/>
      <c r="W10" s="130"/>
      <c r="Z10" s="130"/>
      <c r="AA10" s="130" t="s">
        <v>263</v>
      </c>
      <c r="AB10" s="130"/>
      <c r="AC10" s="130"/>
      <c r="AD10" s="130" t="s">
        <v>329</v>
      </c>
      <c r="AE10" s="130" t="s">
        <v>272</v>
      </c>
      <c r="AF10" s="130"/>
      <c r="AG10" s="130"/>
      <c r="AH10" s="130"/>
      <c r="AI10" s="130" t="s">
        <v>287</v>
      </c>
      <c r="AJ10" s="130"/>
      <c r="AK10" s="130" t="s">
        <v>280</v>
      </c>
      <c r="AL10" s="130" t="s">
        <v>297</v>
      </c>
      <c r="AM10" s="130"/>
      <c r="AN10" s="130" t="s">
        <v>280</v>
      </c>
    </row>
    <row r="11" spans="3:40" ht="17.100000000000001" customHeight="1">
      <c r="F11" s="77"/>
      <c r="G11" s="1135"/>
      <c r="H11" s="1138"/>
      <c r="I11" s="65" t="s">
        <v>351</v>
      </c>
      <c r="J11" s="326">
        <v>61084.7</v>
      </c>
      <c r="K11" s="332">
        <f t="shared" si="2"/>
        <v>18478.12</v>
      </c>
      <c r="L11" s="15">
        <f t="shared" si="1"/>
        <v>0.24363508442215503</v>
      </c>
      <c r="M11" s="415"/>
      <c r="N11" s="430" t="s">
        <v>88</v>
      </c>
      <c r="O11" s="1093"/>
      <c r="P11" s="147" t="s">
        <v>479</v>
      </c>
      <c r="Q11" s="768">
        <v>66</v>
      </c>
      <c r="R11" s="762">
        <v>250</v>
      </c>
      <c r="S11" s="773"/>
      <c r="T11" s="428"/>
      <c r="W11" s="130"/>
      <c r="Z11" s="130"/>
      <c r="AA11" s="130" t="s">
        <v>264</v>
      </c>
      <c r="AB11" s="130"/>
      <c r="AC11" s="130"/>
      <c r="AD11" s="130" t="s">
        <v>329</v>
      </c>
      <c r="AE11" s="130" t="s">
        <v>272</v>
      </c>
      <c r="AF11" s="130"/>
      <c r="AG11" s="130"/>
      <c r="AH11" s="130"/>
      <c r="AI11" s="130" t="s">
        <v>288</v>
      </c>
      <c r="AJ11" s="130"/>
      <c r="AK11" s="130" t="s">
        <v>280</v>
      </c>
      <c r="AL11" s="130" t="s">
        <v>291</v>
      </c>
      <c r="AM11" s="130"/>
      <c r="AN11" s="130" t="s">
        <v>272</v>
      </c>
    </row>
    <row r="12" spans="3:40" ht="17.100000000000001" customHeight="1">
      <c r="F12" s="77"/>
      <c r="G12" s="1135"/>
      <c r="H12" s="1138"/>
      <c r="I12" s="65" t="s">
        <v>348</v>
      </c>
      <c r="J12" s="326">
        <v>41998.6</v>
      </c>
      <c r="K12" s="332">
        <f t="shared" si="2"/>
        <v>12704.57</v>
      </c>
      <c r="L12" s="15">
        <f t="shared" si="1"/>
        <v>0.16751056249130011</v>
      </c>
      <c r="M12" s="415"/>
      <c r="N12" s="430" t="s">
        <v>34</v>
      </c>
      <c r="O12" s="1093"/>
      <c r="P12" s="759" t="s">
        <v>466</v>
      </c>
      <c r="Q12" s="770" t="s">
        <v>480</v>
      </c>
      <c r="R12" s="762">
        <v>3810</v>
      </c>
      <c r="S12" s="1352"/>
      <c r="T12" s="1353"/>
      <c r="W12" s="130"/>
      <c r="Z12" s="130"/>
      <c r="AA12" s="130" t="s">
        <v>265</v>
      </c>
      <c r="AB12" s="130"/>
      <c r="AC12" s="130"/>
      <c r="AD12" s="130" t="s">
        <v>328</v>
      </c>
      <c r="AE12" s="130" t="s">
        <v>270</v>
      </c>
      <c r="AF12" s="130"/>
      <c r="AG12" s="130"/>
      <c r="AH12" s="130"/>
      <c r="AI12" s="130" t="s">
        <v>289</v>
      </c>
      <c r="AJ12" s="130"/>
      <c r="AK12" s="130" t="s">
        <v>271</v>
      </c>
      <c r="AL12" s="130" t="s">
        <v>299</v>
      </c>
      <c r="AM12" s="130"/>
      <c r="AN12" s="130" t="s">
        <v>272</v>
      </c>
    </row>
    <row r="13" spans="3:40" ht="16.5" customHeight="1">
      <c r="F13" s="77"/>
      <c r="G13" s="1135"/>
      <c r="H13" s="1139"/>
      <c r="I13" s="65" t="s">
        <v>47</v>
      </c>
      <c r="J13" s="327">
        <f>J9+J10+J11+J12</f>
        <v>214209.4</v>
      </c>
      <c r="K13" s="333">
        <f t="shared" si="2"/>
        <v>64798.34</v>
      </c>
      <c r="L13" s="102">
        <f t="shared" si="1"/>
        <v>0.85436983815946022</v>
      </c>
      <c r="M13" s="415"/>
      <c r="N13" s="430" t="s">
        <v>76</v>
      </c>
      <c r="O13" s="1093"/>
      <c r="P13" s="202" t="str">
        <f>IF(H79&gt;=500,"500세대이상 의무설치", "해당없음")</f>
        <v>500세대이상 의무설치</v>
      </c>
      <c r="Q13" s="770" t="s">
        <v>480</v>
      </c>
      <c r="R13" s="762">
        <v>1000</v>
      </c>
      <c r="S13" s="22"/>
      <c r="T13" s="428"/>
      <c r="W13" s="130"/>
      <c r="Z13" s="130"/>
      <c r="AA13" s="130" t="s">
        <v>266</v>
      </c>
      <c r="AB13" s="130"/>
      <c r="AC13" s="130"/>
      <c r="AD13" s="130" t="s">
        <v>328</v>
      </c>
      <c r="AE13" s="130" t="s">
        <v>270</v>
      </c>
      <c r="AF13" s="130"/>
      <c r="AG13" s="130"/>
      <c r="AH13" s="130"/>
      <c r="AI13" s="130"/>
      <c r="AJ13" s="130"/>
      <c r="AK13" s="130"/>
      <c r="AL13" s="130" t="s">
        <v>300</v>
      </c>
      <c r="AM13" s="130"/>
      <c r="AN13" s="130" t="s">
        <v>302</v>
      </c>
    </row>
    <row r="14" spans="3:40" ht="17.100000000000001" customHeight="1">
      <c r="F14" s="77"/>
      <c r="G14" s="1135"/>
      <c r="H14" s="1137" t="s">
        <v>42</v>
      </c>
      <c r="I14" s="1329"/>
      <c r="J14" s="1332">
        <f>J8-J9-J10-J11-J12</f>
        <v>36512.700000000033</v>
      </c>
      <c r="K14" s="1334">
        <f t="shared" si="2"/>
        <v>11045.09</v>
      </c>
      <c r="L14" s="1336">
        <f t="shared" si="1"/>
        <v>0.14563016184053992</v>
      </c>
      <c r="M14" s="415"/>
      <c r="N14" s="774" t="s">
        <v>77</v>
      </c>
      <c r="O14" s="1093"/>
      <c r="P14" s="818" t="str">
        <f>IF(H79&lt;100,"해당없음",IF(H79&lt;300,"지역여건에 맞게 설치",IF(H79&lt;1000,"200㎡+세대당 1㎡",IF(H79&gt;1000,"500㎡+세대당 0.7㎡"))))</f>
        <v>200㎡+세대당 1㎡</v>
      </c>
      <c r="Q14" s="775">
        <f>500+(H82*0.7)</f>
        <v>500</v>
      </c>
      <c r="R14" s="812">
        <v>1900</v>
      </c>
      <c r="S14" s="1354" t="s">
        <v>467</v>
      </c>
      <c r="T14" s="1355"/>
      <c r="W14" s="130"/>
      <c r="Z14" s="130"/>
      <c r="AA14" s="130" t="s">
        <v>267</v>
      </c>
      <c r="AB14" s="130"/>
      <c r="AC14" s="130"/>
      <c r="AD14" s="130" t="s">
        <v>329</v>
      </c>
      <c r="AE14" s="130" t="s">
        <v>272</v>
      </c>
      <c r="AF14" s="130"/>
      <c r="AG14" s="130"/>
      <c r="AH14" s="130"/>
      <c r="AI14" s="130"/>
      <c r="AJ14" s="130"/>
      <c r="AK14" s="130"/>
      <c r="AL14" s="130" t="s">
        <v>301</v>
      </c>
      <c r="AM14" s="130"/>
      <c r="AN14" s="130" t="s">
        <v>302</v>
      </c>
    </row>
    <row r="15" spans="3:40" ht="17.100000000000001" customHeight="1">
      <c r="F15" s="77"/>
      <c r="G15" s="1136"/>
      <c r="H15" s="1330"/>
      <c r="I15" s="1331"/>
      <c r="J15" s="1333"/>
      <c r="K15" s="1335"/>
      <c r="L15" s="1337"/>
      <c r="M15" s="415"/>
      <c r="N15" s="420" t="s">
        <v>470</v>
      </c>
      <c r="O15" s="820"/>
      <c r="P15" s="821"/>
      <c r="Q15" s="822"/>
      <c r="R15" s="829">
        <f>N59*5</f>
        <v>412.95000000000005</v>
      </c>
      <c r="S15" s="1338" t="s">
        <v>472</v>
      </c>
      <c r="T15" s="1339"/>
      <c r="W15" s="130"/>
      <c r="Z15" s="130"/>
      <c r="AA15" s="130"/>
      <c r="AB15" s="130"/>
      <c r="AC15" s="130"/>
      <c r="AD15" s="130"/>
      <c r="AE15" s="130"/>
      <c r="AF15" s="130"/>
      <c r="AG15" s="130"/>
      <c r="AH15" s="130"/>
      <c r="AI15" s="130"/>
      <c r="AJ15" s="130"/>
      <c r="AK15" s="130"/>
      <c r="AL15" s="130"/>
      <c r="AM15" s="130"/>
      <c r="AN15" s="130"/>
    </row>
    <row r="16" spans="3:40" ht="17.100000000000001" customHeight="1">
      <c r="C16" s="2">
        <v>120698</v>
      </c>
      <c r="F16" s="77"/>
      <c r="G16" s="881" t="s">
        <v>43</v>
      </c>
      <c r="H16" s="1145" t="s">
        <v>70</v>
      </c>
      <c r="I16" s="1082"/>
      <c r="J16" s="1146" t="s">
        <v>71</v>
      </c>
      <c r="K16" s="1147"/>
      <c r="L16" s="335" t="s">
        <v>72</v>
      </c>
      <c r="M16" s="415"/>
      <c r="N16" s="815" t="s">
        <v>26</v>
      </c>
      <c r="O16" s="1340" t="s">
        <v>482</v>
      </c>
      <c r="P16" s="1341"/>
      <c r="Q16" s="816">
        <f>(500+H79*2.5)*1.25</f>
        <v>3556.25</v>
      </c>
      <c r="R16" s="817">
        <f>R8+R9+R10+R11+R12+R13+R14</f>
        <v>8910</v>
      </c>
      <c r="S16" s="1342" t="s">
        <v>485</v>
      </c>
      <c r="T16" s="1343"/>
      <c r="W16" s="130"/>
      <c r="Z16" s="130"/>
      <c r="AA16" s="130"/>
      <c r="AB16" s="130"/>
      <c r="AC16" s="130"/>
      <c r="AD16" s="130" t="s">
        <v>330</v>
      </c>
      <c r="AE16" s="130" t="s">
        <v>272</v>
      </c>
      <c r="AF16" s="130"/>
      <c r="AG16" s="130"/>
      <c r="AH16" s="130"/>
      <c r="AI16" s="130"/>
      <c r="AJ16" s="130"/>
      <c r="AK16" s="130"/>
      <c r="AL16" s="130"/>
      <c r="AM16" s="130"/>
      <c r="AN16" s="130"/>
    </row>
    <row r="17" spans="3:40" ht="17.100000000000001" customHeight="1">
      <c r="C17" s="2">
        <v>93504.3</v>
      </c>
      <c r="D17" s="145">
        <f>C17/C16</f>
        <v>0.77469634956668709</v>
      </c>
      <c r="F17" s="77"/>
      <c r="G17" s="882"/>
      <c r="H17" s="1112" t="s">
        <v>44</v>
      </c>
      <c r="I17" s="66" t="s">
        <v>45</v>
      </c>
      <c r="J17" s="329">
        <f>N79+R8+R9+R7+R11+R15</f>
        <v>110639.27</v>
      </c>
      <c r="K17" s="332">
        <f t="shared" ref="K17:K25" si="3">ROUNDDOWN(J17*0.3025,2)</f>
        <v>33468.370000000003</v>
      </c>
      <c r="L17" s="1148">
        <f>J17/$J$23</f>
        <v>0.99708291842760721</v>
      </c>
      <c r="M17" s="415"/>
      <c r="N17" s="434" t="s">
        <v>36</v>
      </c>
      <c r="O17" s="1097" t="s">
        <v>85</v>
      </c>
      <c r="P17" s="1098"/>
      <c r="Q17" s="771">
        <f>J14*0.15</f>
        <v>5476.9050000000052</v>
      </c>
      <c r="R17" s="772">
        <f>ROUNDUP(Q17,-2)+100</f>
        <v>5600</v>
      </c>
      <c r="S17" s="1419"/>
      <c r="T17" s="1420"/>
      <c r="V17" s="337" t="s">
        <v>188</v>
      </c>
      <c r="W17" s="130"/>
      <c r="Z17" s="130"/>
      <c r="AA17" s="130" t="s">
        <v>1</v>
      </c>
      <c r="AB17" s="130"/>
      <c r="AC17" s="130"/>
      <c r="AD17" s="130"/>
      <c r="AE17" s="130"/>
      <c r="AF17" s="130"/>
      <c r="AG17" s="130"/>
      <c r="AH17" s="130"/>
      <c r="AI17" s="130"/>
      <c r="AJ17" s="130"/>
      <c r="AK17" s="130"/>
      <c r="AL17" s="130"/>
      <c r="AM17" s="130"/>
      <c r="AN17" s="130"/>
    </row>
    <row r="18" spans="3:40" ht="17.100000000000001" customHeight="1">
      <c r="F18" s="77"/>
      <c r="G18" s="882"/>
      <c r="H18" s="1113"/>
      <c r="I18" s="66" t="s">
        <v>46</v>
      </c>
      <c r="J18" s="329">
        <f>O79+Q79+R6+R10+R12</f>
        <v>98910</v>
      </c>
      <c r="K18" s="332">
        <f t="shared" si="3"/>
        <v>29920.27</v>
      </c>
      <c r="L18" s="1149"/>
      <c r="M18" s="51"/>
      <c r="N18" s="1422"/>
      <c r="O18" s="1362"/>
      <c r="P18" s="1362"/>
      <c r="Q18" s="1362"/>
      <c r="R18" s="1362"/>
      <c r="S18" s="1362"/>
      <c r="T18" s="1423"/>
      <c r="V18" s="338">
        <v>40</v>
      </c>
      <c r="W18" s="130"/>
      <c r="Z18" s="130"/>
      <c r="AA18" s="130"/>
      <c r="AB18" s="130"/>
      <c r="AC18" s="130"/>
      <c r="AD18" s="130"/>
      <c r="AE18" s="385" t="s">
        <v>274</v>
      </c>
      <c r="AF18" s="130"/>
      <c r="AG18" s="130"/>
      <c r="AH18" s="130" t="s">
        <v>281</v>
      </c>
      <c r="AI18" s="130"/>
      <c r="AJ18" s="130"/>
      <c r="AK18" s="130" t="s">
        <v>304</v>
      </c>
      <c r="AL18" s="130"/>
      <c r="AM18" s="130"/>
      <c r="AN18" s="2" t="s">
        <v>303</v>
      </c>
    </row>
    <row r="19" spans="3:40" ht="17.100000000000001" customHeight="1">
      <c r="F19" s="77"/>
      <c r="G19" s="882"/>
      <c r="H19" s="1114"/>
      <c r="I19" s="66" t="s">
        <v>47</v>
      </c>
      <c r="J19" s="329">
        <f>SUM(J17:J18)</f>
        <v>209549.27000000002</v>
      </c>
      <c r="K19" s="332">
        <f t="shared" si="3"/>
        <v>63388.65</v>
      </c>
      <c r="L19" s="1150"/>
      <c r="M19" s="415"/>
      <c r="N19" s="1363" t="s">
        <v>37</v>
      </c>
      <c r="O19" s="874" t="s">
        <v>81</v>
      </c>
      <c r="P19" s="197" t="s">
        <v>122</v>
      </c>
      <c r="Q19" s="284">
        <f>ROUNDUP((SUMPRODUCT(H39:H52,J39:J52)+SUMPRODUCT(H59:H64,J59:J64))/75,0)</f>
        <v>584</v>
      </c>
      <c r="R19" s="1158">
        <f>H79*S19</f>
        <v>2345</v>
      </c>
      <c r="S19" s="968">
        <v>2.5</v>
      </c>
      <c r="T19" s="1407"/>
      <c r="AF19" s="384"/>
      <c r="AG19" s="384"/>
      <c r="AH19" s="384"/>
      <c r="AI19" s="384"/>
      <c r="AJ19" s="384"/>
      <c r="AK19" s="384"/>
      <c r="AL19" s="384"/>
      <c r="AM19" s="384"/>
      <c r="AN19" s="384"/>
    </row>
    <row r="20" spans="3:40" ht="17.100000000000001" customHeight="1">
      <c r="F20" s="77"/>
      <c r="G20" s="882"/>
      <c r="H20" s="1161" t="s">
        <v>38</v>
      </c>
      <c r="I20" s="65" t="s">
        <v>45</v>
      </c>
      <c r="J20" s="329">
        <f>M86</f>
        <v>323.68799999999999</v>
      </c>
      <c r="K20" s="332">
        <f t="shared" si="3"/>
        <v>97.91</v>
      </c>
      <c r="L20" s="1148">
        <f>J20/$J$23</f>
        <v>2.9170815723928338E-3</v>
      </c>
      <c r="M20" s="415"/>
      <c r="N20" s="1364"/>
      <c r="O20" s="875"/>
      <c r="P20" s="150" t="s">
        <v>123</v>
      </c>
      <c r="Q20" s="286">
        <f>ROUNDUP((SUMPRODUCT(H65:H76,J65:J76))/65,0)</f>
        <v>579</v>
      </c>
      <c r="R20" s="1159"/>
      <c r="S20" s="970"/>
      <c r="T20" s="1408"/>
      <c r="AD20" s="384" t="s">
        <v>310</v>
      </c>
      <c r="AE20" s="386" t="s">
        <v>319</v>
      </c>
      <c r="AF20" s="384"/>
      <c r="AG20" s="384" t="s">
        <v>338</v>
      </c>
      <c r="AH20" s="384" t="s">
        <v>346</v>
      </c>
      <c r="AI20" s="384"/>
      <c r="AJ20" s="384"/>
      <c r="AK20" s="384"/>
      <c r="AL20" s="384"/>
      <c r="AM20" s="384"/>
      <c r="AN20" s="384"/>
    </row>
    <row r="21" spans="3:40" ht="17.100000000000001" customHeight="1">
      <c r="F21" s="77"/>
      <c r="G21" s="882"/>
      <c r="H21" s="1162"/>
      <c r="I21" s="65" t="s">
        <v>46</v>
      </c>
      <c r="J21" s="329">
        <f>M88+O90+P90</f>
        <v>540</v>
      </c>
      <c r="K21" s="332">
        <f t="shared" si="3"/>
        <v>163.35</v>
      </c>
      <c r="L21" s="1149"/>
      <c r="M21" s="415"/>
      <c r="N21" s="1364"/>
      <c r="O21" s="876"/>
      <c r="P21" s="151" t="s">
        <v>82</v>
      </c>
      <c r="Q21" s="285">
        <f>SUM(Q19:Q20)</f>
        <v>1163</v>
      </c>
      <c r="R21" s="1159"/>
      <c r="S21" s="970"/>
      <c r="T21" s="1408"/>
      <c r="AD21" s="384" t="s">
        <v>256</v>
      </c>
      <c r="AE21" s="386" t="s">
        <v>332</v>
      </c>
      <c r="AF21" s="384"/>
      <c r="AG21" s="384" t="s">
        <v>337</v>
      </c>
      <c r="AH21" s="384" t="s">
        <v>340</v>
      </c>
      <c r="AI21" s="384"/>
      <c r="AJ21" s="384"/>
      <c r="AK21" s="384"/>
      <c r="AL21" s="384"/>
      <c r="AM21" s="384"/>
      <c r="AN21" s="384"/>
    </row>
    <row r="22" spans="3:40" ht="17.100000000000001" customHeight="1">
      <c r="F22" s="77"/>
      <c r="G22" s="882"/>
      <c r="H22" s="1163"/>
      <c r="I22" s="65" t="s">
        <v>47</v>
      </c>
      <c r="J22" s="329">
        <f>J20+J21</f>
        <v>863.68799999999999</v>
      </c>
      <c r="K22" s="332">
        <f t="shared" si="3"/>
        <v>261.26</v>
      </c>
      <c r="L22" s="1150"/>
      <c r="M22" s="415"/>
      <c r="N22" s="1364"/>
      <c r="O22" s="874" t="s">
        <v>86</v>
      </c>
      <c r="P22" s="159" t="s">
        <v>240</v>
      </c>
      <c r="Q22" s="284">
        <f>(SUM(H39)+SUM(H59)+SUM(H47:H50))*0.8</f>
        <v>147.20000000000002</v>
      </c>
      <c r="R22" s="1159"/>
      <c r="S22" s="970"/>
      <c r="T22" s="1408"/>
      <c r="U22"/>
      <c r="V22"/>
      <c r="AD22" s="384" t="s">
        <v>311</v>
      </c>
      <c r="AE22" s="386" t="s">
        <v>333</v>
      </c>
      <c r="AF22" s="384"/>
      <c r="AG22" s="384" t="s">
        <v>344</v>
      </c>
      <c r="AH22" s="384" t="s">
        <v>340</v>
      </c>
      <c r="AI22" s="384"/>
      <c r="AJ22" s="384"/>
      <c r="AK22" s="384"/>
      <c r="AL22" s="384"/>
      <c r="AM22" s="384"/>
      <c r="AN22" s="384"/>
    </row>
    <row r="23" spans="3:40" ht="17.100000000000001" customHeight="1">
      <c r="F23" s="77"/>
      <c r="G23" s="882"/>
      <c r="H23" s="1161" t="s">
        <v>1</v>
      </c>
      <c r="I23" s="65" t="s">
        <v>45</v>
      </c>
      <c r="J23" s="326">
        <f>J17+J20</f>
        <v>110962.958</v>
      </c>
      <c r="K23" s="332">
        <f t="shared" si="3"/>
        <v>33566.29</v>
      </c>
      <c r="L23" s="1148">
        <f>J23/$J$23</f>
        <v>1</v>
      </c>
      <c r="M23" s="417"/>
      <c r="N23" s="1364"/>
      <c r="O23" s="875"/>
      <c r="P23" s="160" t="s">
        <v>241</v>
      </c>
      <c r="Q23" s="286">
        <f>(SUM(H51)+SUM(H61:H76)+SUM(H41:H44))*1</f>
        <v>754</v>
      </c>
      <c r="R23" s="1159"/>
      <c r="S23" s="970"/>
      <c r="T23" s="1408"/>
      <c r="U23"/>
      <c r="V23"/>
      <c r="AD23" s="384" t="s">
        <v>258</v>
      </c>
      <c r="AE23" s="386" t="s">
        <v>334</v>
      </c>
      <c r="AF23" s="384"/>
      <c r="AG23" s="384" t="s">
        <v>342</v>
      </c>
      <c r="AH23" s="384" t="s">
        <v>343</v>
      </c>
      <c r="AI23" s="384"/>
      <c r="AJ23" s="384"/>
      <c r="AK23" s="384"/>
      <c r="AL23" s="384"/>
      <c r="AM23" s="384"/>
      <c r="AN23" s="384"/>
    </row>
    <row r="24" spans="3:40" ht="17.100000000000001" customHeight="1">
      <c r="F24" s="77"/>
      <c r="G24" s="882"/>
      <c r="H24" s="1162"/>
      <c r="I24" s="65" t="s">
        <v>46</v>
      </c>
      <c r="J24" s="326">
        <f>J18+J21</f>
        <v>99450</v>
      </c>
      <c r="K24" s="332">
        <f t="shared" si="3"/>
        <v>30083.62</v>
      </c>
      <c r="L24" s="1149"/>
      <c r="M24" s="415"/>
      <c r="N24" s="1364"/>
      <c r="O24" s="876"/>
      <c r="P24" s="152" t="s">
        <v>82</v>
      </c>
      <c r="Q24" s="285">
        <f>SUM(Q22:Q23)</f>
        <v>901.2</v>
      </c>
      <c r="R24" s="1160"/>
      <c r="S24" s="972"/>
      <c r="T24" s="1409"/>
      <c r="U24"/>
      <c r="V24"/>
      <c r="AD24" s="384" t="s">
        <v>313</v>
      </c>
      <c r="AE24" s="386" t="s">
        <v>272</v>
      </c>
      <c r="AF24" s="384"/>
      <c r="AG24" s="384" t="s">
        <v>339</v>
      </c>
      <c r="AH24" s="384" t="s">
        <v>345</v>
      </c>
      <c r="AI24" s="384"/>
      <c r="AJ24" s="384"/>
      <c r="AK24" s="384"/>
      <c r="AL24" s="384"/>
      <c r="AM24" s="384"/>
      <c r="AN24" s="384"/>
    </row>
    <row r="25" spans="3:40" ht="17.100000000000001" customHeight="1">
      <c r="F25" s="77"/>
      <c r="G25" s="1144"/>
      <c r="H25" s="1164"/>
      <c r="I25" s="263" t="s">
        <v>1</v>
      </c>
      <c r="J25" s="330">
        <f>J19+J22</f>
        <v>210412.95800000001</v>
      </c>
      <c r="K25" s="334">
        <f t="shared" si="3"/>
        <v>63649.91</v>
      </c>
      <c r="L25" s="1165"/>
      <c r="M25" s="415"/>
      <c r="N25" s="1364"/>
      <c r="O25" s="153" t="s">
        <v>38</v>
      </c>
      <c r="P25" s="154">
        <v>134</v>
      </c>
      <c r="Q25" s="287">
        <f>(M90+O90)/P25</f>
        <v>4.6543880597014926</v>
      </c>
      <c r="R25" s="290">
        <f>ROUNDUP(Q25*S25,0)</f>
        <v>6</v>
      </c>
      <c r="S25" s="1358">
        <v>1.2</v>
      </c>
      <c r="T25" s="1359"/>
      <c r="U25"/>
      <c r="V25"/>
      <c r="AD25" s="384"/>
      <c r="AE25" s="384"/>
      <c r="AF25" s="384"/>
      <c r="AG25" s="384"/>
      <c r="AH25" s="384"/>
      <c r="AI25" s="384"/>
      <c r="AJ25" s="384"/>
      <c r="AK25" s="384"/>
      <c r="AL25" s="384"/>
      <c r="AM25" s="384"/>
      <c r="AN25" s="384"/>
    </row>
    <row r="26" spans="3:40" ht="17.100000000000001" customHeight="1">
      <c r="F26" s="77"/>
      <c r="G26" s="309"/>
      <c r="H26" s="1168"/>
      <c r="I26" s="1169"/>
      <c r="J26" s="303"/>
      <c r="K26" s="304"/>
      <c r="M26" s="415"/>
      <c r="N26" s="1365"/>
      <c r="O26" s="912" t="s">
        <v>69</v>
      </c>
      <c r="P26" s="913"/>
      <c r="Q26" s="288">
        <f>Q21+Q25</f>
        <v>1167.6543880597014</v>
      </c>
      <c r="R26" s="291">
        <f>SUM(R19+R25)</f>
        <v>2351</v>
      </c>
      <c r="S26" s="306"/>
      <c r="T26" s="431"/>
      <c r="U26"/>
      <c r="V26" s="313"/>
      <c r="AD26" s="384"/>
      <c r="AE26" s="384"/>
      <c r="AF26" s="384"/>
      <c r="AG26" s="384"/>
      <c r="AH26" s="384"/>
      <c r="AI26" s="384"/>
      <c r="AJ26" s="384"/>
      <c r="AK26" s="384"/>
      <c r="AL26" s="384"/>
      <c r="AM26" s="384"/>
      <c r="AN26" s="384"/>
    </row>
    <row r="27" spans="3:40" ht="17.100000000000001" customHeight="1">
      <c r="F27" s="77"/>
      <c r="G27" s="72" t="s">
        <v>48</v>
      </c>
      <c r="H27" s="1105">
        <f>7724.6+R7+R8+R9+M86</f>
        <v>9448.2880000000005</v>
      </c>
      <c r="I27" s="1106"/>
      <c r="J27" s="1107"/>
      <c r="K27" s="12">
        <f>ROUNDDOWN(H27*0.3025,2)</f>
        <v>2858.1</v>
      </c>
      <c r="L27" s="1170">
        <v>50</v>
      </c>
      <c r="M27" s="51"/>
      <c r="N27" s="1172"/>
      <c r="O27" s="1173"/>
      <c r="P27" s="1173"/>
      <c r="Q27" s="1173"/>
      <c r="R27" s="1173"/>
      <c r="S27" s="1173"/>
      <c r="T27" s="1173"/>
      <c r="U27"/>
      <c r="V27" s="313"/>
      <c r="AD27" s="384"/>
      <c r="AE27" s="384"/>
      <c r="AF27" s="384"/>
      <c r="AG27" s="384"/>
      <c r="AH27" s="384"/>
      <c r="AI27" s="384"/>
      <c r="AJ27" s="384"/>
      <c r="AK27" s="384"/>
      <c r="AL27" s="384"/>
      <c r="AM27" s="384"/>
      <c r="AN27" s="384"/>
    </row>
    <row r="28" spans="3:40" ht="17.100000000000001" customHeight="1">
      <c r="E28" s="2">
        <v>355</v>
      </c>
      <c r="F28" s="77"/>
      <c r="G28" s="74" t="s">
        <v>0</v>
      </c>
      <c r="H28" s="1108">
        <f>H27/J14</f>
        <v>0.25876716868377281</v>
      </c>
      <c r="I28" s="1109"/>
      <c r="J28" s="1109"/>
      <c r="K28" s="1110"/>
      <c r="L28" s="1171"/>
      <c r="M28" s="415"/>
      <c r="N28" s="1372" t="s">
        <v>236</v>
      </c>
      <c r="O28" s="339">
        <v>3</v>
      </c>
      <c r="P28" s="340">
        <f>'설계개요(1단지)'!P31</f>
        <v>2.484</v>
      </c>
      <c r="Q28" s="341">
        <v>2</v>
      </c>
      <c r="R28" s="342">
        <f>(O28-P28)/Q28</f>
        <v>0.25800000000000001</v>
      </c>
      <c r="S28" s="1175">
        <f>R29</f>
        <v>9420.2766000000083</v>
      </c>
      <c r="T28" s="1375">
        <f>P30+P31+P32</f>
        <v>110</v>
      </c>
      <c r="U28"/>
      <c r="V28" s="313"/>
      <c r="AD28" s="384"/>
      <c r="AE28" s="384"/>
      <c r="AF28" s="384"/>
      <c r="AG28" s="384"/>
      <c r="AH28" s="384"/>
      <c r="AI28" s="384"/>
      <c r="AJ28" s="384"/>
      <c r="AK28" s="384"/>
      <c r="AL28" s="384"/>
      <c r="AM28" s="384"/>
      <c r="AN28" s="384"/>
    </row>
    <row r="29" spans="3:40" ht="17.100000000000001" customHeight="1">
      <c r="F29" s="77"/>
      <c r="G29" s="75" t="s">
        <v>64</v>
      </c>
      <c r="H29" s="1105">
        <f>J23-R8-R9-R11</f>
        <v>109462.958</v>
      </c>
      <c r="I29" s="1106"/>
      <c r="J29" s="1107"/>
      <c r="K29" s="12">
        <f>ROUNDDOWN(H29*0.3025,2)</f>
        <v>33112.54</v>
      </c>
      <c r="L29" s="1180" t="s">
        <v>201</v>
      </c>
      <c r="M29" s="415"/>
      <c r="N29" s="1373"/>
      <c r="O29" s="343"/>
      <c r="P29" s="344">
        <f>J14</f>
        <v>36512.700000000033</v>
      </c>
      <c r="Q29" s="345">
        <f>R28</f>
        <v>0.25800000000000001</v>
      </c>
      <c r="R29" s="346">
        <f>P29*Q29</f>
        <v>9420.2766000000083</v>
      </c>
      <c r="S29" s="1176"/>
      <c r="T29" s="1376"/>
      <c r="U29" s="274"/>
      <c r="V29" s="275"/>
      <c r="AD29" s="384"/>
      <c r="AE29" s="384"/>
      <c r="AF29" s="384"/>
      <c r="AG29" s="384"/>
      <c r="AH29" s="384"/>
      <c r="AI29" s="384"/>
      <c r="AJ29" s="384"/>
      <c r="AK29" s="384"/>
      <c r="AL29" s="384"/>
      <c r="AM29" s="384"/>
      <c r="AN29" s="384"/>
    </row>
    <row r="30" spans="3:40" ht="17.100000000000001" customHeight="1">
      <c r="E30" s="11">
        <f>H45+H59</f>
        <v>69</v>
      </c>
      <c r="F30" s="77"/>
      <c r="G30" s="74" t="s">
        <v>62</v>
      </c>
      <c r="H30" s="854">
        <f>H29/J14</f>
        <v>2.997942031128892</v>
      </c>
      <c r="I30" s="855"/>
      <c r="J30" s="855"/>
      <c r="K30" s="856"/>
      <c r="L30" s="1181"/>
      <c r="M30" s="415"/>
      <c r="N30" s="1373"/>
      <c r="O30" s="347"/>
      <c r="P30" s="348"/>
      <c r="Q30" s="349"/>
      <c r="R30" s="350"/>
      <c r="S30" s="1182">
        <f>R30+R31+R32</f>
        <v>9470.1</v>
      </c>
      <c r="T30" s="1376"/>
      <c r="U30" s="274"/>
      <c r="V30" s="378">
        <f>S30-S28</f>
        <v>49.823399999992034</v>
      </c>
      <c r="AD30" s="384"/>
      <c r="AE30" s="384"/>
      <c r="AF30" s="384"/>
      <c r="AG30" s="384"/>
      <c r="AH30" s="384"/>
      <c r="AI30" s="384"/>
      <c r="AJ30" s="384"/>
      <c r="AK30" s="384"/>
      <c r="AL30" s="384"/>
      <c r="AM30" s="384"/>
      <c r="AN30" s="384"/>
    </row>
    <row r="31" spans="3:40" ht="17.100000000000001" customHeight="1">
      <c r="D31" s="321">
        <f>I47+I59+I63</f>
        <v>0.29424307036247332</v>
      </c>
      <c r="F31" s="77"/>
      <c r="G31" s="72" t="s">
        <v>63</v>
      </c>
      <c r="H31" s="1088">
        <f>H79</f>
        <v>938</v>
      </c>
      <c r="I31" s="1089"/>
      <c r="J31" s="1089"/>
      <c r="K31" s="1090"/>
      <c r="L31" s="20"/>
      <c r="M31" s="415"/>
      <c r="N31" s="1373"/>
      <c r="O31" s="351">
        <f>G48</f>
        <v>59</v>
      </c>
      <c r="P31" s="352">
        <f>H47</f>
        <v>98</v>
      </c>
      <c r="Q31" s="353">
        <f>N47</f>
        <v>82.59</v>
      </c>
      <c r="R31" s="354">
        <f>P31*Q31</f>
        <v>8093.8200000000006</v>
      </c>
      <c r="S31" s="1183"/>
      <c r="T31" s="1376"/>
      <c r="U31"/>
      <c r="V31" s="1185"/>
      <c r="AD31" s="384"/>
      <c r="AE31" s="384"/>
      <c r="AF31" s="384"/>
      <c r="AG31" s="384"/>
      <c r="AH31" s="384"/>
      <c r="AI31" s="384"/>
      <c r="AJ31" s="384"/>
      <c r="AK31" s="384"/>
      <c r="AL31" s="384"/>
      <c r="AM31" s="384"/>
      <c r="AN31" s="384"/>
    </row>
    <row r="32" spans="3:40" ht="17.100000000000001" customHeight="1">
      <c r="D32" s="321">
        <f>I65+I75</f>
        <v>0.17270788912579957</v>
      </c>
      <c r="F32" s="77"/>
      <c r="G32" s="74" t="s">
        <v>37</v>
      </c>
      <c r="H32" s="1370">
        <f>R26</f>
        <v>2351</v>
      </c>
      <c r="I32" s="1371"/>
      <c r="J32" s="1371"/>
      <c r="K32" s="828"/>
      <c r="L32" s="62">
        <f>$R$19/$H$79</f>
        <v>2.5</v>
      </c>
      <c r="M32" s="415"/>
      <c r="N32" s="1374"/>
      <c r="O32" s="355">
        <f>G52</f>
        <v>84</v>
      </c>
      <c r="P32" s="356">
        <f>H51</f>
        <v>12</v>
      </c>
      <c r="Q32" s="357">
        <f>N51</f>
        <v>114.69</v>
      </c>
      <c r="R32" s="346">
        <f>P32*Q32</f>
        <v>1376.28</v>
      </c>
      <c r="S32" s="1184"/>
      <c r="T32" s="1377"/>
      <c r="U32"/>
      <c r="V32" s="1186"/>
      <c r="AD32" s="384"/>
      <c r="AE32" s="384"/>
      <c r="AF32" s="384"/>
      <c r="AG32" s="384"/>
      <c r="AH32" s="384"/>
      <c r="AI32" s="384"/>
      <c r="AJ32" s="384"/>
      <c r="AK32" s="384"/>
      <c r="AL32" s="384"/>
      <c r="AM32" s="384"/>
      <c r="AN32" s="384"/>
    </row>
    <row r="33" spans="2:35" ht="6.75" customHeight="1">
      <c r="F33" s="77"/>
      <c r="G33" s="76"/>
      <c r="H33" s="57"/>
      <c r="I33" s="57"/>
      <c r="J33" s="57"/>
      <c r="K33" s="57"/>
      <c r="L33" s="57"/>
      <c r="M33" s="52"/>
      <c r="N33" s="57"/>
      <c r="O33" s="57"/>
      <c r="P33" s="57"/>
      <c r="Q33" s="57"/>
      <c r="R33" s="57"/>
      <c r="S33" s="57"/>
      <c r="T33" s="57"/>
      <c r="U33"/>
      <c r="V33" s="10"/>
      <c r="AE33" s="130"/>
      <c r="AF33" s="130"/>
      <c r="AG33" s="130"/>
      <c r="AH33" s="130"/>
      <c r="AI33" s="130"/>
    </row>
    <row r="34" spans="2:35" ht="18" thickBot="1">
      <c r="D34" s="321">
        <f>D31+D32</f>
        <v>0.46695095948827292</v>
      </c>
      <c r="F34" s="77"/>
      <c r="G34" s="951" t="s">
        <v>31</v>
      </c>
      <c r="H34" s="951"/>
      <c r="I34" s="951"/>
      <c r="J34" s="951"/>
      <c r="K34" s="951"/>
      <c r="L34" s="951"/>
      <c r="M34" s="951"/>
      <c r="N34" s="951"/>
      <c r="O34" s="951"/>
      <c r="P34" s="951"/>
      <c r="Q34" s="951"/>
      <c r="R34" s="951"/>
      <c r="S34" s="951"/>
      <c r="T34" s="952"/>
      <c r="AE34" s="130"/>
      <c r="AF34" s="130"/>
      <c r="AG34" s="130"/>
      <c r="AH34" s="130"/>
      <c r="AI34" s="130"/>
    </row>
    <row r="35" spans="2:35" s="4" customFormat="1" ht="15.75" customHeight="1">
      <c r="B35" s="1122"/>
      <c r="C35" s="1122"/>
      <c r="D35" s="1122"/>
      <c r="E35" s="1122"/>
      <c r="F35" s="78"/>
      <c r="G35" s="957" t="s">
        <v>16</v>
      </c>
      <c r="H35" s="877" t="s">
        <v>2</v>
      </c>
      <c r="I35" s="877" t="s">
        <v>17</v>
      </c>
      <c r="J35" s="877" t="s">
        <v>18</v>
      </c>
      <c r="K35" s="877" t="s">
        <v>19</v>
      </c>
      <c r="L35" s="877"/>
      <c r="M35" s="877"/>
      <c r="N35" s="877" t="s">
        <v>8</v>
      </c>
      <c r="O35" s="877" t="s">
        <v>30</v>
      </c>
      <c r="P35" s="877"/>
      <c r="Q35" s="877"/>
      <c r="R35" s="877" t="s">
        <v>23</v>
      </c>
      <c r="S35" s="877" t="s">
        <v>20</v>
      </c>
      <c r="T35" s="956" t="s">
        <v>68</v>
      </c>
      <c r="V35" s="1275" t="s">
        <v>458</v>
      </c>
      <c r="W35" s="1436" t="s">
        <v>460</v>
      </c>
      <c r="X35" s="1275" t="s">
        <v>459</v>
      </c>
      <c r="Y35" s="1277" t="s">
        <v>459</v>
      </c>
      <c r="Z35" s="1275" t="s">
        <v>461</v>
      </c>
      <c r="AA35" s="1277" t="s">
        <v>462</v>
      </c>
      <c r="AB35" s="754"/>
      <c r="AC35" s="754"/>
      <c r="AE35" s="382"/>
      <c r="AF35" s="382"/>
      <c r="AG35" s="382"/>
      <c r="AH35" s="382"/>
      <c r="AI35" s="382"/>
    </row>
    <row r="36" spans="2:35" s="4" customFormat="1" ht="15.75" customHeight="1" thickBot="1">
      <c r="B36" s="1122"/>
      <c r="C36" s="1122"/>
      <c r="D36" s="1122"/>
      <c r="E36" s="1122"/>
      <c r="F36" s="78"/>
      <c r="G36" s="958"/>
      <c r="H36" s="878"/>
      <c r="I36" s="878"/>
      <c r="J36" s="878"/>
      <c r="K36" s="80" t="s">
        <v>21</v>
      </c>
      <c r="L36" s="80" t="s">
        <v>142</v>
      </c>
      <c r="M36" s="80" t="s">
        <v>22</v>
      </c>
      <c r="N36" s="878"/>
      <c r="O36" s="80" t="s">
        <v>28</v>
      </c>
      <c r="P36" s="80" t="s">
        <v>15</v>
      </c>
      <c r="Q36" s="80" t="s">
        <v>32</v>
      </c>
      <c r="R36" s="878"/>
      <c r="S36" s="878"/>
      <c r="T36" s="878"/>
      <c r="V36" s="1276"/>
      <c r="W36" s="1437"/>
      <c r="X36" s="1276"/>
      <c r="Y36" s="1278"/>
      <c r="Z36" s="1276"/>
      <c r="AA36" s="1278"/>
      <c r="AB36" s="754"/>
      <c r="AC36" s="754"/>
      <c r="AE36" s="382"/>
      <c r="AF36" s="382"/>
      <c r="AG36" s="382"/>
      <c r="AH36" s="382"/>
      <c r="AI36" s="382"/>
    </row>
    <row r="37" spans="2:35" ht="11.25" hidden="1" customHeight="1">
      <c r="B37" s="1127"/>
      <c r="C37" s="1121"/>
      <c r="D37" s="1121"/>
      <c r="E37" s="1121">
        <f>ROUNDUP(H79*0.05,0)</f>
        <v>47</v>
      </c>
      <c r="F37" s="1187" t="e">
        <f>H37/#REF!</f>
        <v>#REF!</v>
      </c>
      <c r="G37" s="297">
        <f>ROUNDDOWN(N38,0)</f>
        <v>17</v>
      </c>
      <c r="H37" s="1194"/>
      <c r="I37" s="1195">
        <f>H37/$H$79</f>
        <v>0</v>
      </c>
      <c r="J37" s="299">
        <f>J55</f>
        <v>39.96</v>
      </c>
      <c r="K37" s="299">
        <f>K55</f>
        <v>3.65</v>
      </c>
      <c r="L37" s="299">
        <f>L55</f>
        <v>14.8</v>
      </c>
      <c r="M37" s="299">
        <f>K37+L37</f>
        <v>18.45</v>
      </c>
      <c r="N37" s="299">
        <f>J37+M37</f>
        <v>58.41</v>
      </c>
      <c r="O37" s="299">
        <f>$O$79/$J$79*J37</f>
        <v>0.19638621836614134</v>
      </c>
      <c r="P37" s="299">
        <f>$P$79/$J$79*J37</f>
        <v>3.3252850942073926</v>
      </c>
      <c r="Q37" s="299">
        <f>$Q$79/$J$79*J37</f>
        <v>46.052568206860144</v>
      </c>
      <c r="R37" s="299">
        <f>O37+P37+Q37</f>
        <v>49.574239519433675</v>
      </c>
      <c r="S37" s="299">
        <f>N37+R37</f>
        <v>107.98423951943367</v>
      </c>
      <c r="T37" s="1196" t="s">
        <v>478</v>
      </c>
      <c r="V37" s="1285"/>
      <c r="X37" s="739"/>
      <c r="Y37" s="740"/>
      <c r="Z37" s="739"/>
      <c r="AA37" s="740"/>
    </row>
    <row r="38" spans="2:35" ht="11.25" hidden="1" customHeight="1">
      <c r="B38" s="1076"/>
      <c r="C38" s="1121"/>
      <c r="D38" s="1121"/>
      <c r="E38" s="1121"/>
      <c r="F38" s="1187"/>
      <c r="G38" s="296">
        <v>39</v>
      </c>
      <c r="H38" s="1189"/>
      <c r="I38" s="1191"/>
      <c r="J38" s="298">
        <f t="shared" ref="J38:S38" si="4">ROUNDDOWN(J37*0.3025,2)</f>
        <v>12.08</v>
      </c>
      <c r="K38" s="298">
        <f t="shared" si="4"/>
        <v>1.1000000000000001</v>
      </c>
      <c r="L38" s="298">
        <f t="shared" si="4"/>
        <v>4.47</v>
      </c>
      <c r="M38" s="298">
        <f t="shared" si="4"/>
        <v>5.58</v>
      </c>
      <c r="N38" s="298">
        <f t="shared" si="4"/>
        <v>17.66</v>
      </c>
      <c r="O38" s="298">
        <f t="shared" si="4"/>
        <v>0.05</v>
      </c>
      <c r="P38" s="298">
        <f t="shared" si="4"/>
        <v>1</v>
      </c>
      <c r="Q38" s="298">
        <f t="shared" si="4"/>
        <v>13.93</v>
      </c>
      <c r="R38" s="298">
        <f t="shared" si="4"/>
        <v>14.99</v>
      </c>
      <c r="S38" s="298">
        <f t="shared" si="4"/>
        <v>32.659999999999997</v>
      </c>
      <c r="T38" s="1197"/>
      <c r="V38" s="1286"/>
      <c r="X38" s="739"/>
      <c r="Y38" s="740"/>
      <c r="Z38" s="739"/>
      <c r="AA38" s="740"/>
    </row>
    <row r="39" spans="2:35" ht="12" customHeight="1">
      <c r="B39" s="1127"/>
      <c r="C39" s="1121"/>
      <c r="D39" s="1121"/>
      <c r="E39" s="1121"/>
      <c r="F39" s="1187" t="e">
        <f>H39/#REF!</f>
        <v>#REF!</v>
      </c>
      <c r="G39" s="300">
        <f>ROUNDDOWN(N40,0)</f>
        <v>24</v>
      </c>
      <c r="H39" s="1435">
        <v>17</v>
      </c>
      <c r="I39" s="1434">
        <f>H39/$H$79</f>
        <v>1.8123667377398719E-2</v>
      </c>
      <c r="J39" s="802">
        <v>59.99</v>
      </c>
      <c r="K39" s="802">
        <f>K47</f>
        <v>6.1</v>
      </c>
      <c r="L39" s="802">
        <v>16.5</v>
      </c>
      <c r="M39" s="802">
        <f>K39+L39</f>
        <v>22.6</v>
      </c>
      <c r="N39" s="802">
        <f>M39+J39</f>
        <v>82.59</v>
      </c>
      <c r="O39" s="802">
        <f>$O$79/$J$79*J39</f>
        <v>0.29482505605067116</v>
      </c>
      <c r="P39" s="802">
        <f>$P$79/$J$79*J39</f>
        <v>4.9920884084459827</v>
      </c>
      <c r="Q39" s="802">
        <f>$Q$79/$J$79*J39</f>
        <v>69.136475643882392</v>
      </c>
      <c r="R39" s="802">
        <f>O39+P39+Q39</f>
        <v>74.423389108379041</v>
      </c>
      <c r="S39" s="802">
        <f>N39+R39</f>
        <v>157.01338910837904</v>
      </c>
      <c r="T39" s="1197"/>
      <c r="V39" s="751"/>
      <c r="X39" s="739"/>
      <c r="Y39" s="740"/>
      <c r="Z39" s="739"/>
      <c r="AA39" s="740"/>
    </row>
    <row r="40" spans="2:35" ht="12" customHeight="1">
      <c r="B40" s="1076"/>
      <c r="C40" s="1121"/>
      <c r="D40" s="1121"/>
      <c r="E40" s="1121"/>
      <c r="F40" s="1187"/>
      <c r="G40" s="296">
        <f>ROUNDDOWN(J39,0)</f>
        <v>59</v>
      </c>
      <c r="H40" s="1189"/>
      <c r="I40" s="1191"/>
      <c r="J40" s="298">
        <f t="shared" ref="J40:S40" si="5">ROUNDDOWN(J39*0.3025,2)</f>
        <v>18.14</v>
      </c>
      <c r="K40" s="298">
        <f t="shared" si="5"/>
        <v>1.84</v>
      </c>
      <c r="L40" s="298">
        <f t="shared" si="5"/>
        <v>4.99</v>
      </c>
      <c r="M40" s="298">
        <f t="shared" si="5"/>
        <v>6.83</v>
      </c>
      <c r="N40" s="298">
        <f t="shared" si="5"/>
        <v>24.98</v>
      </c>
      <c r="O40" s="298">
        <f t="shared" si="5"/>
        <v>0.08</v>
      </c>
      <c r="P40" s="298">
        <f t="shared" si="5"/>
        <v>1.51</v>
      </c>
      <c r="Q40" s="301">
        <f t="shared" si="5"/>
        <v>20.91</v>
      </c>
      <c r="R40" s="301">
        <f t="shared" si="5"/>
        <v>22.51</v>
      </c>
      <c r="S40" s="301">
        <f t="shared" si="5"/>
        <v>47.49</v>
      </c>
      <c r="T40" s="1197"/>
      <c r="V40" s="752"/>
      <c r="X40" s="739"/>
      <c r="Y40" s="740"/>
      <c r="Z40" s="739"/>
      <c r="AA40" s="740"/>
    </row>
    <row r="41" spans="2:35" ht="12" customHeight="1">
      <c r="B41" s="130"/>
      <c r="C41" s="308"/>
      <c r="D41" s="308"/>
      <c r="E41" s="308"/>
      <c r="F41" s="1187" t="e">
        <f>H41/#REF!</f>
        <v>#REF!</v>
      </c>
      <c r="G41" s="300">
        <f>ROUNDDOWN(N42,0)</f>
        <v>34</v>
      </c>
      <c r="H41" s="1435">
        <v>2</v>
      </c>
      <c r="I41" s="1434">
        <f>H41/$H$79</f>
        <v>2.1321961620469083E-3</v>
      </c>
      <c r="J41" s="802">
        <v>84.99</v>
      </c>
      <c r="K41" s="802">
        <v>8.1999999999999993</v>
      </c>
      <c r="L41" s="802">
        <v>21.5</v>
      </c>
      <c r="M41" s="802">
        <f>K41+L41</f>
        <v>29.7</v>
      </c>
      <c r="N41" s="802">
        <f>M41+J41</f>
        <v>114.69</v>
      </c>
      <c r="O41" s="802">
        <f>$O$79/$J$79*J41</f>
        <v>0.41768930678023902</v>
      </c>
      <c r="P41" s="802">
        <f>$P$79/$J$79*J41</f>
        <v>7.0724719758930501</v>
      </c>
      <c r="Q41" s="802">
        <f>$Q$79/$J$79*J41</f>
        <v>97.948142439966048</v>
      </c>
      <c r="R41" s="802">
        <f>O41+P41+Q41</f>
        <v>105.43830372263933</v>
      </c>
      <c r="S41" s="802">
        <f>N41+R41</f>
        <v>220.12830372263932</v>
      </c>
      <c r="T41" s="1197"/>
      <c r="V41" s="753"/>
      <c r="X41" s="739"/>
      <c r="Y41" s="740"/>
      <c r="Z41" s="739"/>
      <c r="AA41" s="740"/>
    </row>
    <row r="42" spans="2:35" ht="12" customHeight="1">
      <c r="B42" s="130"/>
      <c r="C42" s="308"/>
      <c r="D42" s="308"/>
      <c r="E42" s="308"/>
      <c r="F42" s="1187"/>
      <c r="G42" s="296">
        <f>ROUNDDOWN(J41,0)</f>
        <v>84</v>
      </c>
      <c r="H42" s="1189"/>
      <c r="I42" s="1191"/>
      <c r="J42" s="298">
        <f t="shared" ref="J42:S42" si="6">ROUNDDOWN(J41*0.3025,2)</f>
        <v>25.7</v>
      </c>
      <c r="K42" s="298">
        <f t="shared" si="6"/>
        <v>2.48</v>
      </c>
      <c r="L42" s="298">
        <f t="shared" si="6"/>
        <v>6.5</v>
      </c>
      <c r="M42" s="298">
        <f t="shared" si="6"/>
        <v>8.98</v>
      </c>
      <c r="N42" s="298">
        <f t="shared" si="6"/>
        <v>34.69</v>
      </c>
      <c r="O42" s="298">
        <f t="shared" si="6"/>
        <v>0.12</v>
      </c>
      <c r="P42" s="298">
        <f t="shared" si="6"/>
        <v>2.13</v>
      </c>
      <c r="Q42" s="301">
        <f t="shared" si="6"/>
        <v>29.62</v>
      </c>
      <c r="R42" s="301">
        <f t="shared" si="6"/>
        <v>31.89</v>
      </c>
      <c r="S42" s="301">
        <f t="shared" si="6"/>
        <v>66.58</v>
      </c>
      <c r="T42" s="1197"/>
      <c r="V42" s="753"/>
      <c r="X42" s="739"/>
      <c r="Y42" s="740"/>
      <c r="Z42" s="739"/>
      <c r="AA42" s="740"/>
    </row>
    <row r="43" spans="2:35" ht="12" hidden="1" customHeight="1">
      <c r="B43" s="130"/>
      <c r="C43" s="308"/>
      <c r="D43" s="308"/>
      <c r="E43" s="1128"/>
      <c r="F43" s="336"/>
      <c r="G43" s="316">
        <f>ROUNDDOWN(N44,0)</f>
        <v>20</v>
      </c>
      <c r="H43" s="1192">
        <v>0</v>
      </c>
      <c r="I43" s="369">
        <f>H43/$H$79</f>
        <v>0</v>
      </c>
      <c r="J43" s="364">
        <v>49.8</v>
      </c>
      <c r="K43" s="364">
        <v>3.7</v>
      </c>
      <c r="L43" s="364">
        <v>14.2</v>
      </c>
      <c r="M43" s="364">
        <f>K43+L43</f>
        <v>17.899999999999999</v>
      </c>
      <c r="N43" s="364">
        <f>M43+J43</f>
        <v>67.699999999999989</v>
      </c>
      <c r="O43" s="364">
        <f>$O$79/$J$79*J43</f>
        <v>0.24474558745329925</v>
      </c>
      <c r="P43" s="364">
        <f>$P$79/$J$79*J43</f>
        <v>4.144124066354558</v>
      </c>
      <c r="Q43" s="364">
        <f>$Q$79/$J$79*J43</f>
        <v>57.392840257798674</v>
      </c>
      <c r="R43" s="364">
        <f>O43+P43+Q43</f>
        <v>61.781709911606534</v>
      </c>
      <c r="S43" s="364">
        <f>N43+R43</f>
        <v>129.48170991160652</v>
      </c>
      <c r="T43" s="1198" t="s">
        <v>477</v>
      </c>
      <c r="U43" s="173">
        <f>J43/N43</f>
        <v>0.73559822747415071</v>
      </c>
      <c r="V43" s="753"/>
      <c r="X43" s="739"/>
      <c r="Y43" s="740"/>
      <c r="Z43" s="739"/>
      <c r="AA43" s="740"/>
    </row>
    <row r="44" spans="2:35" ht="12" hidden="1" customHeight="1">
      <c r="B44" s="130"/>
      <c r="C44" s="308"/>
      <c r="D44" s="308"/>
      <c r="E44" s="1129"/>
      <c r="F44" s="336"/>
      <c r="G44" s="318">
        <f>ROUNDDOWN(J43,0)</f>
        <v>49</v>
      </c>
      <c r="H44" s="1193"/>
      <c r="I44" s="373">
        <f>H43/$H$53</f>
        <v>0</v>
      </c>
      <c r="J44" s="319">
        <f t="shared" ref="J44:S44" si="7">ROUNDDOWN(J43*0.3025,2)</f>
        <v>15.06</v>
      </c>
      <c r="K44" s="319">
        <f t="shared" si="7"/>
        <v>1.1100000000000001</v>
      </c>
      <c r="L44" s="319">
        <f t="shared" si="7"/>
        <v>4.29</v>
      </c>
      <c r="M44" s="319">
        <f t="shared" si="7"/>
        <v>5.41</v>
      </c>
      <c r="N44" s="319">
        <f t="shared" si="7"/>
        <v>20.47</v>
      </c>
      <c r="O44" s="319">
        <f t="shared" si="7"/>
        <v>7.0000000000000007E-2</v>
      </c>
      <c r="P44" s="319">
        <f t="shared" si="7"/>
        <v>1.25</v>
      </c>
      <c r="Q44" s="320">
        <f t="shared" si="7"/>
        <v>17.36</v>
      </c>
      <c r="R44" s="320">
        <f t="shared" si="7"/>
        <v>18.68</v>
      </c>
      <c r="S44" s="320">
        <f t="shared" si="7"/>
        <v>39.159999999999997</v>
      </c>
      <c r="T44" s="1198"/>
      <c r="U44" s="173"/>
      <c r="V44" s="753"/>
      <c r="X44" s="739"/>
      <c r="Y44" s="740"/>
      <c r="Z44" s="739"/>
      <c r="AA44" s="740"/>
    </row>
    <row r="45" spans="2:35" ht="12" hidden="1" customHeight="1">
      <c r="B45" s="130"/>
      <c r="C45" s="308"/>
      <c r="D45" s="308"/>
      <c r="E45" s="1130"/>
      <c r="F45" s="336"/>
      <c r="G45" s="316">
        <f>ROUNDDOWN(N44,0)</f>
        <v>20</v>
      </c>
      <c r="H45" s="823"/>
      <c r="I45" s="1130">
        <f>H45/$H$79</f>
        <v>0</v>
      </c>
      <c r="J45" s="809">
        <v>59.99</v>
      </c>
      <c r="K45" s="809">
        <v>6.1</v>
      </c>
      <c r="L45" s="809">
        <v>16.5</v>
      </c>
      <c r="M45" s="809">
        <f>K45+L45</f>
        <v>22.6</v>
      </c>
      <c r="N45" s="809">
        <f>M45+J45</f>
        <v>82.59</v>
      </c>
      <c r="O45" s="809">
        <f>$O$79/$J$79*J45</f>
        <v>0.29482505605067116</v>
      </c>
      <c r="P45" s="809">
        <f>$P$79/$J$79*J45</f>
        <v>4.9920884084459827</v>
      </c>
      <c r="Q45" s="809">
        <f>$Q$79/$J$79*J45</f>
        <v>69.136475643882392</v>
      </c>
      <c r="R45" s="809">
        <f>O45+P45+Q45</f>
        <v>74.423389108379041</v>
      </c>
      <c r="S45" s="810">
        <f>N45+R45</f>
        <v>157.01338910837904</v>
      </c>
      <c r="T45" s="1198"/>
      <c r="U45" s="173"/>
      <c r="V45" s="753"/>
      <c r="X45" s="739"/>
      <c r="Y45" s="740"/>
      <c r="Z45" s="739"/>
      <c r="AA45" s="740"/>
    </row>
    <row r="46" spans="2:35" ht="12" hidden="1" customHeight="1">
      <c r="B46" s="130"/>
      <c r="C46" s="308"/>
      <c r="D46" s="308"/>
      <c r="E46" s="1129"/>
      <c r="F46" s="336"/>
      <c r="G46" s="318">
        <f>ROUNDDOWN(J43,0)</f>
        <v>49</v>
      </c>
      <c r="H46" s="824"/>
      <c r="I46" s="1129"/>
      <c r="J46" s="811">
        <f t="shared" ref="J46:S46" si="8">ROUNDDOWN(J45*0.3025,2)</f>
        <v>18.14</v>
      </c>
      <c r="K46" s="811">
        <f t="shared" si="8"/>
        <v>1.84</v>
      </c>
      <c r="L46" s="811">
        <f t="shared" si="8"/>
        <v>4.99</v>
      </c>
      <c r="M46" s="811">
        <f t="shared" si="8"/>
        <v>6.83</v>
      </c>
      <c r="N46" s="811">
        <f t="shared" si="8"/>
        <v>24.98</v>
      </c>
      <c r="O46" s="811">
        <f t="shared" si="8"/>
        <v>0.08</v>
      </c>
      <c r="P46" s="811">
        <f t="shared" si="8"/>
        <v>1.51</v>
      </c>
      <c r="Q46" s="811">
        <f t="shared" si="8"/>
        <v>20.91</v>
      </c>
      <c r="R46" s="811">
        <f t="shared" si="8"/>
        <v>22.51</v>
      </c>
      <c r="S46" s="811">
        <f t="shared" si="8"/>
        <v>47.49</v>
      </c>
      <c r="T46" s="1198"/>
      <c r="U46" s="173"/>
      <c r="V46" s="753"/>
      <c r="X46" s="739"/>
      <c r="Y46" s="740"/>
      <c r="Z46" s="739"/>
      <c r="AA46" s="740"/>
    </row>
    <row r="47" spans="2:35" ht="12" customHeight="1">
      <c r="B47" s="1127"/>
      <c r="C47" s="1121"/>
      <c r="D47" s="1121"/>
      <c r="E47" s="1307">
        <f>(H39+H47)/$H$53</f>
        <v>0.89147286821705429</v>
      </c>
      <c r="F47" s="130"/>
      <c r="G47" s="316">
        <f>ROUNDDOWN(N48,0)</f>
        <v>24</v>
      </c>
      <c r="H47" s="1200">
        <v>98</v>
      </c>
      <c r="I47" s="369">
        <f>H45/$H$79</f>
        <v>0</v>
      </c>
      <c r="J47" s="364">
        <v>59.99</v>
      </c>
      <c r="K47" s="364">
        <f>K59</f>
        <v>6.1</v>
      </c>
      <c r="L47" s="364">
        <v>16.5</v>
      </c>
      <c r="M47" s="364">
        <f>K47+L47</f>
        <v>22.6</v>
      </c>
      <c r="N47" s="364">
        <f>M47+J47</f>
        <v>82.59</v>
      </c>
      <c r="O47" s="364">
        <f>$O$79/$J$79*J47</f>
        <v>0.29482505605067116</v>
      </c>
      <c r="P47" s="364">
        <f>$P$79/$J$79*J47</f>
        <v>4.9920884084459827</v>
      </c>
      <c r="Q47" s="364">
        <f>$Q$79/$J$79*J47</f>
        <v>69.136475643882392</v>
      </c>
      <c r="R47" s="364">
        <f>O47+P47+Q47</f>
        <v>74.423389108379041</v>
      </c>
      <c r="S47" s="364">
        <f>N47+R47</f>
        <v>157.01338910837904</v>
      </c>
      <c r="T47" s="1198"/>
      <c r="U47" s="173">
        <f>J47/N47</f>
        <v>0.72635912338055453</v>
      </c>
      <c r="V47" s="1200">
        <f>30+33</f>
        <v>63</v>
      </c>
      <c r="W47" s="730">
        <f>V47/$V$79</f>
        <v>6.3894523326572014E-2</v>
      </c>
      <c r="X47" s="1200">
        <f>42+17</f>
        <v>59</v>
      </c>
      <c r="Y47" s="741">
        <f>X47/$X$79</f>
        <v>6.1139896373056994E-2</v>
      </c>
      <c r="Z47" s="1279">
        <f>V47+X47</f>
        <v>122</v>
      </c>
      <c r="AA47" s="741">
        <f>Z47/$Z$79</f>
        <v>6.2532034853921073E-2</v>
      </c>
      <c r="AB47" s="1279">
        <f>H45-Z47</f>
        <v>-122</v>
      </c>
      <c r="AC47" s="760">
        <v>23</v>
      </c>
      <c r="AE47" s="130" t="s">
        <v>305</v>
      </c>
      <c r="AF47" s="130" t="s">
        <v>314</v>
      </c>
      <c r="AG47" s="130"/>
      <c r="AH47" s="130" t="s">
        <v>325</v>
      </c>
      <c r="AI47" s="130">
        <v>720</v>
      </c>
    </row>
    <row r="48" spans="2:35" ht="12" customHeight="1">
      <c r="B48" s="1076"/>
      <c r="C48" s="1121"/>
      <c r="D48" s="1121"/>
      <c r="E48" s="1308"/>
      <c r="F48" s="130"/>
      <c r="G48" s="318">
        <f>ROUNDDOWN(J47,0)</f>
        <v>59</v>
      </c>
      <c r="H48" s="1193"/>
      <c r="I48" s="373">
        <f>H45/$H$53</f>
        <v>0</v>
      </c>
      <c r="J48" s="319">
        <f t="shared" ref="J48:S48" si="9">ROUNDDOWN(J47*0.3025,2)</f>
        <v>18.14</v>
      </c>
      <c r="K48" s="319">
        <f t="shared" si="9"/>
        <v>1.84</v>
      </c>
      <c r="L48" s="319">
        <f t="shared" si="9"/>
        <v>4.99</v>
      </c>
      <c r="M48" s="319">
        <f t="shared" si="9"/>
        <v>6.83</v>
      </c>
      <c r="N48" s="319">
        <f t="shared" si="9"/>
        <v>24.98</v>
      </c>
      <c r="O48" s="319">
        <f t="shared" si="9"/>
        <v>0.08</v>
      </c>
      <c r="P48" s="319">
        <f t="shared" si="9"/>
        <v>1.51</v>
      </c>
      <c r="Q48" s="320">
        <f t="shared" si="9"/>
        <v>20.91</v>
      </c>
      <c r="R48" s="320">
        <f t="shared" si="9"/>
        <v>22.51</v>
      </c>
      <c r="S48" s="320">
        <f t="shared" si="9"/>
        <v>47.49</v>
      </c>
      <c r="T48" s="1198"/>
      <c r="U48" s="173"/>
      <c r="V48" s="1193"/>
      <c r="W48" s="731">
        <f>V47/$V$53</f>
        <v>0.63636363636363635</v>
      </c>
      <c r="X48" s="1193"/>
      <c r="Y48" s="742">
        <f>X47/$X$53</f>
        <v>0.61458333333333337</v>
      </c>
      <c r="Z48" s="1280"/>
      <c r="AA48" s="742">
        <f>Z47/$Z$53</f>
        <v>0.62564102564102564</v>
      </c>
      <c r="AB48" s="1280"/>
      <c r="AC48" s="193"/>
      <c r="AE48" s="130" t="s">
        <v>306</v>
      </c>
      <c r="AF48" s="130" t="s">
        <v>315</v>
      </c>
      <c r="AG48" s="130"/>
      <c r="AH48" s="130" t="s">
        <v>307</v>
      </c>
      <c r="AI48" s="130">
        <v>860</v>
      </c>
    </row>
    <row r="49" spans="2:35" ht="12" hidden="1" customHeight="1">
      <c r="B49" s="130"/>
      <c r="C49" s="308"/>
      <c r="D49" s="308"/>
      <c r="E49" s="1307"/>
      <c r="F49" s="130"/>
      <c r="G49" s="316">
        <f>ROUNDDOWN(N50,0)</f>
        <v>30</v>
      </c>
      <c r="H49" s="1200"/>
      <c r="I49" s="1128">
        <f>H49/$H$79</f>
        <v>0</v>
      </c>
      <c r="J49" s="317">
        <f>J61</f>
        <v>74.989999999999995</v>
      </c>
      <c r="K49" s="317">
        <f>K61</f>
        <v>7.03</v>
      </c>
      <c r="L49" s="317">
        <f>L61</f>
        <v>18.5</v>
      </c>
      <c r="M49" s="317">
        <f>K49+L49</f>
        <v>25.53</v>
      </c>
      <c r="N49" s="317">
        <f>M49+J49</f>
        <v>100.52</v>
      </c>
      <c r="O49" s="317">
        <f>$O$79/$J$79*J49</f>
        <v>0.36854360648841183</v>
      </c>
      <c r="P49" s="317">
        <f>$P$79/$J$79*J49</f>
        <v>6.2403185489142228</v>
      </c>
      <c r="Q49" s="317">
        <f>$Q$79/$J$79*J49</f>
        <v>86.423475721532583</v>
      </c>
      <c r="R49" s="317">
        <f>O49+P49+Q49</f>
        <v>93.032337876935216</v>
      </c>
      <c r="S49" s="317">
        <f>N49+R49</f>
        <v>193.55233787693521</v>
      </c>
      <c r="T49" s="1198"/>
      <c r="U49" s="173"/>
      <c r="V49" s="1200"/>
      <c r="W49" s="1438">
        <f>V49/$H$79</f>
        <v>0</v>
      </c>
      <c r="X49" s="1200"/>
      <c r="Y49" s="1283">
        <f>X49/$H$79</f>
        <v>0</v>
      </c>
      <c r="Z49" s="1281"/>
      <c r="AA49" s="1283">
        <f>Z49/$H$79</f>
        <v>0</v>
      </c>
      <c r="AB49" s="1281"/>
      <c r="AC49" s="193"/>
      <c r="AE49" s="130" t="s">
        <v>307</v>
      </c>
      <c r="AF49" s="130" t="s">
        <v>316</v>
      </c>
      <c r="AG49" s="130"/>
      <c r="AH49" s="130" t="s">
        <v>309</v>
      </c>
      <c r="AI49" s="130">
        <v>410</v>
      </c>
    </row>
    <row r="50" spans="2:35" ht="12" hidden="1" customHeight="1">
      <c r="B50" s="130"/>
      <c r="C50" s="308"/>
      <c r="D50" s="308"/>
      <c r="E50" s="1308"/>
      <c r="F50" s="130"/>
      <c r="G50" s="318">
        <f>ROUNDDOWN(J49,0)</f>
        <v>74</v>
      </c>
      <c r="H50" s="1193"/>
      <c r="I50" s="1129"/>
      <c r="J50" s="319">
        <f t="shared" ref="J50:S50" si="10">ROUNDDOWN(J49*0.3025,2)</f>
        <v>22.68</v>
      </c>
      <c r="K50" s="319">
        <f t="shared" si="10"/>
        <v>2.12</v>
      </c>
      <c r="L50" s="319">
        <f t="shared" si="10"/>
        <v>5.59</v>
      </c>
      <c r="M50" s="319">
        <f t="shared" si="10"/>
        <v>7.72</v>
      </c>
      <c r="N50" s="319">
        <f t="shared" si="10"/>
        <v>30.4</v>
      </c>
      <c r="O50" s="319">
        <f t="shared" si="10"/>
        <v>0.11</v>
      </c>
      <c r="P50" s="319">
        <f t="shared" si="10"/>
        <v>1.88</v>
      </c>
      <c r="Q50" s="320">
        <f t="shared" si="10"/>
        <v>26.14</v>
      </c>
      <c r="R50" s="320">
        <f t="shared" si="10"/>
        <v>28.14</v>
      </c>
      <c r="S50" s="320">
        <f t="shared" si="10"/>
        <v>58.54</v>
      </c>
      <c r="T50" s="1198"/>
      <c r="U50" s="173"/>
      <c r="V50" s="1193"/>
      <c r="W50" s="1439"/>
      <c r="X50" s="1193"/>
      <c r="Y50" s="1284"/>
      <c r="Z50" s="1282"/>
      <c r="AA50" s="1284"/>
      <c r="AB50" s="1282"/>
      <c r="AC50" s="193"/>
      <c r="AE50" s="130" t="s">
        <v>308</v>
      </c>
      <c r="AF50" s="130" t="s">
        <v>317</v>
      </c>
      <c r="AG50" s="130"/>
      <c r="AH50" s="130" t="s">
        <v>326</v>
      </c>
      <c r="AI50" s="130">
        <v>30</v>
      </c>
    </row>
    <row r="51" spans="2:35" ht="12" customHeight="1">
      <c r="B51" s="1127"/>
      <c r="C51" s="1121"/>
      <c r="D51" s="1121"/>
      <c r="E51" s="1307">
        <f>(H41+H51)/$H$53</f>
        <v>0.10852713178294573</v>
      </c>
      <c r="F51" s="130">
        <f>H51/H53*100</f>
        <v>9.3023255813953494</v>
      </c>
      <c r="G51" s="316">
        <f>ROUNDDOWN(N52,0)</f>
        <v>34</v>
      </c>
      <c r="H51" s="1200">
        <v>12</v>
      </c>
      <c r="I51" s="369">
        <f>H51/$H$79</f>
        <v>1.279317697228145E-2</v>
      </c>
      <c r="J51" s="364">
        <v>84.99</v>
      </c>
      <c r="K51" s="364">
        <v>8.1999999999999993</v>
      </c>
      <c r="L51" s="364">
        <v>21.5</v>
      </c>
      <c r="M51" s="364">
        <f>K51+L51</f>
        <v>29.7</v>
      </c>
      <c r="N51" s="364">
        <f>M51+J51</f>
        <v>114.69</v>
      </c>
      <c r="O51" s="364">
        <f>$O$79/$J$79*J51</f>
        <v>0.41768930678023902</v>
      </c>
      <c r="P51" s="364">
        <f>$P$79/$J$79*J51</f>
        <v>7.0724719758930501</v>
      </c>
      <c r="Q51" s="364">
        <f>$Q$79/$J$79*J51</f>
        <v>97.948142439966048</v>
      </c>
      <c r="R51" s="364">
        <f>O51+P51+Q51</f>
        <v>105.43830372263933</v>
      </c>
      <c r="S51" s="364">
        <f>N51+R51</f>
        <v>220.12830372263932</v>
      </c>
      <c r="T51" s="1198"/>
      <c r="U51" s="173">
        <f>J51/N51</f>
        <v>0.74104106722469265</v>
      </c>
      <c r="V51" s="1200">
        <f>63-26-1</f>
        <v>36</v>
      </c>
      <c r="W51" s="730">
        <f>V51/$V$79</f>
        <v>3.6511156186612576E-2</v>
      </c>
      <c r="X51" s="1200">
        <f>52-12-3</f>
        <v>37</v>
      </c>
      <c r="Y51" s="741">
        <f>X51/$X$79</f>
        <v>3.8341968911917101E-2</v>
      </c>
      <c r="Z51" s="1279">
        <f>V51+X51</f>
        <v>73</v>
      </c>
      <c r="AA51" s="741">
        <f t="shared" ref="AA51" si="11">Z51/$Z$79</f>
        <v>3.7416709379805228E-2</v>
      </c>
      <c r="AB51" s="1279">
        <f t="shared" ref="AB51" si="12">H51-Z51</f>
        <v>-61</v>
      </c>
      <c r="AC51" s="760">
        <v>23</v>
      </c>
      <c r="AE51" s="130" t="s">
        <v>307</v>
      </c>
      <c r="AF51" s="130" t="s">
        <v>316</v>
      </c>
      <c r="AG51" s="130"/>
      <c r="AH51" s="130" t="s">
        <v>311</v>
      </c>
      <c r="AI51" s="130">
        <v>875</v>
      </c>
    </row>
    <row r="52" spans="2:35" ht="12" customHeight="1">
      <c r="B52" s="1076"/>
      <c r="C52" s="1121"/>
      <c r="D52" s="1121"/>
      <c r="E52" s="1308"/>
      <c r="G52" s="318">
        <f>ROUNDDOWN(J51,0)</f>
        <v>84</v>
      </c>
      <c r="H52" s="1193"/>
      <c r="I52" s="373">
        <f>H51/$H$53</f>
        <v>9.3023255813953487E-2</v>
      </c>
      <c r="J52" s="319">
        <f t="shared" ref="J52:S52" si="13">ROUNDDOWN(J51*0.3025,2)</f>
        <v>25.7</v>
      </c>
      <c r="K52" s="319">
        <f t="shared" si="13"/>
        <v>2.48</v>
      </c>
      <c r="L52" s="319">
        <f t="shared" si="13"/>
        <v>6.5</v>
      </c>
      <c r="M52" s="319">
        <f t="shared" si="13"/>
        <v>8.98</v>
      </c>
      <c r="N52" s="319">
        <f t="shared" si="13"/>
        <v>34.69</v>
      </c>
      <c r="O52" s="319">
        <f t="shared" si="13"/>
        <v>0.12</v>
      </c>
      <c r="P52" s="319">
        <f t="shared" si="13"/>
        <v>2.13</v>
      </c>
      <c r="Q52" s="320">
        <f t="shared" si="13"/>
        <v>29.62</v>
      </c>
      <c r="R52" s="320">
        <f t="shared" si="13"/>
        <v>31.89</v>
      </c>
      <c r="S52" s="320">
        <f t="shared" si="13"/>
        <v>66.58</v>
      </c>
      <c r="T52" s="1199"/>
      <c r="U52" s="173"/>
      <c r="V52" s="1193"/>
      <c r="W52" s="731">
        <f>V51/$V$53</f>
        <v>0.36363636363636365</v>
      </c>
      <c r="X52" s="1193"/>
      <c r="Y52" s="742">
        <f>X51/$X$53</f>
        <v>0.38541666666666669</v>
      </c>
      <c r="Z52" s="1280"/>
      <c r="AA52" s="742">
        <f>Z51/$Z$53</f>
        <v>0.37435897435897436</v>
      </c>
      <c r="AB52" s="1280"/>
      <c r="AC52" s="193"/>
      <c r="AE52" s="130" t="s">
        <v>308</v>
      </c>
      <c r="AF52" s="130" t="s">
        <v>317</v>
      </c>
      <c r="AG52" s="130"/>
      <c r="AH52" s="130" t="s">
        <v>258</v>
      </c>
      <c r="AI52" s="130">
        <v>145</v>
      </c>
    </row>
    <row r="53" spans="2:35" ht="12" customHeight="1">
      <c r="B53" s="1127"/>
      <c r="C53" s="1121"/>
      <c r="D53" s="1121"/>
      <c r="E53" s="1402">
        <f>E47+E51</f>
        <v>1</v>
      </c>
      <c r="G53" s="1202" t="s">
        <v>82</v>
      </c>
      <c r="H53" s="1257">
        <f>SUM(H39:H52)</f>
        <v>129</v>
      </c>
      <c r="I53" s="370">
        <f>I43+I47+I51</f>
        <v>1.279317697228145E-2</v>
      </c>
      <c r="J53" s="365">
        <f>SUMPRODUCT(H37:H52,J37:J52)</f>
        <v>8088.71</v>
      </c>
      <c r="K53" s="365">
        <f>SUMPRODUCT(H37:H52,K37:K52)</f>
        <v>816.3</v>
      </c>
      <c r="L53" s="365">
        <f>SUMPRODUCT(H37:H52,L37:L52)</f>
        <v>2198.5</v>
      </c>
      <c r="M53" s="365">
        <f>K53+L53</f>
        <v>3014.8</v>
      </c>
      <c r="N53" s="365">
        <f>J53+M53</f>
        <v>11103.51</v>
      </c>
      <c r="O53" s="365">
        <f>SUMPRODUCT(H37:H52,O37:O52)</f>
        <v>39.752531740750534</v>
      </c>
      <c r="P53" s="365">
        <f>SUMPRODUCT(H37:H52,P37:P52)</f>
        <v>673.10477463379073</v>
      </c>
      <c r="Q53" s="365">
        <f>SUMPRODUCT(H37:H52,Q37:Q52)</f>
        <v>9321.9686932059994</v>
      </c>
      <c r="R53" s="365">
        <f>O53+P53+Q53</f>
        <v>10034.82599958054</v>
      </c>
      <c r="S53" s="365">
        <f>N53+R53</f>
        <v>21138.33599958054</v>
      </c>
      <c r="T53" s="1206"/>
      <c r="U53" s="173"/>
      <c r="V53" s="1257">
        <f>SUM(V37:V52)</f>
        <v>99</v>
      </c>
      <c r="W53" s="732">
        <f>W43+W47+W51</f>
        <v>0.10040567951318459</v>
      </c>
      <c r="X53" s="1257">
        <f>SUM(X37:X52)</f>
        <v>96</v>
      </c>
      <c r="Y53" s="743">
        <f>Y43+Y47+Y51</f>
        <v>9.9481865284974103E-2</v>
      </c>
      <c r="Z53" s="1270">
        <f t="shared" ref="Z53" si="14">V53+X53</f>
        <v>195</v>
      </c>
      <c r="AA53" s="743">
        <f>Z53/$Z$79</f>
        <v>9.9948744233726294E-2</v>
      </c>
      <c r="AB53" s="1270">
        <f t="shared" ref="AB53" si="15">H53-Z53</f>
        <v>-66</v>
      </c>
      <c r="AC53" s="1272">
        <f>SUM(AC47:AC52)</f>
        <v>46</v>
      </c>
      <c r="AE53" s="130" t="s">
        <v>309</v>
      </c>
      <c r="AF53" s="130" t="s">
        <v>318</v>
      </c>
      <c r="AG53" s="130"/>
      <c r="AH53" s="130" t="s">
        <v>312</v>
      </c>
      <c r="AI53" s="130">
        <v>2</v>
      </c>
    </row>
    <row r="54" spans="2:35" ht="12" customHeight="1">
      <c r="B54" s="1076"/>
      <c r="C54" s="1121"/>
      <c r="D54" s="1121"/>
      <c r="E54" s="1403"/>
      <c r="G54" s="1203"/>
      <c r="H54" s="1254"/>
      <c r="I54" s="376">
        <f>I44+I48+I52</f>
        <v>9.3023255813953487E-2</v>
      </c>
      <c r="J54" s="292">
        <f t="shared" ref="J54:S54" si="16">ROUNDDOWN(J53*0.3025,2)</f>
        <v>2446.83</v>
      </c>
      <c r="K54" s="292">
        <f t="shared" si="16"/>
        <v>246.93</v>
      </c>
      <c r="L54" s="292">
        <f t="shared" si="16"/>
        <v>665.04</v>
      </c>
      <c r="M54" s="292">
        <f t="shared" si="16"/>
        <v>911.97</v>
      </c>
      <c r="N54" s="292">
        <f t="shared" si="16"/>
        <v>3358.81</v>
      </c>
      <c r="O54" s="292">
        <f t="shared" si="16"/>
        <v>12.02</v>
      </c>
      <c r="P54" s="292">
        <f t="shared" si="16"/>
        <v>203.61</v>
      </c>
      <c r="Q54" s="292">
        <f t="shared" si="16"/>
        <v>2819.89</v>
      </c>
      <c r="R54" s="292">
        <f t="shared" si="16"/>
        <v>3035.53</v>
      </c>
      <c r="S54" s="292">
        <f t="shared" si="16"/>
        <v>6394.34</v>
      </c>
      <c r="T54" s="1207"/>
      <c r="U54" s="173"/>
      <c r="V54" s="1254"/>
      <c r="W54" s="733">
        <f>W48+W52</f>
        <v>1</v>
      </c>
      <c r="X54" s="1254"/>
      <c r="Y54" s="744">
        <f>Y48+Y52</f>
        <v>1</v>
      </c>
      <c r="Z54" s="1271"/>
      <c r="AA54" s="744">
        <f>Z53/$Z$53</f>
        <v>1</v>
      </c>
      <c r="AB54" s="1271"/>
      <c r="AC54" s="1271"/>
      <c r="AE54" s="130" t="s">
        <v>310</v>
      </c>
      <c r="AF54" s="130" t="s">
        <v>319</v>
      </c>
      <c r="AG54" s="130"/>
      <c r="AH54" s="130" t="s">
        <v>313</v>
      </c>
      <c r="AI54" s="130">
        <v>58</v>
      </c>
    </row>
    <row r="55" spans="2:35" ht="12" hidden="1" customHeight="1">
      <c r="B55" s="86"/>
      <c r="C55" s="1121"/>
      <c r="D55" s="937"/>
      <c r="E55" s="937">
        <f>C55/$H$79</f>
        <v>0</v>
      </c>
      <c r="F55" s="1075"/>
      <c r="G55" s="86">
        <f>ROUNDDOWN(N56,0)</f>
        <v>17</v>
      </c>
      <c r="H55" s="935"/>
      <c r="I55" s="937">
        <f>H55/$H$79</f>
        <v>0</v>
      </c>
      <c r="J55" s="89">
        <v>39.96</v>
      </c>
      <c r="K55" s="89">
        <v>3.65</v>
      </c>
      <c r="L55" s="89">
        <v>14.8</v>
      </c>
      <c r="M55" s="89">
        <f>K55+L55</f>
        <v>18.45</v>
      </c>
      <c r="N55" s="89">
        <f>J55+M55</f>
        <v>58.41</v>
      </c>
      <c r="O55" s="89">
        <f>$O$79/$J$79*J55</f>
        <v>0.19638621836614134</v>
      </c>
      <c r="P55" s="89">
        <f>$P$79/$J$79*J55</f>
        <v>3.3252850942073926</v>
      </c>
      <c r="Q55" s="89">
        <f>$Q$79/$J$79*J55</f>
        <v>46.052568206860144</v>
      </c>
      <c r="R55" s="89">
        <f>O55+P55+Q55</f>
        <v>49.574239519433675</v>
      </c>
      <c r="S55" s="89">
        <f>N55+R55</f>
        <v>107.98423951943367</v>
      </c>
      <c r="T55" s="898" t="s">
        <v>137</v>
      </c>
      <c r="U55" s="173"/>
      <c r="V55" s="935"/>
      <c r="W55" s="1440">
        <f>V55/$H$79</f>
        <v>0</v>
      </c>
      <c r="X55" s="935"/>
      <c r="Y55" s="1274">
        <f>X55/$H$79</f>
        <v>0</v>
      </c>
      <c r="Z55" s="1273">
        <f t="shared" ref="Z55" si="17">V55+X55</f>
        <v>0</v>
      </c>
      <c r="AA55" s="1274">
        <f t="shared" ref="AA55" si="18">Z55/$Z$79</f>
        <v>0</v>
      </c>
      <c r="AB55" s="1273">
        <f t="shared" ref="AB55" si="19">H55-Z55</f>
        <v>0</v>
      </c>
      <c r="AE55" s="130" t="s">
        <v>258</v>
      </c>
      <c r="AF55" s="130" t="s">
        <v>322</v>
      </c>
      <c r="AG55" s="130"/>
      <c r="AH55" s="130"/>
      <c r="AI55" s="130"/>
    </row>
    <row r="56" spans="2:35" ht="12" hidden="1" customHeight="1">
      <c r="B56" s="87"/>
      <c r="C56" s="1121"/>
      <c r="D56" s="938"/>
      <c r="E56" s="938"/>
      <c r="F56" s="1076"/>
      <c r="G56" s="87">
        <v>39</v>
      </c>
      <c r="H56" s="936"/>
      <c r="I56" s="938"/>
      <c r="J56" s="111">
        <f t="shared" ref="J56:S56" si="20">ROUNDDOWN(J55*0.3025,2)</f>
        <v>12.08</v>
      </c>
      <c r="K56" s="111">
        <f t="shared" si="20"/>
        <v>1.1000000000000001</v>
      </c>
      <c r="L56" s="111">
        <f t="shared" si="20"/>
        <v>4.47</v>
      </c>
      <c r="M56" s="111">
        <f t="shared" si="20"/>
        <v>5.58</v>
      </c>
      <c r="N56" s="111">
        <f t="shared" si="20"/>
        <v>17.66</v>
      </c>
      <c r="O56" s="111">
        <f t="shared" si="20"/>
        <v>0.05</v>
      </c>
      <c r="P56" s="111">
        <f t="shared" si="20"/>
        <v>1</v>
      </c>
      <c r="Q56" s="111">
        <f t="shared" si="20"/>
        <v>13.93</v>
      </c>
      <c r="R56" s="111">
        <f t="shared" si="20"/>
        <v>14.99</v>
      </c>
      <c r="S56" s="111">
        <f t="shared" si="20"/>
        <v>32.659999999999997</v>
      </c>
      <c r="T56" s="899"/>
      <c r="U56" s="173"/>
      <c r="V56" s="936"/>
      <c r="W56" s="1441"/>
      <c r="X56" s="936"/>
      <c r="Y56" s="1265"/>
      <c r="Z56" s="1263"/>
      <c r="AA56" s="1265">
        <f t="shared" ref="AA56" si="21">Z55/$Z$53</f>
        <v>0</v>
      </c>
      <c r="AB56" s="1263"/>
      <c r="AE56" s="130"/>
      <c r="AF56" s="130"/>
      <c r="AG56" s="130"/>
      <c r="AH56" s="130"/>
      <c r="AI56" s="130"/>
    </row>
    <row r="57" spans="2:35" ht="12" hidden="1" customHeight="1">
      <c r="B57" s="88"/>
      <c r="C57" s="1121"/>
      <c r="D57" s="940"/>
      <c r="E57" s="940">
        <f>H57/$H$77</f>
        <v>0</v>
      </c>
      <c r="F57" s="1075"/>
      <c r="G57" s="88">
        <f>ROUNDDOWN(N58,0)</f>
        <v>20</v>
      </c>
      <c r="H57" s="1085">
        <v>0</v>
      </c>
      <c r="I57" s="372">
        <f>H57/$H$79</f>
        <v>0</v>
      </c>
      <c r="J57" s="366">
        <v>49.8</v>
      </c>
      <c r="K57" s="366">
        <v>3.7</v>
      </c>
      <c r="L57" s="366">
        <v>14.2</v>
      </c>
      <c r="M57" s="366">
        <f>K57+L57</f>
        <v>17.899999999999999</v>
      </c>
      <c r="N57" s="366">
        <f>M57+J57</f>
        <v>67.699999999999989</v>
      </c>
      <c r="O57" s="366">
        <f>$O$79/$J$79*J57</f>
        <v>0.24474558745329925</v>
      </c>
      <c r="P57" s="366">
        <f>$P$79/$J$79*J57</f>
        <v>4.144124066354558</v>
      </c>
      <c r="Q57" s="366">
        <f>$Q$79/$J$79*J57</f>
        <v>57.392840257798674</v>
      </c>
      <c r="R57" s="366">
        <f>O57+P57+Q57</f>
        <v>61.781709911606534</v>
      </c>
      <c r="S57" s="366">
        <f>N57+R57</f>
        <v>129.48170991160652</v>
      </c>
      <c r="T57" s="899"/>
      <c r="U57" s="173">
        <f>J57/N57</f>
        <v>0.73559822747415071</v>
      </c>
      <c r="V57" s="1085">
        <v>0</v>
      </c>
      <c r="W57" s="734">
        <f>V57/$H$79</f>
        <v>0</v>
      </c>
      <c r="X57" s="1085">
        <v>0</v>
      </c>
      <c r="Y57" s="745">
        <f>X57/$H$79</f>
        <v>0</v>
      </c>
      <c r="Z57" s="1262">
        <f t="shared" ref="Z57" si="22">V57+X57</f>
        <v>0</v>
      </c>
      <c r="AA57" s="745">
        <f t="shared" ref="AA57" si="23">Z57/$Z$79</f>
        <v>0</v>
      </c>
      <c r="AB57" s="1262">
        <f t="shared" ref="AB57" si="24">H57-Z57</f>
        <v>0</v>
      </c>
      <c r="AE57" s="130" t="s">
        <v>312</v>
      </c>
      <c r="AF57" s="130" t="s">
        <v>323</v>
      </c>
      <c r="AG57" s="130"/>
      <c r="AH57" s="130"/>
      <c r="AI57" s="130"/>
    </row>
    <row r="58" spans="2:35" ht="12" hidden="1" customHeight="1">
      <c r="B58" s="87"/>
      <c r="C58" s="1121"/>
      <c r="D58" s="938"/>
      <c r="E58" s="938"/>
      <c r="F58" s="1076"/>
      <c r="G58" s="87">
        <f>ROUNDDOWN(J57,0)</f>
        <v>49</v>
      </c>
      <c r="H58" s="936"/>
      <c r="I58" s="374">
        <f>H57/$H$77</f>
        <v>0</v>
      </c>
      <c r="J58" s="111">
        <f t="shared" ref="J58:S58" si="25">ROUNDDOWN(J57*0.3025,2)</f>
        <v>15.06</v>
      </c>
      <c r="K58" s="111">
        <f t="shared" si="25"/>
        <v>1.1100000000000001</v>
      </c>
      <c r="L58" s="111">
        <f t="shared" si="25"/>
        <v>4.29</v>
      </c>
      <c r="M58" s="111">
        <f t="shared" si="25"/>
        <v>5.41</v>
      </c>
      <c r="N58" s="111">
        <f t="shared" si="25"/>
        <v>20.47</v>
      </c>
      <c r="O58" s="111">
        <f t="shared" si="25"/>
        <v>7.0000000000000007E-2</v>
      </c>
      <c r="P58" s="111">
        <f t="shared" si="25"/>
        <v>1.25</v>
      </c>
      <c r="Q58" s="278">
        <f t="shared" si="25"/>
        <v>17.36</v>
      </c>
      <c r="R58" s="278">
        <f t="shared" si="25"/>
        <v>18.68</v>
      </c>
      <c r="S58" s="278">
        <f t="shared" si="25"/>
        <v>39.159999999999997</v>
      </c>
      <c r="T58" s="899"/>
      <c r="U58" s="173"/>
      <c r="V58" s="936"/>
      <c r="W58" s="735">
        <f>V57/$H$77</f>
        <v>0</v>
      </c>
      <c r="X58" s="936"/>
      <c r="Y58" s="746">
        <f>X57/$H$77</f>
        <v>0</v>
      </c>
      <c r="Z58" s="1263"/>
      <c r="AA58" s="746">
        <f t="shared" ref="AA58" si="26">Z57/$Z$53</f>
        <v>0</v>
      </c>
      <c r="AB58" s="1263"/>
      <c r="AE58" s="382" t="s">
        <v>313</v>
      </c>
      <c r="AF58" s="382" t="s">
        <v>324</v>
      </c>
      <c r="AG58" s="382"/>
      <c r="AH58" s="382"/>
      <c r="AI58" s="382"/>
    </row>
    <row r="59" spans="2:35" ht="12" customHeight="1">
      <c r="B59" s="88"/>
      <c r="C59" s="1121">
        <f>H59+H45</f>
        <v>69</v>
      </c>
      <c r="D59" s="940"/>
      <c r="E59" s="940">
        <f>H59/$H$77</f>
        <v>8.5290482076637822E-2</v>
      </c>
      <c r="F59" s="939">
        <v>95</v>
      </c>
      <c r="G59" s="88">
        <f>ROUNDDOWN(N60,0)</f>
        <v>24</v>
      </c>
      <c r="H59" s="939">
        <v>69</v>
      </c>
      <c r="I59" s="372">
        <f>H59/$H$79</f>
        <v>7.3560767590618331E-2</v>
      </c>
      <c r="J59" s="366">
        <v>59.99</v>
      </c>
      <c r="K59" s="366">
        <v>6.1</v>
      </c>
      <c r="L59" s="366">
        <v>16.5</v>
      </c>
      <c r="M59" s="366">
        <f>K59+L59</f>
        <v>22.6</v>
      </c>
      <c r="N59" s="366">
        <f>M59+J59</f>
        <v>82.59</v>
      </c>
      <c r="O59" s="366">
        <f>$O$79/$J$79*J59</f>
        <v>0.29482505605067116</v>
      </c>
      <c r="P59" s="366">
        <f>$P$79/$J$79*J59</f>
        <v>4.9920884084459827</v>
      </c>
      <c r="Q59" s="366">
        <f>$Q$79/$J$79*J59</f>
        <v>69.136475643882392</v>
      </c>
      <c r="R59" s="366">
        <f>O59+P59+Q59</f>
        <v>74.423389108379041</v>
      </c>
      <c r="S59" s="367">
        <f>N59+R59</f>
        <v>157.01338910837904</v>
      </c>
      <c r="T59" s="899"/>
      <c r="U59" s="173">
        <f>J59/N59</f>
        <v>0.72635912338055453</v>
      </c>
      <c r="V59" s="939">
        <f>81+(56-33)</f>
        <v>104</v>
      </c>
      <c r="W59" s="734">
        <f>V59/$V$79</f>
        <v>0.10547667342799188</v>
      </c>
      <c r="X59" s="939">
        <f>54+(67-17)</f>
        <v>104</v>
      </c>
      <c r="Y59" s="745">
        <f>X59/$X$79</f>
        <v>0.10777202072538861</v>
      </c>
      <c r="Z59" s="1269">
        <f t="shared" ref="Z59" si="27">V59+X59</f>
        <v>208</v>
      </c>
      <c r="AA59" s="745">
        <f t="shared" ref="AA59:AA75" si="28">Z59/$Z$79</f>
        <v>0.10661199384930804</v>
      </c>
      <c r="AB59" s="1269">
        <f t="shared" ref="AB59" si="29">H59-Z59</f>
        <v>-139</v>
      </c>
      <c r="AC59" s="760">
        <v>2</v>
      </c>
      <c r="AE59" s="2" t="s">
        <v>256</v>
      </c>
      <c r="AF59" s="2" t="s">
        <v>320</v>
      </c>
    </row>
    <row r="60" spans="2:35" ht="12" customHeight="1">
      <c r="B60" s="87"/>
      <c r="C60" s="1121"/>
      <c r="D60" s="938"/>
      <c r="E60" s="938"/>
      <c r="F60" s="936"/>
      <c r="G60" s="87">
        <f>ROUNDDOWN(J59,0)</f>
        <v>59</v>
      </c>
      <c r="H60" s="936"/>
      <c r="I60" s="374">
        <f>H59/$H$77</f>
        <v>8.5290482076637822E-2</v>
      </c>
      <c r="J60" s="111">
        <f t="shared" ref="J60:S60" si="30">ROUNDDOWN(J59*0.3025,2)</f>
        <v>18.14</v>
      </c>
      <c r="K60" s="111">
        <f t="shared" si="30"/>
        <v>1.84</v>
      </c>
      <c r="L60" s="111">
        <f t="shared" si="30"/>
        <v>4.99</v>
      </c>
      <c r="M60" s="111">
        <f t="shared" si="30"/>
        <v>6.83</v>
      </c>
      <c r="N60" s="111">
        <f t="shared" si="30"/>
        <v>24.98</v>
      </c>
      <c r="O60" s="111">
        <f t="shared" si="30"/>
        <v>0.08</v>
      </c>
      <c r="P60" s="111">
        <f t="shared" si="30"/>
        <v>1.51</v>
      </c>
      <c r="Q60" s="111">
        <f t="shared" si="30"/>
        <v>20.91</v>
      </c>
      <c r="R60" s="111">
        <f t="shared" si="30"/>
        <v>22.51</v>
      </c>
      <c r="S60" s="111">
        <f t="shared" si="30"/>
        <v>47.49</v>
      </c>
      <c r="T60" s="899"/>
      <c r="U60" s="173"/>
      <c r="V60" s="936"/>
      <c r="W60" s="735">
        <f>V59/$V$77</f>
        <v>0.11724915445321307</v>
      </c>
      <c r="X60" s="936"/>
      <c r="Y60" s="746">
        <f>X59/$X$77</f>
        <v>0.11967779056386652</v>
      </c>
      <c r="Z60" s="1268"/>
      <c r="AA60" s="746">
        <f>Z59/$Z$77</f>
        <v>0.11845102505694761</v>
      </c>
      <c r="AB60" s="1268"/>
      <c r="AE60" s="2" t="s">
        <v>311</v>
      </c>
      <c r="AF60" s="2" t="s">
        <v>321</v>
      </c>
    </row>
    <row r="61" spans="2:35" ht="12" customHeight="1">
      <c r="B61" s="88"/>
      <c r="C61" s="1121">
        <f>H61</f>
        <v>186</v>
      </c>
      <c r="D61" s="940"/>
      <c r="E61" s="940">
        <f>H61/$H$77</f>
        <v>0.22991347342398022</v>
      </c>
      <c r="F61" s="939">
        <v>269</v>
      </c>
      <c r="G61" s="88">
        <f>ROUNDDOWN(N62,0)</f>
        <v>30</v>
      </c>
      <c r="H61" s="939">
        <v>186</v>
      </c>
      <c r="I61" s="377">
        <f>H61/$H$79</f>
        <v>0.19829424307036247</v>
      </c>
      <c r="J61" s="366">
        <v>74.989999999999995</v>
      </c>
      <c r="K61" s="366">
        <v>7.03</v>
      </c>
      <c r="L61" s="366">
        <v>18.5</v>
      </c>
      <c r="M61" s="366">
        <f>K61+L61</f>
        <v>25.53</v>
      </c>
      <c r="N61" s="366">
        <f>J61+M61</f>
        <v>100.52</v>
      </c>
      <c r="O61" s="366">
        <f>$O$79/$J$79*J61</f>
        <v>0.36854360648841183</v>
      </c>
      <c r="P61" s="366">
        <f>$P$79/$J$79*J61</f>
        <v>6.2403185489142228</v>
      </c>
      <c r="Q61" s="366">
        <f>$Q$79/$J$79*J61</f>
        <v>86.423475721532583</v>
      </c>
      <c r="R61" s="366">
        <f>O61+P61+Q61</f>
        <v>93.032337876935216</v>
      </c>
      <c r="S61" s="366">
        <f>N61+R61</f>
        <v>193.55233787693521</v>
      </c>
      <c r="T61" s="899"/>
      <c r="U61" s="173">
        <f>J61/N61</f>
        <v>0.74602069239952251</v>
      </c>
      <c r="V61" s="939">
        <f>61+195+18</f>
        <v>274</v>
      </c>
      <c r="W61" s="734">
        <f>V61/$V$79</f>
        <v>0.27789046653144017</v>
      </c>
      <c r="X61" s="939">
        <f>219+14</f>
        <v>233</v>
      </c>
      <c r="Y61" s="747">
        <f>X61/$X$79</f>
        <v>0.24145077720207253</v>
      </c>
      <c r="Z61" s="1269">
        <f t="shared" ref="Z61" si="31">V61+X61</f>
        <v>507</v>
      </c>
      <c r="AA61" s="747">
        <f t="shared" si="28"/>
        <v>0.25986673500768837</v>
      </c>
      <c r="AB61" s="1269">
        <f t="shared" ref="AB61" si="32">H61-Z61</f>
        <v>-321</v>
      </c>
      <c r="AC61" s="760">
        <v>160</v>
      </c>
      <c r="AE61" s="2" t="s">
        <v>258</v>
      </c>
      <c r="AF61" s="2" t="s">
        <v>322</v>
      </c>
    </row>
    <row r="62" spans="2:35" ht="12" customHeight="1">
      <c r="B62" s="87"/>
      <c r="C62" s="1121"/>
      <c r="D62" s="938"/>
      <c r="E62" s="938"/>
      <c r="F62" s="936"/>
      <c r="G62" s="87">
        <f>ROUNDDOWN(J61,0)</f>
        <v>74</v>
      </c>
      <c r="H62" s="936"/>
      <c r="I62" s="374">
        <f>H61/$H$77</f>
        <v>0.22991347342398022</v>
      </c>
      <c r="J62" s="111">
        <f t="shared" ref="J62:S62" si="33">ROUNDDOWN(J61*0.3025,2)</f>
        <v>22.68</v>
      </c>
      <c r="K62" s="111">
        <f t="shared" si="33"/>
        <v>2.12</v>
      </c>
      <c r="L62" s="111">
        <f t="shared" si="33"/>
        <v>5.59</v>
      </c>
      <c r="M62" s="111">
        <f t="shared" si="33"/>
        <v>7.72</v>
      </c>
      <c r="N62" s="111">
        <f t="shared" si="33"/>
        <v>30.4</v>
      </c>
      <c r="O62" s="111">
        <f t="shared" si="33"/>
        <v>0.11</v>
      </c>
      <c r="P62" s="111">
        <f t="shared" si="33"/>
        <v>1.88</v>
      </c>
      <c r="Q62" s="111">
        <f t="shared" si="33"/>
        <v>26.14</v>
      </c>
      <c r="R62" s="111">
        <f t="shared" si="33"/>
        <v>28.14</v>
      </c>
      <c r="S62" s="111">
        <f t="shared" si="33"/>
        <v>58.54</v>
      </c>
      <c r="T62" s="899"/>
      <c r="U62" s="173"/>
      <c r="V62" s="936"/>
      <c r="W62" s="735">
        <f>V61/$V$77</f>
        <v>0.30890642615558062</v>
      </c>
      <c r="X62" s="936"/>
      <c r="Y62" s="746">
        <f>X61/$X$77</f>
        <v>0.26812428078250861</v>
      </c>
      <c r="Z62" s="1268"/>
      <c r="AA62" s="746">
        <f t="shared" ref="AA62" si="34">Z61/$Z$77</f>
        <v>0.28872437357630981</v>
      </c>
      <c r="AB62" s="1268"/>
      <c r="AE62" s="2" t="s">
        <v>312</v>
      </c>
      <c r="AF62" s="2" t="s">
        <v>323</v>
      </c>
    </row>
    <row r="63" spans="2:35" ht="12" customHeight="1">
      <c r="B63" s="88">
        <f>C63+C61</f>
        <v>405</v>
      </c>
      <c r="C63" s="1121">
        <f>H63+H51</f>
        <v>219</v>
      </c>
      <c r="D63" s="940"/>
      <c r="E63" s="940">
        <f>H63/$H$77</f>
        <v>0.25587144622991348</v>
      </c>
      <c r="F63" s="939">
        <v>317</v>
      </c>
      <c r="G63" s="88">
        <f>ROUNDDOWN(N64,0)</f>
        <v>34</v>
      </c>
      <c r="H63" s="939">
        <v>207</v>
      </c>
      <c r="I63" s="372">
        <f>H63/$H$79</f>
        <v>0.22068230277185502</v>
      </c>
      <c r="J63" s="366">
        <v>84.99</v>
      </c>
      <c r="K63" s="366">
        <v>8.1999999999999993</v>
      </c>
      <c r="L63" s="366">
        <v>21.5</v>
      </c>
      <c r="M63" s="366">
        <f>K63+L63</f>
        <v>29.7</v>
      </c>
      <c r="N63" s="366">
        <f>J63+M63</f>
        <v>114.69</v>
      </c>
      <c r="O63" s="366">
        <f>$O$79/$J$79*J63</f>
        <v>0.41768930678023902</v>
      </c>
      <c r="P63" s="366">
        <f>$P$79/$J$79*J63</f>
        <v>7.0724719758930501</v>
      </c>
      <c r="Q63" s="366">
        <f>$Q$79/$J$79*J63</f>
        <v>97.948142439966048</v>
      </c>
      <c r="R63" s="366">
        <f>O63+P63+Q63</f>
        <v>105.43830372263933</v>
      </c>
      <c r="S63" s="366">
        <f>N63+R63</f>
        <v>220.12830372263932</v>
      </c>
      <c r="T63" s="899"/>
      <c r="U63" s="173">
        <f>J63/N63</f>
        <v>0.74104106722469265</v>
      </c>
      <c r="V63" s="939">
        <f>203+(101+26)+1</f>
        <v>331</v>
      </c>
      <c r="W63" s="734">
        <f>V63/$V$79</f>
        <v>0.3356997971602434</v>
      </c>
      <c r="X63" s="939">
        <f>337+(89+12)+3</f>
        <v>441</v>
      </c>
      <c r="Y63" s="747">
        <f>X63/$X$79</f>
        <v>0.45699481865284974</v>
      </c>
      <c r="Z63" s="1269">
        <f t="shared" ref="Z63" si="35">V63+X63</f>
        <v>772</v>
      </c>
      <c r="AA63" s="747">
        <f t="shared" si="28"/>
        <v>0.39569451563300873</v>
      </c>
      <c r="AB63" s="1269">
        <f t="shared" ref="AB63" si="36">H63-Z63</f>
        <v>-565</v>
      </c>
      <c r="AC63" s="760">
        <v>143</v>
      </c>
      <c r="AE63" s="2" t="s">
        <v>313</v>
      </c>
      <c r="AF63" s="2" t="s">
        <v>324</v>
      </c>
    </row>
    <row r="64" spans="2:35" ht="12" customHeight="1">
      <c r="B64" s="87"/>
      <c r="C64" s="1121"/>
      <c r="D64" s="938"/>
      <c r="E64" s="938"/>
      <c r="F64" s="936"/>
      <c r="G64" s="87">
        <f>ROUNDDOWN(J63,0)</f>
        <v>84</v>
      </c>
      <c r="H64" s="936"/>
      <c r="I64" s="374">
        <f>H63/$H$77</f>
        <v>0.25587144622991348</v>
      </c>
      <c r="J64" s="111">
        <f t="shared" ref="J64:S64" si="37">ROUNDDOWN(J63*0.3025,2)</f>
        <v>25.7</v>
      </c>
      <c r="K64" s="111">
        <f t="shared" si="37"/>
        <v>2.48</v>
      </c>
      <c r="L64" s="111">
        <f t="shared" si="37"/>
        <v>6.5</v>
      </c>
      <c r="M64" s="111">
        <f t="shared" si="37"/>
        <v>8.98</v>
      </c>
      <c r="N64" s="111">
        <f t="shared" si="37"/>
        <v>34.69</v>
      </c>
      <c r="O64" s="111">
        <f t="shared" si="37"/>
        <v>0.12</v>
      </c>
      <c r="P64" s="111">
        <f t="shared" si="37"/>
        <v>2.13</v>
      </c>
      <c r="Q64" s="111">
        <f t="shared" si="37"/>
        <v>29.62</v>
      </c>
      <c r="R64" s="111">
        <f t="shared" si="37"/>
        <v>31.89</v>
      </c>
      <c r="S64" s="111">
        <f t="shared" si="37"/>
        <v>66.58</v>
      </c>
      <c r="T64" s="899"/>
      <c r="U64" s="173"/>
      <c r="V64" s="936"/>
      <c r="W64" s="735">
        <f>V63/$V$77</f>
        <v>0.37316798196166856</v>
      </c>
      <c r="X64" s="936"/>
      <c r="Y64" s="746">
        <f>X63/$X$77</f>
        <v>0.50747986191024164</v>
      </c>
      <c r="Z64" s="1268"/>
      <c r="AA64" s="746">
        <f t="shared" ref="AA64" si="38">Z63/$Z$77</f>
        <v>0.43963553530751709</v>
      </c>
      <c r="AB64" s="1268"/>
      <c r="AC64" s="760"/>
    </row>
    <row r="65" spans="2:30" ht="12" customHeight="1">
      <c r="B65" s="88"/>
      <c r="C65" s="1121">
        <f>H65</f>
        <v>160</v>
      </c>
      <c r="D65" s="940"/>
      <c r="E65" s="940">
        <f>C65/$H$79</f>
        <v>0.17057569296375266</v>
      </c>
      <c r="F65" s="939">
        <v>108</v>
      </c>
      <c r="G65" s="88">
        <f>ROUNDDOWN(N66,0)</f>
        <v>40</v>
      </c>
      <c r="H65" s="939">
        <v>160</v>
      </c>
      <c r="I65" s="372">
        <f>H65/$H$79</f>
        <v>0.17057569296375266</v>
      </c>
      <c r="J65" s="90">
        <v>99.99</v>
      </c>
      <c r="K65" s="90">
        <v>8.7200000000000006</v>
      </c>
      <c r="L65" s="90">
        <v>23.8</v>
      </c>
      <c r="M65" s="90">
        <f>K65+L65</f>
        <v>32.520000000000003</v>
      </c>
      <c r="N65" s="90">
        <f>J65+M65</f>
        <v>132.51</v>
      </c>
      <c r="O65" s="90">
        <f>$O$79/$J$79*J65</f>
        <v>0.49140785721797975</v>
      </c>
      <c r="P65" s="90">
        <f>$P$79/$J$79*J65</f>
        <v>8.3207021163612893</v>
      </c>
      <c r="Q65" s="90">
        <f>$Q$79/$J$79*J65</f>
        <v>115.23514251761625</v>
      </c>
      <c r="R65" s="90">
        <f>O65+P65+Q65</f>
        <v>124.04725249119552</v>
      </c>
      <c r="S65" s="90">
        <f>N65+R65</f>
        <v>256.55725249119553</v>
      </c>
      <c r="T65" s="899"/>
      <c r="U65" s="173"/>
      <c r="V65" s="939">
        <v>92</v>
      </c>
      <c r="W65" s="734">
        <f>V65/$V$79</f>
        <v>9.330628803245436E-2</v>
      </c>
      <c r="X65" s="939">
        <v>59</v>
      </c>
      <c r="Y65" s="747">
        <f>X65/$X$79</f>
        <v>6.1139896373056994E-2</v>
      </c>
      <c r="Z65" s="1269">
        <f t="shared" ref="Z65" si="39">V65+X65</f>
        <v>151</v>
      </c>
      <c r="AA65" s="747">
        <f t="shared" si="28"/>
        <v>7.7396207073295739E-2</v>
      </c>
      <c r="AB65" s="1269">
        <f t="shared" ref="AB65" si="40">H65-Z65</f>
        <v>9</v>
      </c>
      <c r="AC65" s="760"/>
    </row>
    <row r="66" spans="2:30" ht="12" customHeight="1">
      <c r="B66" s="272"/>
      <c r="C66" s="1121"/>
      <c r="D66" s="938"/>
      <c r="E66" s="938"/>
      <c r="F66" s="936"/>
      <c r="G66" s="87">
        <f>ROUNDDOWN(J65,0)</f>
        <v>99</v>
      </c>
      <c r="H66" s="936"/>
      <c r="I66" s="374">
        <f>H65/$H$77</f>
        <v>0.19777503090234858</v>
      </c>
      <c r="J66" s="111">
        <f t="shared" ref="J66:S66" si="41">ROUNDDOWN(J65*0.3025,2)</f>
        <v>30.24</v>
      </c>
      <c r="K66" s="111">
        <f t="shared" si="41"/>
        <v>2.63</v>
      </c>
      <c r="L66" s="111">
        <f t="shared" si="41"/>
        <v>7.19</v>
      </c>
      <c r="M66" s="111">
        <f t="shared" si="41"/>
        <v>9.83</v>
      </c>
      <c r="N66" s="111">
        <f t="shared" si="41"/>
        <v>40.08</v>
      </c>
      <c r="O66" s="111">
        <f t="shared" si="41"/>
        <v>0.14000000000000001</v>
      </c>
      <c r="P66" s="111">
        <f t="shared" si="41"/>
        <v>2.5099999999999998</v>
      </c>
      <c r="Q66" s="111">
        <f t="shared" si="41"/>
        <v>34.85</v>
      </c>
      <c r="R66" s="111">
        <f t="shared" si="41"/>
        <v>37.520000000000003</v>
      </c>
      <c r="S66" s="111">
        <f t="shared" si="41"/>
        <v>77.599999999999994</v>
      </c>
      <c r="T66" s="899"/>
      <c r="U66" s="173"/>
      <c r="V66" s="936"/>
      <c r="W66" s="735">
        <f>V65/$V$77</f>
        <v>0.10372040586245772</v>
      </c>
      <c r="X66" s="936"/>
      <c r="Y66" s="746">
        <f>X65/$X$77</f>
        <v>6.789413118527042E-2</v>
      </c>
      <c r="Z66" s="1268"/>
      <c r="AA66" s="746">
        <f t="shared" ref="AA66" si="42">Z65/$Z$77</f>
        <v>8.5990888382687924E-2</v>
      </c>
      <c r="AB66" s="1268"/>
    </row>
    <row r="67" spans="2:30" ht="12" customHeight="1">
      <c r="B67" s="323"/>
      <c r="C67" s="1417">
        <f>H67</f>
        <v>185</v>
      </c>
      <c r="D67" s="305"/>
      <c r="E67" s="940">
        <f>H67/$H$77</f>
        <v>0.22867737948084055</v>
      </c>
      <c r="F67" s="939">
        <v>89</v>
      </c>
      <c r="G67" s="88">
        <f>ROUNDDOWN(N68,0)</f>
        <v>45</v>
      </c>
      <c r="H67" s="939">
        <v>185</v>
      </c>
      <c r="I67" s="372">
        <f>H67/$H$79</f>
        <v>0.19722814498933902</v>
      </c>
      <c r="J67" s="366">
        <v>114.99</v>
      </c>
      <c r="K67" s="366">
        <v>9.1999999999999993</v>
      </c>
      <c r="L67" s="366">
        <v>25.5</v>
      </c>
      <c r="M67" s="366">
        <f>K67+L67</f>
        <v>34.700000000000003</v>
      </c>
      <c r="N67" s="366">
        <f>J67+M67</f>
        <v>149.69</v>
      </c>
      <c r="O67" s="366">
        <f>$O$79/$J$79*J67</f>
        <v>0.56512640765572053</v>
      </c>
      <c r="P67" s="366">
        <f>$P$79/$J$79*J67</f>
        <v>9.5689322568295303</v>
      </c>
      <c r="Q67" s="366">
        <f>$Q$79/$J$79*J67</f>
        <v>132.52214259526647</v>
      </c>
      <c r="R67" s="366">
        <f>O67+P67+Q67</f>
        <v>142.65620125975173</v>
      </c>
      <c r="S67" s="366">
        <f>N67+R67</f>
        <v>292.34620125975175</v>
      </c>
      <c r="T67" s="899"/>
      <c r="U67" s="173">
        <f>J67/N67</f>
        <v>0.76818758768120776</v>
      </c>
      <c r="V67" s="939">
        <v>84</v>
      </c>
      <c r="W67" s="734">
        <f>V67/$V$79</f>
        <v>8.5192697768762676E-2</v>
      </c>
      <c r="X67" s="939">
        <v>30</v>
      </c>
      <c r="Y67" s="747">
        <f>X67/$X$79</f>
        <v>3.1088082901554404E-2</v>
      </c>
      <c r="Z67" s="1269">
        <f t="shared" ref="Z67" si="43">V67+X67</f>
        <v>114</v>
      </c>
      <c r="AA67" s="747">
        <f t="shared" si="28"/>
        <v>5.84315735520246E-2</v>
      </c>
      <c r="AB67" s="1269">
        <f t="shared" ref="AB67" si="44">H67-Z67</f>
        <v>71</v>
      </c>
    </row>
    <row r="68" spans="2:30" ht="12.75" customHeight="1">
      <c r="B68" s="323"/>
      <c r="C68" s="1417"/>
      <c r="D68" s="305"/>
      <c r="E68" s="938"/>
      <c r="F68" s="936"/>
      <c r="G68" s="87">
        <f>ROUNDDOWN(J67,0)</f>
        <v>114</v>
      </c>
      <c r="H68" s="936"/>
      <c r="I68" s="374">
        <f>H67/$H$77</f>
        <v>0.22867737948084055</v>
      </c>
      <c r="J68" s="111">
        <f t="shared" ref="J68:S68" si="45">ROUNDDOWN(J67*0.3025,2)</f>
        <v>34.78</v>
      </c>
      <c r="K68" s="111">
        <f t="shared" si="45"/>
        <v>2.78</v>
      </c>
      <c r="L68" s="111">
        <f t="shared" si="45"/>
        <v>7.71</v>
      </c>
      <c r="M68" s="111">
        <f t="shared" si="45"/>
        <v>10.49</v>
      </c>
      <c r="N68" s="111">
        <f t="shared" si="45"/>
        <v>45.28</v>
      </c>
      <c r="O68" s="111">
        <f t="shared" si="45"/>
        <v>0.17</v>
      </c>
      <c r="P68" s="111">
        <f t="shared" si="45"/>
        <v>2.89</v>
      </c>
      <c r="Q68" s="111">
        <f t="shared" si="45"/>
        <v>40.08</v>
      </c>
      <c r="R68" s="111">
        <f t="shared" si="45"/>
        <v>43.15</v>
      </c>
      <c r="S68" s="111">
        <f t="shared" si="45"/>
        <v>88.43</v>
      </c>
      <c r="T68" s="899"/>
      <c r="U68" s="173"/>
      <c r="V68" s="936"/>
      <c r="W68" s="735">
        <f>V67/$V$77</f>
        <v>9.4701240135287482E-2</v>
      </c>
      <c r="X68" s="936"/>
      <c r="Y68" s="746">
        <f>X67/$X$77</f>
        <v>3.4522439585730723E-2</v>
      </c>
      <c r="Z68" s="1268"/>
      <c r="AA68" s="746">
        <f t="shared" ref="AA68" si="46">Z67/$Z$77</f>
        <v>6.4920273348519367E-2</v>
      </c>
      <c r="AB68" s="1268"/>
    </row>
    <row r="69" spans="2:30" ht="12" hidden="1" customHeight="1">
      <c r="B69" s="323"/>
      <c r="C69" s="308"/>
      <c r="D69" s="305"/>
      <c r="E69" s="1084">
        <f>C69/$H$79</f>
        <v>0</v>
      </c>
      <c r="F69" s="1085">
        <v>0</v>
      </c>
      <c r="G69" s="88">
        <f>ROUNDDOWN(N70,0)</f>
        <v>50</v>
      </c>
      <c r="H69" s="1085">
        <v>0</v>
      </c>
      <c r="I69" s="383">
        <f>H69/$H$79</f>
        <v>0</v>
      </c>
      <c r="J69" s="90">
        <v>129.97999999999999</v>
      </c>
      <c r="K69" s="90">
        <v>10.72</v>
      </c>
      <c r="L69" s="90">
        <v>24.8</v>
      </c>
      <c r="M69" s="90">
        <f>K69+L69</f>
        <v>35.520000000000003</v>
      </c>
      <c r="N69" s="90">
        <f>J69+M69</f>
        <v>165.5</v>
      </c>
      <c r="O69" s="90">
        <f>$O$79/$J$79*J69</f>
        <v>0.6387958123931694</v>
      </c>
      <c r="P69" s="90">
        <f>$P$79/$J$79*J69</f>
        <v>10.816330243870791</v>
      </c>
      <c r="Q69" s="90">
        <f>$Q$79/$J$79*J69</f>
        <v>149.79761800619823</v>
      </c>
      <c r="R69" s="90">
        <f>O69+P69+Q69</f>
        <v>161.2527440624622</v>
      </c>
      <c r="S69" s="90">
        <f>N69+R69</f>
        <v>326.75274406246217</v>
      </c>
      <c r="T69" s="899"/>
      <c r="U69" s="173"/>
      <c r="V69" s="1085">
        <v>0</v>
      </c>
      <c r="W69" s="736">
        <f>V69/$H$79</f>
        <v>0</v>
      </c>
      <c r="X69" s="1085">
        <v>0</v>
      </c>
      <c r="Y69" s="748">
        <f>X69/$H$79</f>
        <v>0</v>
      </c>
      <c r="Z69" s="1262">
        <f t="shared" ref="Z69" si="47">V69+X69</f>
        <v>0</v>
      </c>
      <c r="AA69" s="748">
        <f t="shared" si="28"/>
        <v>0</v>
      </c>
      <c r="AB69" s="1262">
        <f t="shared" ref="AB69" si="48">H69-Z69</f>
        <v>0</v>
      </c>
    </row>
    <row r="70" spans="2:30" ht="12" hidden="1" customHeight="1">
      <c r="B70" s="323"/>
      <c r="C70" s="308"/>
      <c r="D70" s="305"/>
      <c r="E70" s="938"/>
      <c r="F70" s="936"/>
      <c r="G70" s="87">
        <f>ROUNDDOWN(J69,0)</f>
        <v>129</v>
      </c>
      <c r="H70" s="936"/>
      <c r="I70" s="374">
        <f>H69/$H$77</f>
        <v>0</v>
      </c>
      <c r="J70" s="111">
        <f t="shared" ref="J70:S70" si="49">ROUNDDOWN(J69*0.3025,2)</f>
        <v>39.31</v>
      </c>
      <c r="K70" s="111">
        <f t="shared" si="49"/>
        <v>3.24</v>
      </c>
      <c r="L70" s="111">
        <f t="shared" si="49"/>
        <v>7.5</v>
      </c>
      <c r="M70" s="111">
        <f t="shared" si="49"/>
        <v>10.74</v>
      </c>
      <c r="N70" s="111">
        <f t="shared" si="49"/>
        <v>50.06</v>
      </c>
      <c r="O70" s="111">
        <f t="shared" si="49"/>
        <v>0.19</v>
      </c>
      <c r="P70" s="111">
        <f t="shared" si="49"/>
        <v>3.27</v>
      </c>
      <c r="Q70" s="111">
        <f t="shared" si="49"/>
        <v>45.31</v>
      </c>
      <c r="R70" s="111">
        <f t="shared" si="49"/>
        <v>48.77</v>
      </c>
      <c r="S70" s="111">
        <f t="shared" si="49"/>
        <v>98.84</v>
      </c>
      <c r="T70" s="899"/>
      <c r="U70" s="173"/>
      <c r="V70" s="936"/>
      <c r="W70" s="735">
        <f>V69/$H$77</f>
        <v>0</v>
      </c>
      <c r="X70" s="936"/>
      <c r="Y70" s="746">
        <f>X69/$H$77</f>
        <v>0</v>
      </c>
      <c r="Z70" s="1263"/>
      <c r="AA70" s="746">
        <f t="shared" ref="AA70" si="50">Z69/$Z$77</f>
        <v>0</v>
      </c>
      <c r="AB70" s="1263"/>
    </row>
    <row r="71" spans="2:30" ht="12" hidden="1" customHeight="1">
      <c r="B71" s="88"/>
      <c r="C71" s="1121"/>
      <c r="D71" s="1084"/>
      <c r="E71" s="1084">
        <f>C71/$H$79</f>
        <v>0</v>
      </c>
      <c r="F71" s="1085"/>
      <c r="G71" s="88">
        <f>ROUNDDOWN(N72,0)</f>
        <v>59</v>
      </c>
      <c r="H71" s="1085"/>
      <c r="I71" s="1084">
        <f>H71/$H$79</f>
        <v>0</v>
      </c>
      <c r="J71" s="90">
        <v>158.97999999999999</v>
      </c>
      <c r="K71" s="90">
        <v>11.28</v>
      </c>
      <c r="L71" s="90">
        <v>25.54</v>
      </c>
      <c r="M71" s="90">
        <f>K71+L71</f>
        <v>36.82</v>
      </c>
      <c r="N71" s="90">
        <f>J71+M71</f>
        <v>195.79999999999998</v>
      </c>
      <c r="O71" s="90">
        <f>$O$79/$J$79*J71</f>
        <v>0.78131834323946814</v>
      </c>
      <c r="P71" s="90">
        <f>$P$79/$J$79*J71</f>
        <v>13.229575182109389</v>
      </c>
      <c r="Q71" s="90">
        <f>$Q$79/$J$79*J71</f>
        <v>183.21915148965527</v>
      </c>
      <c r="R71" s="90">
        <f>O71+P71+Q71</f>
        <v>197.23004501500412</v>
      </c>
      <c r="S71" s="90">
        <f>N71+R71</f>
        <v>393.03004501500413</v>
      </c>
      <c r="T71" s="899"/>
      <c r="U71" s="173"/>
      <c r="V71" s="1085"/>
      <c r="W71" s="1442">
        <f>V71/$H$79</f>
        <v>0</v>
      </c>
      <c r="X71" s="1085"/>
      <c r="Y71" s="1264">
        <f>X71/$H$79</f>
        <v>0</v>
      </c>
      <c r="Z71" s="1262">
        <f t="shared" ref="Z71" si="51">V71+X71</f>
        <v>0</v>
      </c>
      <c r="AA71" s="1264">
        <f t="shared" si="28"/>
        <v>0</v>
      </c>
      <c r="AB71" s="1262">
        <f t="shared" ref="AB71" si="52">H71-Z71</f>
        <v>0</v>
      </c>
    </row>
    <row r="72" spans="2:30" ht="12" hidden="1" customHeight="1">
      <c r="B72" s="87"/>
      <c r="C72" s="1121"/>
      <c r="D72" s="938"/>
      <c r="E72" s="938"/>
      <c r="F72" s="936"/>
      <c r="G72" s="87">
        <f>ROUNDDOWN(J71,0)</f>
        <v>158</v>
      </c>
      <c r="H72" s="936"/>
      <c r="I72" s="938"/>
      <c r="J72" s="111">
        <f t="shared" ref="J72:S72" si="53">ROUNDDOWN(J71*0.3025,2)</f>
        <v>48.09</v>
      </c>
      <c r="K72" s="111">
        <f t="shared" si="53"/>
        <v>3.41</v>
      </c>
      <c r="L72" s="111">
        <f t="shared" si="53"/>
        <v>7.72</v>
      </c>
      <c r="M72" s="111">
        <f t="shared" si="53"/>
        <v>11.13</v>
      </c>
      <c r="N72" s="111">
        <f t="shared" si="53"/>
        <v>59.22</v>
      </c>
      <c r="O72" s="111">
        <f t="shared" si="53"/>
        <v>0.23</v>
      </c>
      <c r="P72" s="111">
        <f t="shared" si="53"/>
        <v>4</v>
      </c>
      <c r="Q72" s="111">
        <f t="shared" si="53"/>
        <v>55.42</v>
      </c>
      <c r="R72" s="111">
        <f t="shared" si="53"/>
        <v>59.66</v>
      </c>
      <c r="S72" s="111">
        <f t="shared" si="53"/>
        <v>118.89</v>
      </c>
      <c r="T72" s="899"/>
      <c r="U72" s="173"/>
      <c r="V72" s="936"/>
      <c r="W72" s="1441"/>
      <c r="X72" s="936"/>
      <c r="Y72" s="1265"/>
      <c r="Z72" s="1263"/>
      <c r="AA72" s="1265">
        <f t="shared" ref="AA72" si="54">Z71/$Z$77</f>
        <v>0</v>
      </c>
      <c r="AB72" s="1263"/>
    </row>
    <row r="73" spans="2:30" ht="12" hidden="1" customHeight="1">
      <c r="B73" s="324"/>
      <c r="C73" s="308"/>
      <c r="D73" s="305"/>
      <c r="E73" s="940" t="e">
        <f>C73/$H$76</f>
        <v>#DIV/0!</v>
      </c>
      <c r="F73" s="939"/>
      <c r="G73" s="88">
        <f>ROUNDDOWN(N74,0)</f>
        <v>62</v>
      </c>
      <c r="H73" s="939"/>
      <c r="I73" s="940">
        <f>H73/$H$79</f>
        <v>0</v>
      </c>
      <c r="J73" s="90">
        <v>165.89</v>
      </c>
      <c r="K73" s="90">
        <v>13.45</v>
      </c>
      <c r="L73" s="90">
        <v>26.42</v>
      </c>
      <c r="M73" s="90">
        <f>K73+L73</f>
        <v>39.870000000000005</v>
      </c>
      <c r="N73" s="90">
        <f>J73+M73</f>
        <v>205.76</v>
      </c>
      <c r="O73" s="90">
        <f>$O$76/$J$76*J73</f>
        <v>0.81487625165312672</v>
      </c>
      <c r="P73" s="90">
        <f>$P$76/$J$76*J73</f>
        <v>13.790213489514453</v>
      </c>
      <c r="Q73" s="90">
        <f>$Q$76/$J$76*J73</f>
        <v>191.18250519554127</v>
      </c>
      <c r="R73" s="90">
        <f>O73+P73+Q73</f>
        <v>205.78759493670884</v>
      </c>
      <c r="S73" s="90">
        <f>N73+R73</f>
        <v>411.54759493670883</v>
      </c>
      <c r="T73" s="899"/>
      <c r="U73" s="173"/>
      <c r="V73" s="939"/>
      <c r="W73" s="1442">
        <f>V73/$H$79</f>
        <v>0</v>
      </c>
      <c r="X73" s="939"/>
      <c r="Y73" s="1264">
        <f>X73/$H$79</f>
        <v>0</v>
      </c>
      <c r="Z73" s="1262">
        <f t="shared" ref="Z73" si="55">V73+X73</f>
        <v>0</v>
      </c>
      <c r="AA73" s="1264">
        <f t="shared" si="28"/>
        <v>0</v>
      </c>
      <c r="AB73" s="1262">
        <f t="shared" ref="AB73" si="56">H73-Z73</f>
        <v>0</v>
      </c>
    </row>
    <row r="74" spans="2:30" ht="12" hidden="1" customHeight="1">
      <c r="B74" s="324"/>
      <c r="C74" s="308"/>
      <c r="D74" s="305"/>
      <c r="E74" s="938"/>
      <c r="F74" s="936"/>
      <c r="G74" s="87">
        <f>ROUNDDOWN(J73,0)</f>
        <v>165</v>
      </c>
      <c r="H74" s="936"/>
      <c r="I74" s="938"/>
      <c r="J74" s="111">
        <f t="shared" ref="J74:S74" si="57">ROUNDDOWN(J73*0.3025,2)</f>
        <v>50.18</v>
      </c>
      <c r="K74" s="111">
        <f t="shared" si="57"/>
        <v>4.0599999999999996</v>
      </c>
      <c r="L74" s="111">
        <f t="shared" si="57"/>
        <v>7.99</v>
      </c>
      <c r="M74" s="111">
        <f t="shared" si="57"/>
        <v>12.06</v>
      </c>
      <c r="N74" s="111">
        <f t="shared" si="57"/>
        <v>62.24</v>
      </c>
      <c r="O74" s="111">
        <f t="shared" si="57"/>
        <v>0.24</v>
      </c>
      <c r="P74" s="111">
        <f t="shared" si="57"/>
        <v>4.17</v>
      </c>
      <c r="Q74" s="111">
        <f t="shared" si="57"/>
        <v>57.83</v>
      </c>
      <c r="R74" s="111">
        <f t="shared" si="57"/>
        <v>62.25</v>
      </c>
      <c r="S74" s="111">
        <f t="shared" si="57"/>
        <v>124.49</v>
      </c>
      <c r="T74" s="899"/>
      <c r="U74" s="173"/>
      <c r="V74" s="936"/>
      <c r="W74" s="1441"/>
      <c r="X74" s="936"/>
      <c r="Y74" s="1265"/>
      <c r="Z74" s="1263"/>
      <c r="AA74" s="1265">
        <f t="shared" ref="AA74" si="58">Z73/$Z$77</f>
        <v>0</v>
      </c>
      <c r="AB74" s="1263"/>
    </row>
    <row r="75" spans="2:30" ht="12" customHeight="1">
      <c r="B75" s="88"/>
      <c r="C75" s="1121"/>
      <c r="D75" s="940"/>
      <c r="E75" s="940">
        <f>C75/$H$79</f>
        <v>0</v>
      </c>
      <c r="F75" s="939">
        <v>2</v>
      </c>
      <c r="G75" s="88">
        <f>ROUNDDOWN(N76,0)</f>
        <v>66</v>
      </c>
      <c r="H75" s="939">
        <v>2</v>
      </c>
      <c r="I75" s="305">
        <f>H75/$H$79</f>
        <v>2.1321961620469083E-3</v>
      </c>
      <c r="J75" s="90">
        <v>175</v>
      </c>
      <c r="K75" s="90">
        <v>15.3</v>
      </c>
      <c r="L75" s="90">
        <v>30.85</v>
      </c>
      <c r="M75" s="90">
        <f>K75+L75</f>
        <v>46.150000000000006</v>
      </c>
      <c r="N75" s="90">
        <f>J75+M75</f>
        <v>221.15</v>
      </c>
      <c r="O75" s="90">
        <f>$O$79/$J$79*J75</f>
        <v>0.86004975510697534</v>
      </c>
      <c r="P75" s="90">
        <f>$P$79/$J$79*J75</f>
        <v>14.562684972129471</v>
      </c>
      <c r="Q75" s="90">
        <f>$Q$79/$J$79*J75</f>
        <v>201.68166757258572</v>
      </c>
      <c r="R75" s="90">
        <f>O75+P75+Q75</f>
        <v>217.10440229982217</v>
      </c>
      <c r="S75" s="90">
        <f>N75+R75</f>
        <v>438.25440229982217</v>
      </c>
      <c r="T75" s="899"/>
      <c r="U75" s="173"/>
      <c r="V75" s="939">
        <v>2</v>
      </c>
      <c r="W75" s="734">
        <f>V75/$V$79</f>
        <v>2.0283975659229209E-3</v>
      </c>
      <c r="X75" s="939">
        <v>2</v>
      </c>
      <c r="Y75" s="747">
        <f>X75/$X$79</f>
        <v>2.0725388601036268E-3</v>
      </c>
      <c r="Z75" s="1269">
        <f t="shared" ref="Z75" si="59">V75+X75</f>
        <v>4</v>
      </c>
      <c r="AA75" s="747">
        <f t="shared" si="28"/>
        <v>2.0502306509482316E-3</v>
      </c>
      <c r="AB75" s="1269">
        <f t="shared" ref="AB75" si="60">H75-Z75</f>
        <v>-2</v>
      </c>
      <c r="AD75" s="173">
        <f>N53+N77</f>
        <v>108576.32000000001</v>
      </c>
    </row>
    <row r="76" spans="2:30" ht="12" customHeight="1">
      <c r="B76" s="87"/>
      <c r="C76" s="1121"/>
      <c r="D76" s="938"/>
      <c r="E76" s="938"/>
      <c r="F76" s="936"/>
      <c r="G76" s="273">
        <f>ROUNDDOWN(J75,0)</f>
        <v>175</v>
      </c>
      <c r="H76" s="936"/>
      <c r="I76" s="374">
        <f>H75/$H$77</f>
        <v>2.472187886279357E-3</v>
      </c>
      <c r="J76" s="111">
        <f t="shared" ref="J76:S76" si="61">ROUNDDOWN(J75*0.3025,2)</f>
        <v>52.93</v>
      </c>
      <c r="K76" s="111">
        <f t="shared" si="61"/>
        <v>4.62</v>
      </c>
      <c r="L76" s="111">
        <f t="shared" si="61"/>
        <v>9.33</v>
      </c>
      <c r="M76" s="111">
        <f t="shared" si="61"/>
        <v>13.96</v>
      </c>
      <c r="N76" s="111">
        <f t="shared" si="61"/>
        <v>66.89</v>
      </c>
      <c r="O76" s="111">
        <f t="shared" si="61"/>
        <v>0.26</v>
      </c>
      <c r="P76" s="111">
        <f t="shared" si="61"/>
        <v>4.4000000000000004</v>
      </c>
      <c r="Q76" s="111">
        <f t="shared" si="61"/>
        <v>61</v>
      </c>
      <c r="R76" s="111">
        <f t="shared" si="61"/>
        <v>65.67</v>
      </c>
      <c r="S76" s="111">
        <f t="shared" si="61"/>
        <v>132.57</v>
      </c>
      <c r="T76" s="899"/>
      <c r="U76" s="173"/>
      <c r="V76" s="936"/>
      <c r="W76" s="735">
        <f>V75/$V$77</f>
        <v>2.2547914317925591E-3</v>
      </c>
      <c r="X76" s="936"/>
      <c r="Y76" s="746">
        <f>X75/$X$77</f>
        <v>2.3014959723820483E-3</v>
      </c>
      <c r="Z76" s="1268"/>
      <c r="AA76" s="746">
        <f t="shared" ref="AA76" si="62">Z75/$Z$77</f>
        <v>2.2779043280182231E-3</v>
      </c>
      <c r="AB76" s="1268"/>
      <c r="AC76" s="144"/>
      <c r="AD76" s="144">
        <f>R53+R77</f>
        <v>100972.94999999998</v>
      </c>
    </row>
    <row r="77" spans="2:30" ht="12" customHeight="1">
      <c r="B77" s="130"/>
      <c r="C77" s="130"/>
      <c r="D77" s="1131"/>
      <c r="E77" s="1131">
        <f>E57+E59+E61+E63+E67</f>
        <v>0.79975278121137205</v>
      </c>
      <c r="F77" s="130">
        <f>H53/H77*100</f>
        <v>15.945611866501855</v>
      </c>
      <c r="G77" s="1202" t="s">
        <v>82</v>
      </c>
      <c r="H77" s="1253">
        <f>SUM(H55:H76)</f>
        <v>809</v>
      </c>
      <c r="I77" s="371">
        <f>I57+I59+I61+I63+I67+I65+I69+I75</f>
        <v>0.86247334754797444</v>
      </c>
      <c r="J77" s="365">
        <f>SUMPRODUCT(H55:H76,J55:J76)</f>
        <v>73301.930000000008</v>
      </c>
      <c r="K77" s="365">
        <f>SUMPRODUCT(H55:H76,K55:K76)</f>
        <v>6553.68</v>
      </c>
      <c r="L77" s="365">
        <f>SUMPRODUCT(H55:H76,L55:L76)</f>
        <v>17617.2</v>
      </c>
      <c r="M77" s="365">
        <f>K77+L77</f>
        <v>24170.880000000001</v>
      </c>
      <c r="N77" s="365">
        <f>J77+M77</f>
        <v>97472.810000000012</v>
      </c>
      <c r="O77" s="365">
        <f>SUMPRODUCT(H55:H76,O55:O76)</f>
        <v>360.24746825924939</v>
      </c>
      <c r="P77" s="365">
        <f>SUMPRODUCT(H55:H76,P55:P76)</f>
        <v>6099.8452253662072</v>
      </c>
      <c r="Q77" s="365">
        <f>SUMPRODUCT(H55:H76,Q55:Q76)</f>
        <v>84478.031306793986</v>
      </c>
      <c r="R77" s="365">
        <f>O77+P77+Q77</f>
        <v>90938.124000419441</v>
      </c>
      <c r="S77" s="365">
        <f>N77+R77</f>
        <v>188410.93400041945</v>
      </c>
      <c r="T77" s="1220"/>
      <c r="U77" s="130">
        <f>V53/V77*100</f>
        <v>11.161217587373168</v>
      </c>
      <c r="V77" s="1253">
        <f>SUM(V55:V76)</f>
        <v>887</v>
      </c>
      <c r="W77" s="737">
        <f>W57+W59+W61+W63+W67+W65+W69+W75</f>
        <v>0.89959432048681531</v>
      </c>
      <c r="X77" s="1253">
        <f>SUM(X55:X76)</f>
        <v>869</v>
      </c>
      <c r="Y77" s="749">
        <f>Y57+Y59+Y61+Y63+Y67+Y65+Y69+Y75</f>
        <v>0.90051813471502584</v>
      </c>
      <c r="Z77" s="1270">
        <f t="shared" ref="Z77" si="63">V77+X77</f>
        <v>1756</v>
      </c>
      <c r="AA77" s="749">
        <f>AA57+AA59+AA61+AA63+AA67+AA65+AA69+AA75</f>
        <v>0.90005125576627365</v>
      </c>
      <c r="AB77" s="1270">
        <f t="shared" ref="AB77" si="64">H77-Z77</f>
        <v>-947</v>
      </c>
      <c r="AC77" s="1253">
        <f>SUM(AC55:AC76)</f>
        <v>305</v>
      </c>
      <c r="AD77" s="173">
        <f>S53+S77</f>
        <v>209549.27</v>
      </c>
    </row>
    <row r="78" spans="2:30" ht="12" customHeight="1">
      <c r="D78" s="1132"/>
      <c r="E78" s="1132"/>
      <c r="F78" s="756">
        <f>H77-Z77</f>
        <v>-947</v>
      </c>
      <c r="G78" s="1203"/>
      <c r="H78" s="1254"/>
      <c r="I78" s="375">
        <f>H77/$H$77</f>
        <v>1</v>
      </c>
      <c r="J78" s="292">
        <f t="shared" ref="J78:S78" si="65">ROUNDDOWN(J77*0.3025,2)</f>
        <v>22173.83</v>
      </c>
      <c r="K78" s="292">
        <f t="shared" si="65"/>
        <v>1982.48</v>
      </c>
      <c r="L78" s="292">
        <f t="shared" si="65"/>
        <v>5329.2</v>
      </c>
      <c r="M78" s="292">
        <f t="shared" si="65"/>
        <v>7311.69</v>
      </c>
      <c r="N78" s="292">
        <f t="shared" si="65"/>
        <v>29485.52</v>
      </c>
      <c r="O78" s="292">
        <f t="shared" si="65"/>
        <v>108.97</v>
      </c>
      <c r="P78" s="292">
        <f t="shared" si="65"/>
        <v>1845.2</v>
      </c>
      <c r="Q78" s="292">
        <f t="shared" si="65"/>
        <v>25554.6</v>
      </c>
      <c r="R78" s="292">
        <f t="shared" si="65"/>
        <v>27508.78</v>
      </c>
      <c r="S78" s="292">
        <f t="shared" si="65"/>
        <v>56994.3</v>
      </c>
      <c r="T78" s="1207"/>
      <c r="V78" s="1254"/>
      <c r="W78" s="738">
        <f>V77/$V$77</f>
        <v>1</v>
      </c>
      <c r="X78" s="1254"/>
      <c r="Y78" s="750">
        <f>X77/$X$77</f>
        <v>1</v>
      </c>
      <c r="Z78" s="1271"/>
      <c r="AA78" s="750">
        <f>Z77/$Z$77</f>
        <v>1</v>
      </c>
      <c r="AB78" s="1271"/>
      <c r="AC78" s="1254"/>
    </row>
    <row r="79" spans="2:30" ht="17.25" customHeight="1">
      <c r="C79" s="1212">
        <f>C67+C65+C63+C61+C59</f>
        <v>819</v>
      </c>
      <c r="D79" s="940"/>
      <c r="F79" s="756">
        <f>H79-Z79</f>
        <v>-1013</v>
      </c>
      <c r="G79" s="1213" t="s">
        <v>69</v>
      </c>
      <c r="H79" s="1255">
        <f>H53+H77</f>
        <v>938</v>
      </c>
      <c r="I79" s="1217">
        <f>I53+I77</f>
        <v>0.87526652452025588</v>
      </c>
      <c r="J79" s="368">
        <f>J53+J77</f>
        <v>81390.640000000014</v>
      </c>
      <c r="K79" s="368">
        <f>K53+K77</f>
        <v>7369.9800000000005</v>
      </c>
      <c r="L79" s="368">
        <f>L53+L77</f>
        <v>19815.7</v>
      </c>
      <c r="M79" s="368">
        <f>K79+L79</f>
        <v>27185.68</v>
      </c>
      <c r="N79" s="368">
        <f>J79+M79</f>
        <v>108576.32000000001</v>
      </c>
      <c r="O79" s="368">
        <v>400</v>
      </c>
      <c r="P79" s="368">
        <f>R6+R7+R8+R9+R10+R11+R12+R15</f>
        <v>6772.95</v>
      </c>
      <c r="Q79" s="368">
        <f>(R19*V18)</f>
        <v>93800</v>
      </c>
      <c r="R79" s="368">
        <f>O79+P79+Q79</f>
        <v>100972.95</v>
      </c>
      <c r="S79" s="368">
        <f>N79+R79</f>
        <v>209549.27000000002</v>
      </c>
      <c r="T79" s="358"/>
      <c r="V79" s="1255">
        <f>V53+V77</f>
        <v>986</v>
      </c>
      <c r="W79" s="1443">
        <f>W53+W77</f>
        <v>0.99999999999999989</v>
      </c>
      <c r="X79" s="1255">
        <f>X53+X77</f>
        <v>965</v>
      </c>
      <c r="Y79" s="1260">
        <f>Y53+Y77</f>
        <v>1</v>
      </c>
      <c r="Z79" s="1258">
        <f t="shared" ref="Z79" si="66">V79+X79</f>
        <v>1951</v>
      </c>
      <c r="AA79" s="1260">
        <f>AA53+AA77</f>
        <v>1</v>
      </c>
      <c r="AB79" s="1258">
        <f t="shared" ref="AB79" si="67">H79-Z79</f>
        <v>-1013</v>
      </c>
      <c r="AC79" s="1255">
        <f>AC53+AC77</f>
        <v>351</v>
      </c>
    </row>
    <row r="80" spans="2:30" ht="17.25" customHeight="1" thickBot="1">
      <c r="C80" s="1076"/>
      <c r="D80" s="938"/>
      <c r="F80" s="77"/>
      <c r="G80" s="1214"/>
      <c r="H80" s="1256"/>
      <c r="I80" s="1218"/>
      <c r="J80" s="359">
        <f t="shared" ref="J80:S80" si="68">ROUNDDOWN(J79*0.3025,2)</f>
        <v>24620.66</v>
      </c>
      <c r="K80" s="359">
        <f t="shared" si="68"/>
        <v>2229.41</v>
      </c>
      <c r="L80" s="359">
        <f t="shared" si="68"/>
        <v>5994.24</v>
      </c>
      <c r="M80" s="359">
        <f t="shared" si="68"/>
        <v>8223.66</v>
      </c>
      <c r="N80" s="359">
        <f t="shared" si="68"/>
        <v>32844.33</v>
      </c>
      <c r="O80" s="359">
        <f t="shared" si="68"/>
        <v>121</v>
      </c>
      <c r="P80" s="359">
        <f t="shared" si="68"/>
        <v>2048.81</v>
      </c>
      <c r="Q80" s="359">
        <f t="shared" si="68"/>
        <v>28374.5</v>
      </c>
      <c r="R80" s="359">
        <f t="shared" si="68"/>
        <v>30544.31</v>
      </c>
      <c r="S80" s="359">
        <f t="shared" si="68"/>
        <v>63388.65</v>
      </c>
      <c r="T80" s="360"/>
      <c r="V80" s="1256"/>
      <c r="W80" s="1444"/>
      <c r="X80" s="1256"/>
      <c r="Y80" s="1261"/>
      <c r="Z80" s="1259"/>
      <c r="AA80" s="1261"/>
      <c r="AB80" s="1259"/>
      <c r="AC80" s="1256"/>
    </row>
    <row r="81" spans="4:49" ht="6" customHeight="1">
      <c r="F81" s="77"/>
      <c r="G81" s="1046"/>
      <c r="H81" s="1047"/>
      <c r="I81" s="1047"/>
      <c r="J81" s="1047"/>
      <c r="K81" s="1047"/>
      <c r="L81" s="1047"/>
      <c r="M81" s="1047"/>
      <c r="N81" s="1047"/>
      <c r="O81" s="1047"/>
      <c r="P81" s="1047"/>
      <c r="Q81" s="1047"/>
      <c r="R81" s="1047"/>
      <c r="S81" s="1047"/>
      <c r="T81" s="1048"/>
    </row>
    <row r="82" spans="4:49" ht="18" customHeight="1">
      <c r="D82" s="321"/>
      <c r="F82" s="77"/>
      <c r="G82" s="951" t="s">
        <v>87</v>
      </c>
      <c r="H82" s="951"/>
      <c r="I82" s="951"/>
      <c r="J82" s="951"/>
      <c r="K82" s="951"/>
      <c r="L82" s="951"/>
      <c r="M82" s="951"/>
      <c r="N82" s="951"/>
      <c r="O82" s="951"/>
      <c r="P82" s="951"/>
      <c r="Q82" s="951"/>
      <c r="R82" s="951"/>
      <c r="S82" s="951"/>
      <c r="T82" s="952"/>
      <c r="Z82" s="11"/>
      <c r="AC82" s="11">
        <f>AC79-AB79</f>
        <v>1364</v>
      </c>
    </row>
    <row r="83" spans="4:49" s="6" customFormat="1" ht="14.1" customHeight="1">
      <c r="E83" s="833">
        <f>G59</f>
        <v>24</v>
      </c>
      <c r="F83" s="831">
        <f>H39+H47+H59</f>
        <v>184</v>
      </c>
      <c r="G83" s="984" t="s">
        <v>16</v>
      </c>
      <c r="H83" s="985"/>
      <c r="I83" s="986" t="s">
        <v>7</v>
      </c>
      <c r="J83" s="987"/>
      <c r="K83" s="986" t="s">
        <v>83</v>
      </c>
      <c r="L83" s="987"/>
      <c r="M83" s="986" t="s">
        <v>22</v>
      </c>
      <c r="N83" s="987"/>
      <c r="O83" s="85" t="s">
        <v>218</v>
      </c>
      <c r="P83" s="85" t="s">
        <v>32</v>
      </c>
      <c r="Q83" s="1044" t="s">
        <v>73</v>
      </c>
      <c r="R83" s="1045"/>
      <c r="S83" s="1051" t="s">
        <v>74</v>
      </c>
      <c r="T83" s="1052"/>
    </row>
    <row r="84" spans="4:49" s="6" customFormat="1" ht="14.1" hidden="1" customHeight="1">
      <c r="F84" s="79"/>
      <c r="G84" s="1032" t="s">
        <v>50</v>
      </c>
      <c r="H84" s="1033"/>
      <c r="I84" s="1049">
        <f>M84*0.7</f>
        <v>0</v>
      </c>
      <c r="J84" s="1050"/>
      <c r="K84" s="1049">
        <f>M84*0.3</f>
        <v>0</v>
      </c>
      <c r="L84" s="1050"/>
      <c r="M84" s="1049">
        <v>0</v>
      </c>
      <c r="N84" s="1050"/>
      <c r="O84" s="58">
        <f>M84*0.15</f>
        <v>0</v>
      </c>
      <c r="P84" s="59" t="e">
        <f>#REF!*42</f>
        <v>#REF!</v>
      </c>
      <c r="Q84" s="988" t="e">
        <f>SUM(M84:P84)</f>
        <v>#REF!</v>
      </c>
      <c r="R84" s="989"/>
      <c r="S84" s="990"/>
      <c r="T84" s="991"/>
    </row>
    <row r="85" spans="4:49" s="6" customFormat="1" ht="14.1" hidden="1" customHeight="1">
      <c r="F85" s="79"/>
      <c r="G85" s="1034"/>
      <c r="H85" s="1035"/>
      <c r="I85" s="992">
        <f t="shared" ref="I85:I87" si="69">I84*0.3025</f>
        <v>0</v>
      </c>
      <c r="J85" s="993"/>
      <c r="K85" s="992">
        <f>K84*0.3025</f>
        <v>0</v>
      </c>
      <c r="L85" s="993"/>
      <c r="M85" s="1038">
        <f>M84*0.3025</f>
        <v>0</v>
      </c>
      <c r="N85" s="1039"/>
      <c r="O85" s="9">
        <f t="shared" ref="O85:O91" si="70">O84*0.3025</f>
        <v>0</v>
      </c>
      <c r="P85" s="60" t="e">
        <f>P84*0.3025</f>
        <v>#REF!</v>
      </c>
      <c r="Q85" s="1040" t="e">
        <f>Q84*0.3025</f>
        <v>#REF!</v>
      </c>
      <c r="R85" s="1041"/>
      <c r="S85" s="1042"/>
      <c r="T85" s="1043"/>
    </row>
    <row r="86" spans="4:49" s="6" customFormat="1" ht="14.1" customHeight="1">
      <c r="E86" s="833">
        <f>G61</f>
        <v>30</v>
      </c>
      <c r="F86" s="831">
        <f>H61</f>
        <v>186</v>
      </c>
      <c r="G86" s="996" t="s">
        <v>38</v>
      </c>
      <c r="H86" s="1001" t="s">
        <v>45</v>
      </c>
      <c r="I86" s="1057">
        <f>M86*0.7</f>
        <v>226.58159999999998</v>
      </c>
      <c r="J86" s="1000"/>
      <c r="K86" s="999">
        <f>M86*0.3</f>
        <v>97.106399999999994</v>
      </c>
      <c r="L86" s="1000"/>
      <c r="M86" s="1058">
        <v>323.68799999999999</v>
      </c>
      <c r="N86" s="1059"/>
      <c r="O86" s="91">
        <f>$O$90*I86/$I$90</f>
        <v>300</v>
      </c>
      <c r="P86" s="91">
        <f>$P$90*I86/$I$90</f>
        <v>240</v>
      </c>
      <c r="Q86" s="1017">
        <f>SUM(M86:P86)</f>
        <v>863.68799999999999</v>
      </c>
      <c r="R86" s="1018"/>
      <c r="S86" s="1019"/>
      <c r="T86" s="1020"/>
      <c r="U86" s="7"/>
      <c r="V86" s="7">
        <f>I86/I90*Q90</f>
        <v>863.68799999999999</v>
      </c>
      <c r="W86" s="7"/>
      <c r="X86" s="7"/>
      <c r="Y86" s="7"/>
      <c r="Z86" s="7"/>
      <c r="AA86" s="7"/>
      <c r="AB86" s="7"/>
      <c r="AC86" s="7"/>
      <c r="AD86" s="8"/>
    </row>
    <row r="87" spans="4:49" s="6" customFormat="1" ht="14.1" customHeight="1">
      <c r="E87" s="833">
        <f>G63</f>
        <v>34</v>
      </c>
      <c r="F87" s="831">
        <f>H41+H51+H63</f>
        <v>221</v>
      </c>
      <c r="G87" s="997"/>
      <c r="H87" s="1002"/>
      <c r="I87" s="1021">
        <f t="shared" si="69"/>
        <v>68.540933999999993</v>
      </c>
      <c r="J87" s="1022"/>
      <c r="K87" s="1023">
        <f>K86*0.3025</f>
        <v>29.374685999999997</v>
      </c>
      <c r="L87" s="1022"/>
      <c r="M87" s="1024">
        <f>M86*0.3025</f>
        <v>97.91561999999999</v>
      </c>
      <c r="N87" s="1025"/>
      <c r="O87" s="92">
        <f>O86*0.3025</f>
        <v>90.75</v>
      </c>
      <c r="P87" s="92">
        <f>P86*0.3025</f>
        <v>72.599999999999994</v>
      </c>
      <c r="Q87" s="1024">
        <f>Q86*0.3025</f>
        <v>261.26562000000001</v>
      </c>
      <c r="R87" s="1025"/>
      <c r="S87" s="1026"/>
      <c r="T87" s="1027"/>
      <c r="U87" s="7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</row>
    <row r="88" spans="4:49" s="6" customFormat="1" ht="14.1" hidden="1" customHeight="1">
      <c r="F88" s="79"/>
      <c r="G88" s="997"/>
      <c r="H88" s="1077" t="s">
        <v>456</v>
      </c>
      <c r="I88" s="1057">
        <v>0</v>
      </c>
      <c r="J88" s="1000"/>
      <c r="K88" s="999">
        <v>0</v>
      </c>
      <c r="L88" s="1000"/>
      <c r="M88" s="1058">
        <v>0</v>
      </c>
      <c r="N88" s="1059"/>
      <c r="O88" s="91">
        <f>$O$90*I88/$I$90</f>
        <v>0</v>
      </c>
      <c r="P88" s="91">
        <f>$P$90*I88/$I$90</f>
        <v>0</v>
      </c>
      <c r="Q88" s="1058">
        <f>SUM(M88:P88)</f>
        <v>0</v>
      </c>
      <c r="R88" s="1059"/>
      <c r="S88" s="1060"/>
      <c r="T88" s="1061"/>
      <c r="U88"/>
      <c r="V88" s="7">
        <f>I88/I90*Q90</f>
        <v>0</v>
      </c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</row>
    <row r="89" spans="4:49" ht="14.1" hidden="1" customHeight="1">
      <c r="F89" s="77"/>
      <c r="G89" s="998"/>
      <c r="H89" s="1078"/>
      <c r="I89" s="1062">
        <f t="shared" ref="I89" si="71">I88*0.3025</f>
        <v>0</v>
      </c>
      <c r="J89" s="1063"/>
      <c r="K89" s="1064">
        <f>K88*0.3025</f>
        <v>0</v>
      </c>
      <c r="L89" s="1063"/>
      <c r="M89" s="1065">
        <f>M88*0.3025</f>
        <v>0</v>
      </c>
      <c r="N89" s="1066"/>
      <c r="O89" s="94">
        <f>O88*0.3025</f>
        <v>0</v>
      </c>
      <c r="P89" s="98">
        <f>P88*0.3025</f>
        <v>0</v>
      </c>
      <c r="Q89" s="1065">
        <f>Q88*0.3025</f>
        <v>0</v>
      </c>
      <c r="R89" s="1066"/>
      <c r="S89" s="1067"/>
      <c r="T89" s="1068"/>
      <c r="U89"/>
      <c r="AW89" s="6"/>
    </row>
    <row r="90" spans="4:49" ht="14.1" customHeight="1">
      <c r="E90" s="830">
        <f>G65</f>
        <v>40</v>
      </c>
      <c r="F90" s="756">
        <f>H65</f>
        <v>160</v>
      </c>
      <c r="G90" s="1225" t="s">
        <v>69</v>
      </c>
      <c r="H90" s="1226"/>
      <c r="I90" s="1229">
        <f>M90*0.7</f>
        <v>226.58159999999998</v>
      </c>
      <c r="J90" s="1230"/>
      <c r="K90" s="1231">
        <f>M90*0.3</f>
        <v>97.106399999999994</v>
      </c>
      <c r="L90" s="1230"/>
      <c r="M90" s="1231">
        <f>M86+M88</f>
        <v>323.68799999999999</v>
      </c>
      <c r="N90" s="1230"/>
      <c r="O90" s="293">
        <v>300</v>
      </c>
      <c r="P90" s="293">
        <f>R25*V18</f>
        <v>240</v>
      </c>
      <c r="Q90" s="1232">
        <f>SUM(M90:P90)</f>
        <v>863.68799999999999</v>
      </c>
      <c r="R90" s="1233"/>
      <c r="S90" s="1234"/>
      <c r="T90" s="1235"/>
      <c r="U90" s="6"/>
      <c r="AW90" s="6"/>
    </row>
    <row r="91" spans="4:49" ht="14.1" customHeight="1">
      <c r="E91" s="830">
        <f>G67</f>
        <v>45</v>
      </c>
      <c r="F91" s="756">
        <f>H67</f>
        <v>185</v>
      </c>
      <c r="G91" s="1227"/>
      <c r="H91" s="1228"/>
      <c r="I91" s="1236">
        <f t="shared" ref="I91" si="72">I90*0.3025</f>
        <v>68.540933999999993</v>
      </c>
      <c r="J91" s="1237"/>
      <c r="K91" s="1238">
        <f>K90*0.3025</f>
        <v>29.374685999999997</v>
      </c>
      <c r="L91" s="1237"/>
      <c r="M91" s="1221">
        <f>M90*0.3025</f>
        <v>97.91561999999999</v>
      </c>
      <c r="N91" s="1222"/>
      <c r="O91" s="294">
        <f t="shared" si="70"/>
        <v>90.75</v>
      </c>
      <c r="P91" s="295">
        <f>P90*0.3025</f>
        <v>72.599999999999994</v>
      </c>
      <c r="Q91" s="1221">
        <f>Q90*0.3025</f>
        <v>261.26562000000001</v>
      </c>
      <c r="R91" s="1222"/>
      <c r="S91" s="1223"/>
      <c r="T91" s="1224"/>
      <c r="U91" s="7"/>
      <c r="AW91" s="6"/>
    </row>
    <row r="92" spans="4:49" ht="14.1" customHeight="1">
      <c r="E92" s="830">
        <f>G75</f>
        <v>66</v>
      </c>
      <c r="F92" s="11">
        <f>H75</f>
        <v>2</v>
      </c>
      <c r="Q92" s="5"/>
      <c r="R92" s="5"/>
      <c r="S92" s="5"/>
      <c r="T92" s="6"/>
      <c r="U92" s="6"/>
      <c r="AW92" s="6"/>
    </row>
    <row r="93" spans="4:49" ht="14.1" customHeight="1">
      <c r="J93" s="2">
        <f>H57*J57+J59*H59+H61*J61+J63*H63+H67*J67</f>
        <v>56953.53</v>
      </c>
      <c r="K93" s="2">
        <f>H57*K57+K59*H59+H61*K61+K63*H63+H67*K67</f>
        <v>5127.88</v>
      </c>
      <c r="P93" s="379">
        <f>P86+P88</f>
        <v>240</v>
      </c>
      <c r="T93" s="6"/>
      <c r="U93" s="6"/>
      <c r="AW93" s="6"/>
    </row>
    <row r="94" spans="4:49" ht="14.1" customHeight="1">
      <c r="T94" s="6"/>
      <c r="U94" s="6"/>
      <c r="AW94" s="6"/>
    </row>
    <row r="95" spans="4:49" ht="14.1" customHeight="1">
      <c r="T95" s="6"/>
      <c r="U95" s="6"/>
      <c r="AW95" s="6"/>
    </row>
    <row r="96" spans="4:49" ht="14.1" customHeight="1">
      <c r="H96" s="11">
        <f>H39+H59</f>
        <v>86</v>
      </c>
      <c r="I96" s="145">
        <f>I39+I59</f>
        <v>9.1684434968017051E-2</v>
      </c>
      <c r="M96" s="144">
        <f t="shared" ref="M96:S96" si="73">M53+M77</f>
        <v>27185.68</v>
      </c>
      <c r="N96" s="144">
        <f t="shared" si="73"/>
        <v>108576.32000000001</v>
      </c>
      <c r="O96" s="144">
        <f t="shared" si="73"/>
        <v>399.99999999999994</v>
      </c>
      <c r="P96" s="144">
        <f t="shared" si="73"/>
        <v>6772.949999999998</v>
      </c>
      <c r="Q96" s="144">
        <f t="shared" si="73"/>
        <v>93799.999999999985</v>
      </c>
      <c r="R96" s="144">
        <f t="shared" si="73"/>
        <v>100972.94999999998</v>
      </c>
      <c r="S96" s="144">
        <f t="shared" si="73"/>
        <v>209549.27</v>
      </c>
      <c r="T96" s="6"/>
      <c r="U96" s="6"/>
      <c r="AW96" s="6"/>
    </row>
    <row r="97" spans="7:49" ht="14.1" customHeight="1">
      <c r="H97" s="11">
        <f>H59+H61+H65</f>
        <v>415</v>
      </c>
      <c r="AW97" s="6"/>
    </row>
    <row r="98" spans="7:49" ht="14.1" customHeight="1">
      <c r="AW98" s="6"/>
    </row>
    <row r="99" spans="7:49" ht="14.1" customHeight="1">
      <c r="AW99" s="6"/>
    </row>
    <row r="100" spans="7:49" ht="14.1" customHeight="1">
      <c r="AW100" s="6"/>
    </row>
    <row r="101" spans="7:49" ht="14.1" customHeight="1">
      <c r="AW101" s="6"/>
    </row>
    <row r="102" spans="7:49" ht="14.1" customHeight="1" thickBot="1">
      <c r="G102" s="1"/>
      <c r="K102" s="3"/>
      <c r="M102" s="1007" t="s">
        <v>89</v>
      </c>
      <c r="N102" s="1007"/>
      <c r="O102" s="1007"/>
      <c r="P102" s="112"/>
      <c r="Q102" s="113"/>
      <c r="R102" s="112"/>
      <c r="S102" s="6"/>
      <c r="AW102" s="6"/>
    </row>
    <row r="103" spans="7:49" ht="14.1" customHeight="1">
      <c r="G103" s="34"/>
      <c r="H103" s="35"/>
      <c r="I103" s="36"/>
      <c r="J103" s="36"/>
      <c r="K103" s="37"/>
      <c r="M103" s="114"/>
      <c r="N103" s="115">
        <v>0</v>
      </c>
      <c r="O103" s="116">
        <v>300</v>
      </c>
      <c r="P103" s="117">
        <v>500</v>
      </c>
      <c r="Q103" s="118">
        <v>1000</v>
      </c>
      <c r="R103" s="117">
        <v>2000</v>
      </c>
      <c r="S103" s="6"/>
      <c r="AW103" s="6"/>
    </row>
    <row r="104" spans="7:49" ht="14.1" customHeight="1">
      <c r="G104" s="38"/>
      <c r="H104" s="39"/>
      <c r="I104" s="40"/>
      <c r="J104" s="40"/>
      <c r="K104" s="41"/>
      <c r="M104" s="119"/>
      <c r="N104" s="120" t="s">
        <v>90</v>
      </c>
      <c r="O104" s="120" t="s">
        <v>91</v>
      </c>
      <c r="P104" s="120" t="s">
        <v>92</v>
      </c>
      <c r="Q104" s="120" t="s">
        <v>93</v>
      </c>
      <c r="R104" s="120" t="s">
        <v>94</v>
      </c>
      <c r="S104" s="6"/>
      <c r="AW104" s="6"/>
    </row>
    <row r="105" spans="7:49" ht="14.1" customHeight="1">
      <c r="G105" s="980"/>
      <c r="H105" s="106"/>
      <c r="I105" s="106"/>
      <c r="J105" s="106"/>
      <c r="K105" s="42"/>
      <c r="M105" s="119" t="s">
        <v>4</v>
      </c>
      <c r="N105" s="121">
        <v>6</v>
      </c>
      <c r="O105" s="121">
        <v>8</v>
      </c>
      <c r="P105" s="121">
        <v>12</v>
      </c>
      <c r="Q105" s="122">
        <v>15</v>
      </c>
      <c r="R105" s="121">
        <v>20</v>
      </c>
      <c r="S105" s="6"/>
      <c r="AW105" s="6"/>
    </row>
    <row r="106" spans="7:49" ht="14.1" customHeight="1">
      <c r="G106" s="981"/>
      <c r="H106" s="107"/>
      <c r="I106" s="107"/>
      <c r="J106" s="108"/>
      <c r="K106" s="43"/>
      <c r="M106" s="114"/>
      <c r="N106" s="112"/>
      <c r="O106" s="112"/>
      <c r="P106" s="112"/>
      <c r="Q106" s="113"/>
      <c r="R106" s="112"/>
      <c r="S106" s="6"/>
      <c r="AW106" s="6"/>
    </row>
    <row r="107" spans="7:49" ht="14.1" customHeight="1">
      <c r="G107" s="994"/>
      <c r="H107" s="106"/>
      <c r="I107" s="106"/>
      <c r="J107" s="106"/>
      <c r="K107" s="42"/>
      <c r="M107" s="114"/>
      <c r="N107" s="112"/>
      <c r="O107" s="112"/>
      <c r="P107" s="112"/>
      <c r="Q107" s="113"/>
      <c r="R107" s="112"/>
      <c r="S107" s="6"/>
      <c r="AW107" s="6"/>
    </row>
    <row r="108" spans="7:49" ht="14.1" customHeight="1">
      <c r="G108" s="995"/>
      <c r="H108" s="107"/>
      <c r="I108" s="107"/>
      <c r="J108" s="108"/>
      <c r="K108" s="43"/>
      <c r="M108" s="1007" t="s">
        <v>95</v>
      </c>
      <c r="N108" s="1007"/>
      <c r="O108" s="1007"/>
      <c r="P108" s="112"/>
      <c r="Q108" s="113"/>
      <c r="R108" s="112"/>
      <c r="S108" s="6"/>
      <c r="AW108" s="6"/>
    </row>
    <row r="109" spans="7:49" ht="20.25" customHeight="1">
      <c r="G109" s="994"/>
      <c r="H109" s="106"/>
      <c r="I109" s="106"/>
      <c r="J109" s="106"/>
      <c r="K109" s="42"/>
      <c r="M109" s="123"/>
      <c r="N109" s="123">
        <v>0</v>
      </c>
      <c r="O109" s="142">
        <v>150</v>
      </c>
      <c r="P109" s="142">
        <v>300</v>
      </c>
      <c r="Q109" s="142">
        <v>500</v>
      </c>
      <c r="R109" s="142">
        <v>1000</v>
      </c>
      <c r="S109" s="142">
        <v>1500</v>
      </c>
      <c r="AW109" s="6"/>
    </row>
    <row r="110" spans="7:49" ht="20.25" customHeight="1">
      <c r="G110" s="981"/>
      <c r="H110" s="107"/>
      <c r="I110" s="107"/>
      <c r="J110" s="108"/>
      <c r="K110" s="43"/>
      <c r="M110" s="125"/>
      <c r="N110" s="125" t="s">
        <v>96</v>
      </c>
      <c r="O110" s="125" t="s">
        <v>97</v>
      </c>
      <c r="P110" s="125" t="s">
        <v>91</v>
      </c>
      <c r="Q110" s="125" t="s">
        <v>92</v>
      </c>
      <c r="R110" s="125" t="s">
        <v>98</v>
      </c>
      <c r="S110" s="125" t="s">
        <v>99</v>
      </c>
    </row>
    <row r="111" spans="7:49" ht="14.1" customHeight="1">
      <c r="G111" s="980"/>
      <c r="H111" s="106"/>
      <c r="I111" s="106"/>
      <c r="J111" s="106"/>
      <c r="M111" s="126" t="s">
        <v>100</v>
      </c>
      <c r="N111" s="124">
        <v>0</v>
      </c>
      <c r="O111" s="127">
        <f>50+(H79*0.1)</f>
        <v>143.80000000000001</v>
      </c>
      <c r="P111" s="127">
        <v>155</v>
      </c>
      <c r="Q111" s="127">
        <v>225</v>
      </c>
      <c r="R111" s="127">
        <v>375</v>
      </c>
      <c r="S111" s="128">
        <v>500</v>
      </c>
    </row>
    <row r="112" spans="7:49" ht="14.1" customHeight="1">
      <c r="G112" s="981"/>
      <c r="H112" s="108"/>
      <c r="I112" s="107"/>
      <c r="J112" s="108"/>
      <c r="M112" s="126" t="s">
        <v>24</v>
      </c>
      <c r="N112" s="124">
        <v>0</v>
      </c>
      <c r="O112" s="123">
        <v>0</v>
      </c>
      <c r="P112" s="127">
        <v>198</v>
      </c>
      <c r="Q112" s="127">
        <v>330</v>
      </c>
      <c r="R112" s="127">
        <v>580</v>
      </c>
      <c r="S112" s="127">
        <v>725</v>
      </c>
    </row>
    <row r="113" spans="7:19" ht="14.1" customHeight="1">
      <c r="G113" s="980"/>
      <c r="H113" s="106"/>
      <c r="I113" s="106"/>
      <c r="J113" s="106"/>
      <c r="K113" s="42"/>
      <c r="M113" s="126" t="s">
        <v>35</v>
      </c>
      <c r="N113" s="124">
        <v>0</v>
      </c>
      <c r="O113" s="123">
        <v>0</v>
      </c>
      <c r="P113" s="129">
        <v>108</v>
      </c>
      <c r="Q113" s="129">
        <v>158</v>
      </c>
      <c r="R113" s="129">
        <v>203</v>
      </c>
      <c r="S113" s="129">
        <v>298</v>
      </c>
    </row>
    <row r="114" spans="7:19" ht="14.1" customHeight="1">
      <c r="G114" s="981"/>
      <c r="H114" s="107"/>
      <c r="I114" s="107"/>
      <c r="J114" s="108"/>
      <c r="K114" s="43"/>
      <c r="S114" s="6"/>
    </row>
    <row r="115" spans="7:19" ht="14.1" customHeight="1">
      <c r="G115" s="81"/>
      <c r="H115" s="106"/>
      <c r="I115" s="106"/>
      <c r="J115" s="106"/>
      <c r="K115" s="42"/>
      <c r="M115" s="1007" t="s">
        <v>101</v>
      </c>
      <c r="N115" s="1007"/>
      <c r="O115" s="1007"/>
      <c r="S115" s="6"/>
    </row>
    <row r="116" spans="7:19" ht="14.1" customHeight="1" thickBot="1">
      <c r="G116" s="44"/>
      <c r="H116" s="109"/>
      <c r="I116" s="109"/>
      <c r="J116" s="110"/>
      <c r="K116" s="45"/>
      <c r="N116" s="130">
        <v>0</v>
      </c>
      <c r="O116" s="130">
        <v>500</v>
      </c>
      <c r="P116" s="130">
        <v>1000</v>
      </c>
      <c r="Q116" s="130">
        <v>1500</v>
      </c>
      <c r="R116" s="6"/>
      <c r="S116" s="6"/>
    </row>
    <row r="117" spans="7:19" ht="14.1" customHeight="1">
      <c r="M117" s="131"/>
      <c r="N117" s="132" t="s">
        <v>102</v>
      </c>
      <c r="O117" s="132" t="s">
        <v>103</v>
      </c>
      <c r="P117" s="132" t="s">
        <v>104</v>
      </c>
      <c r="Q117" s="125" t="s">
        <v>99</v>
      </c>
      <c r="R117" s="6"/>
      <c r="S117" s="6"/>
    </row>
    <row r="118" spans="7:19" ht="14.1" customHeight="1">
      <c r="M118" s="133" t="s">
        <v>105</v>
      </c>
      <c r="N118" s="134">
        <v>90</v>
      </c>
      <c r="O118" s="134">
        <v>90</v>
      </c>
      <c r="P118" s="134">
        <v>108</v>
      </c>
      <c r="Q118" s="135">
        <v>138</v>
      </c>
      <c r="R118" s="6"/>
      <c r="S118" s="6"/>
    </row>
    <row r="119" spans="7:19" ht="14.1" customHeight="1">
      <c r="M119" s="133" t="s">
        <v>106</v>
      </c>
      <c r="N119" s="134">
        <v>188</v>
      </c>
      <c r="O119" s="134">
        <v>188</v>
      </c>
      <c r="P119" s="134">
        <v>324</v>
      </c>
      <c r="Q119" s="135">
        <v>454</v>
      </c>
    </row>
    <row r="120" spans="7:19" ht="14.1" customHeight="1">
      <c r="M120" s="136" t="s">
        <v>107</v>
      </c>
      <c r="N120" s="135">
        <v>146</v>
      </c>
      <c r="O120" s="134">
        <v>158</v>
      </c>
      <c r="P120" s="135">
        <v>184</v>
      </c>
      <c r="Q120" s="135">
        <v>210</v>
      </c>
    </row>
    <row r="121" spans="7:19" ht="14.1" customHeight="1">
      <c r="M121" s="133" t="s">
        <v>108</v>
      </c>
      <c r="N121" s="135">
        <v>60</v>
      </c>
      <c r="O121" s="134">
        <v>80</v>
      </c>
      <c r="P121" s="135">
        <v>100</v>
      </c>
      <c r="Q121" s="135">
        <v>150</v>
      </c>
    </row>
    <row r="122" spans="7:19" ht="14.1" customHeight="1">
      <c r="M122" s="137" t="s">
        <v>1</v>
      </c>
      <c r="N122" s="135">
        <f>SUM(N118:N121)</f>
        <v>484</v>
      </c>
      <c r="O122" s="135">
        <f t="shared" ref="O122:Q122" si="74">SUM(O118:O121)</f>
        <v>516</v>
      </c>
      <c r="P122" s="135">
        <f t="shared" si="74"/>
        <v>716</v>
      </c>
      <c r="Q122" s="135">
        <f t="shared" si="74"/>
        <v>952</v>
      </c>
    </row>
    <row r="123" spans="7:19" ht="14.1" customHeight="1">
      <c r="M123" s="1007" t="s">
        <v>109</v>
      </c>
      <c r="N123" s="1007"/>
      <c r="O123" s="1007"/>
    </row>
    <row r="124" spans="7:19" ht="14.1" customHeight="1">
      <c r="N124" s="130">
        <v>0</v>
      </c>
      <c r="O124" s="130">
        <v>500</v>
      </c>
      <c r="P124" s="130">
        <v>1000</v>
      </c>
      <c r="Q124" s="130">
        <v>1500</v>
      </c>
    </row>
    <row r="125" spans="7:19" ht="14.1" customHeight="1">
      <c r="M125" s="131"/>
      <c r="N125" s="132" t="s">
        <v>102</v>
      </c>
      <c r="O125" s="132" t="s">
        <v>103</v>
      </c>
      <c r="P125" s="132" t="s">
        <v>104</v>
      </c>
      <c r="Q125" s="125" t="s">
        <v>99</v>
      </c>
    </row>
    <row r="126" spans="7:19" ht="14.1" customHeight="1">
      <c r="M126" s="133" t="s">
        <v>114</v>
      </c>
      <c r="N126" s="138">
        <v>36</v>
      </c>
      <c r="O126" s="138">
        <v>48</v>
      </c>
      <c r="P126" s="138">
        <v>56</v>
      </c>
      <c r="Q126" s="139">
        <v>63</v>
      </c>
    </row>
    <row r="127" spans="7:19" ht="14.1" customHeight="1">
      <c r="M127" s="133" t="s">
        <v>115</v>
      </c>
      <c r="N127" s="138">
        <v>12</v>
      </c>
      <c r="O127" s="138">
        <v>18</v>
      </c>
      <c r="P127" s="138">
        <v>22</v>
      </c>
      <c r="Q127" s="139">
        <v>34</v>
      </c>
    </row>
    <row r="128" spans="7:19" ht="14.1" customHeight="1">
      <c r="M128" s="137" t="s">
        <v>1</v>
      </c>
      <c r="N128" s="140">
        <f>SUM(N126:N127)</f>
        <v>48</v>
      </c>
      <c r="O128" s="141">
        <f>SUM(O126:O127)</f>
        <v>66</v>
      </c>
      <c r="P128" s="140">
        <f>SUM(P126:P127)</f>
        <v>78</v>
      </c>
      <c r="Q128" s="140">
        <f>SUM(Q126:Q127)</f>
        <v>97</v>
      </c>
    </row>
  </sheetData>
  <mergeCells count="343">
    <mergeCell ref="AA35:AA36"/>
    <mergeCell ref="AA49:AA50"/>
    <mergeCell ref="AA55:AA56"/>
    <mergeCell ref="AA71:AA72"/>
    <mergeCell ref="AA73:AA74"/>
    <mergeCell ref="AA79:AA80"/>
    <mergeCell ref="X79:X80"/>
    <mergeCell ref="Y49:Y50"/>
    <mergeCell ref="Y55:Y56"/>
    <mergeCell ref="Y71:Y72"/>
    <mergeCell ref="Y73:Y74"/>
    <mergeCell ref="Y79:Y80"/>
    <mergeCell ref="Z35:Z36"/>
    <mergeCell ref="Z47:Z48"/>
    <mergeCell ref="Z49:Z50"/>
    <mergeCell ref="Z51:Z52"/>
    <mergeCell ref="Z53:Z54"/>
    <mergeCell ref="Z55:Z56"/>
    <mergeCell ref="Z57:Z58"/>
    <mergeCell ref="Z59:Z60"/>
    <mergeCell ref="Z61:Z62"/>
    <mergeCell ref="Z63:Z64"/>
    <mergeCell ref="Z65:Z66"/>
    <mergeCell ref="Z67:Z68"/>
    <mergeCell ref="Z69:Z70"/>
    <mergeCell ref="Z71:Z72"/>
    <mergeCell ref="Z73:Z74"/>
    <mergeCell ref="Z75:Z76"/>
    <mergeCell ref="Z77:Z78"/>
    <mergeCell ref="Z79:Z80"/>
    <mergeCell ref="X61:X62"/>
    <mergeCell ref="X63:X64"/>
    <mergeCell ref="X65:X66"/>
    <mergeCell ref="X67:X68"/>
    <mergeCell ref="X69:X70"/>
    <mergeCell ref="X71:X72"/>
    <mergeCell ref="X73:X74"/>
    <mergeCell ref="X75:X76"/>
    <mergeCell ref="X77:X78"/>
    <mergeCell ref="X35:X36"/>
    <mergeCell ref="Y35:Y36"/>
    <mergeCell ref="X47:X48"/>
    <mergeCell ref="X49:X50"/>
    <mergeCell ref="X51:X52"/>
    <mergeCell ref="X53:X54"/>
    <mergeCell ref="X55:X56"/>
    <mergeCell ref="X57:X58"/>
    <mergeCell ref="X59:X60"/>
    <mergeCell ref="V77:V78"/>
    <mergeCell ref="V79:V80"/>
    <mergeCell ref="W49:W50"/>
    <mergeCell ref="W55:W56"/>
    <mergeCell ref="W71:W72"/>
    <mergeCell ref="W73:W74"/>
    <mergeCell ref="W79:W80"/>
    <mergeCell ref="V63:V64"/>
    <mergeCell ref="V65:V66"/>
    <mergeCell ref="V67:V68"/>
    <mergeCell ref="V69:V70"/>
    <mergeCell ref="V71:V72"/>
    <mergeCell ref="V73:V74"/>
    <mergeCell ref="V75:V76"/>
    <mergeCell ref="V47:V48"/>
    <mergeCell ref="V49:V50"/>
    <mergeCell ref="V51:V52"/>
    <mergeCell ref="V53:V54"/>
    <mergeCell ref="V55:V56"/>
    <mergeCell ref="V57:V58"/>
    <mergeCell ref="V59:V60"/>
    <mergeCell ref="V61:V62"/>
    <mergeCell ref="W35:W36"/>
    <mergeCell ref="V37:V38"/>
    <mergeCell ref="G88:G89"/>
    <mergeCell ref="G90:H91"/>
    <mergeCell ref="I90:J90"/>
    <mergeCell ref="K90:L90"/>
    <mergeCell ref="M90:N90"/>
    <mergeCell ref="Q90:R90"/>
    <mergeCell ref="S90:T90"/>
    <mergeCell ref="M115:O115"/>
    <mergeCell ref="I88:J88"/>
    <mergeCell ref="K88:L88"/>
    <mergeCell ref="M88:N88"/>
    <mergeCell ref="Q88:R88"/>
    <mergeCell ref="S88:T88"/>
    <mergeCell ref="I89:J89"/>
    <mergeCell ref="Q91:R91"/>
    <mergeCell ref="S91:T91"/>
    <mergeCell ref="K89:L89"/>
    <mergeCell ref="M89:N89"/>
    <mergeCell ref="Q89:R89"/>
    <mergeCell ref="S89:T89"/>
    <mergeCell ref="H88:H89"/>
    <mergeCell ref="M123:O123"/>
    <mergeCell ref="G105:G106"/>
    <mergeCell ref="G107:G108"/>
    <mergeCell ref="M108:O108"/>
    <mergeCell ref="G109:G110"/>
    <mergeCell ref="G111:G112"/>
    <mergeCell ref="G113:G114"/>
    <mergeCell ref="I91:J91"/>
    <mergeCell ref="K91:L91"/>
    <mergeCell ref="M91:N91"/>
    <mergeCell ref="M102:O102"/>
    <mergeCell ref="S85:T85"/>
    <mergeCell ref="H86:H87"/>
    <mergeCell ref="I86:J86"/>
    <mergeCell ref="K86:L86"/>
    <mergeCell ref="M86:N86"/>
    <mergeCell ref="Q86:R86"/>
    <mergeCell ref="S86:T86"/>
    <mergeCell ref="I87:J87"/>
    <mergeCell ref="K87:L87"/>
    <mergeCell ref="G84:H85"/>
    <mergeCell ref="I84:J84"/>
    <mergeCell ref="K84:L84"/>
    <mergeCell ref="M84:N84"/>
    <mergeCell ref="Q84:R84"/>
    <mergeCell ref="S84:T84"/>
    <mergeCell ref="I85:J85"/>
    <mergeCell ref="K85:L85"/>
    <mergeCell ref="M85:N85"/>
    <mergeCell ref="Q85:R85"/>
    <mergeCell ref="M87:N87"/>
    <mergeCell ref="Q87:R87"/>
    <mergeCell ref="S87:T87"/>
    <mergeCell ref="G86:G87"/>
    <mergeCell ref="G81:T81"/>
    <mergeCell ref="G82:T82"/>
    <mergeCell ref="G83:H83"/>
    <mergeCell ref="I83:J83"/>
    <mergeCell ref="K83:L83"/>
    <mergeCell ref="M83:N83"/>
    <mergeCell ref="Q83:R83"/>
    <mergeCell ref="S83:T83"/>
    <mergeCell ref="D77:D78"/>
    <mergeCell ref="E77:E78"/>
    <mergeCell ref="G77:G78"/>
    <mergeCell ref="H77:H78"/>
    <mergeCell ref="T77:T78"/>
    <mergeCell ref="C79:C80"/>
    <mergeCell ref="D79:D80"/>
    <mergeCell ref="G79:G80"/>
    <mergeCell ref="H79:H80"/>
    <mergeCell ref="I79:I80"/>
    <mergeCell ref="I71:I72"/>
    <mergeCell ref="E73:E74"/>
    <mergeCell ref="H73:H74"/>
    <mergeCell ref="I73:I74"/>
    <mergeCell ref="C75:C76"/>
    <mergeCell ref="D75:D76"/>
    <mergeCell ref="E75:E76"/>
    <mergeCell ref="F75:F76"/>
    <mergeCell ref="H75:H76"/>
    <mergeCell ref="F73:F74"/>
    <mergeCell ref="E67:E68"/>
    <mergeCell ref="H67:H68"/>
    <mergeCell ref="E69:E70"/>
    <mergeCell ref="H69:H70"/>
    <mergeCell ref="C71:C72"/>
    <mergeCell ref="D71:D72"/>
    <mergeCell ref="E71:E72"/>
    <mergeCell ref="F71:F72"/>
    <mergeCell ref="H71:H72"/>
    <mergeCell ref="C67:C68"/>
    <mergeCell ref="F67:F68"/>
    <mergeCell ref="F69:F70"/>
    <mergeCell ref="D61:D62"/>
    <mergeCell ref="E61:E62"/>
    <mergeCell ref="F61:F62"/>
    <mergeCell ref="H61:H62"/>
    <mergeCell ref="C63:C64"/>
    <mergeCell ref="D63:D64"/>
    <mergeCell ref="E63:E64"/>
    <mergeCell ref="F63:F64"/>
    <mergeCell ref="H63:H64"/>
    <mergeCell ref="E57:E58"/>
    <mergeCell ref="F57:F58"/>
    <mergeCell ref="H57:H58"/>
    <mergeCell ref="C59:C60"/>
    <mergeCell ref="D59:D60"/>
    <mergeCell ref="E59:E60"/>
    <mergeCell ref="F59:F60"/>
    <mergeCell ref="H59:H60"/>
    <mergeCell ref="T53:T54"/>
    <mergeCell ref="C55:C56"/>
    <mergeCell ref="D55:D56"/>
    <mergeCell ref="E55:E56"/>
    <mergeCell ref="F55:F56"/>
    <mergeCell ref="H55:H56"/>
    <mergeCell ref="I55:I56"/>
    <mergeCell ref="T55:T76"/>
    <mergeCell ref="C57:C58"/>
    <mergeCell ref="D57:D58"/>
    <mergeCell ref="C65:C66"/>
    <mergeCell ref="D65:D66"/>
    <mergeCell ref="E65:E66"/>
    <mergeCell ref="F65:F66"/>
    <mergeCell ref="H65:H66"/>
    <mergeCell ref="C61:C62"/>
    <mergeCell ref="B47:B48"/>
    <mergeCell ref="C47:C48"/>
    <mergeCell ref="D47:D48"/>
    <mergeCell ref="E49:E50"/>
    <mergeCell ref="H47:H48"/>
    <mergeCell ref="B53:B54"/>
    <mergeCell ref="C53:C54"/>
    <mergeCell ref="D53:D54"/>
    <mergeCell ref="E53:E54"/>
    <mergeCell ref="G53:G54"/>
    <mergeCell ref="H53:H54"/>
    <mergeCell ref="H49:H50"/>
    <mergeCell ref="B51:B52"/>
    <mergeCell ref="C51:C52"/>
    <mergeCell ref="D51:D52"/>
    <mergeCell ref="E51:E52"/>
    <mergeCell ref="H51:H52"/>
    <mergeCell ref="E47:E48"/>
    <mergeCell ref="F41:F42"/>
    <mergeCell ref="H41:H42"/>
    <mergeCell ref="I41:I42"/>
    <mergeCell ref="E43:E44"/>
    <mergeCell ref="H43:H44"/>
    <mergeCell ref="H37:H38"/>
    <mergeCell ref="I37:I38"/>
    <mergeCell ref="T37:T42"/>
    <mergeCell ref="T43:T52"/>
    <mergeCell ref="E45:E46"/>
    <mergeCell ref="I45:I46"/>
    <mergeCell ref="I49:I50"/>
    <mergeCell ref="B37:B38"/>
    <mergeCell ref="C37:C38"/>
    <mergeCell ref="D37:D38"/>
    <mergeCell ref="E37:E38"/>
    <mergeCell ref="F37:F38"/>
    <mergeCell ref="I39:I40"/>
    <mergeCell ref="V35:V36"/>
    <mergeCell ref="B39:B40"/>
    <mergeCell ref="C39:C40"/>
    <mergeCell ref="D39:D40"/>
    <mergeCell ref="E39:E40"/>
    <mergeCell ref="F39:F40"/>
    <mergeCell ref="H39:H40"/>
    <mergeCell ref="N35:N36"/>
    <mergeCell ref="O35:Q35"/>
    <mergeCell ref="R35:R36"/>
    <mergeCell ref="G34:T34"/>
    <mergeCell ref="B35:B36"/>
    <mergeCell ref="C35:C36"/>
    <mergeCell ref="D35:D36"/>
    <mergeCell ref="E35:E36"/>
    <mergeCell ref="G35:G36"/>
    <mergeCell ref="H35:H36"/>
    <mergeCell ref="I35:I36"/>
    <mergeCell ref="J35:J36"/>
    <mergeCell ref="K35:M35"/>
    <mergeCell ref="S35:S36"/>
    <mergeCell ref="T35:T36"/>
    <mergeCell ref="S19:T24"/>
    <mergeCell ref="N18:T18"/>
    <mergeCell ref="L29:L30"/>
    <mergeCell ref="H30:K30"/>
    <mergeCell ref="S30:S32"/>
    <mergeCell ref="H31:K31"/>
    <mergeCell ref="V31:V32"/>
    <mergeCell ref="H32:J32"/>
    <mergeCell ref="H26:I26"/>
    <mergeCell ref="O26:P26"/>
    <mergeCell ref="H27:J27"/>
    <mergeCell ref="L27:L28"/>
    <mergeCell ref="N27:T27"/>
    <mergeCell ref="H28:K28"/>
    <mergeCell ref="N28:N32"/>
    <mergeCell ref="S28:S29"/>
    <mergeCell ref="T28:T32"/>
    <mergeCell ref="H29:J29"/>
    <mergeCell ref="G8:G15"/>
    <mergeCell ref="H14:I15"/>
    <mergeCell ref="J14:J15"/>
    <mergeCell ref="K14:K15"/>
    <mergeCell ref="L14:L15"/>
    <mergeCell ref="S15:T15"/>
    <mergeCell ref="G16:G25"/>
    <mergeCell ref="H16:I16"/>
    <mergeCell ref="J16:K16"/>
    <mergeCell ref="O16:P16"/>
    <mergeCell ref="S16:T16"/>
    <mergeCell ref="H17:H19"/>
    <mergeCell ref="L17:L19"/>
    <mergeCell ref="O17:P17"/>
    <mergeCell ref="H20:H22"/>
    <mergeCell ref="L20:L22"/>
    <mergeCell ref="O22:O24"/>
    <mergeCell ref="H23:H25"/>
    <mergeCell ref="L23:L25"/>
    <mergeCell ref="S25:T25"/>
    <mergeCell ref="S17:T17"/>
    <mergeCell ref="N19:N26"/>
    <mergeCell ref="O19:O21"/>
    <mergeCell ref="R19:R24"/>
    <mergeCell ref="H7:L7"/>
    <mergeCell ref="S7:T7"/>
    <mergeCell ref="H8:I8"/>
    <mergeCell ref="O8:O14"/>
    <mergeCell ref="S8:T8"/>
    <mergeCell ref="H9:H13"/>
    <mergeCell ref="S9:T9"/>
    <mergeCell ref="S12:T12"/>
    <mergeCell ref="S14:T14"/>
    <mergeCell ref="P8:P10"/>
    <mergeCell ref="AL3:AN3"/>
    <mergeCell ref="H4:L4"/>
    <mergeCell ref="O4:Q4"/>
    <mergeCell ref="H5:L5"/>
    <mergeCell ref="O5:Q5"/>
    <mergeCell ref="O6:P6"/>
    <mergeCell ref="S6:T6"/>
    <mergeCell ref="G2:L2"/>
    <mergeCell ref="H3:L3"/>
    <mergeCell ref="S3:T3"/>
    <mergeCell ref="W3:AE3"/>
    <mergeCell ref="AF3:AH3"/>
    <mergeCell ref="AI3:AK3"/>
    <mergeCell ref="AB47:AB48"/>
    <mergeCell ref="AB49:AB50"/>
    <mergeCell ref="AB51:AB52"/>
    <mergeCell ref="AB53:AB54"/>
    <mergeCell ref="AB55:AB56"/>
    <mergeCell ref="AB57:AB58"/>
    <mergeCell ref="AB59:AB60"/>
    <mergeCell ref="AB61:AB62"/>
    <mergeCell ref="AB63:AB64"/>
    <mergeCell ref="AC53:AC54"/>
    <mergeCell ref="AC77:AC78"/>
    <mergeCell ref="AC79:AC80"/>
    <mergeCell ref="AB65:AB66"/>
    <mergeCell ref="AB67:AB68"/>
    <mergeCell ref="AB69:AB70"/>
    <mergeCell ref="AB71:AB72"/>
    <mergeCell ref="AB73:AB74"/>
    <mergeCell ref="AB75:AB76"/>
    <mergeCell ref="AB77:AB78"/>
    <mergeCell ref="AB79:AB80"/>
  </mergeCells>
  <phoneticPr fontId="2" type="noConversion"/>
  <printOptions horizontalCentered="1"/>
  <pageMargins left="0.7" right="0.7" top="0.75" bottom="0.75" header="0.3" footer="0.3"/>
  <pageSetup paperSize="8" scale="72" orientation="landscape" r:id="rId1"/>
  <headerFooter alignWithMargins="0"/>
  <rowBreaks count="1" manualBreakCount="1">
    <brk id="87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4F81BD"/>
    <pageSetUpPr autoPageBreaks="0" fitToPage="1"/>
  </sheetPr>
  <dimension ref="B1:AQ128"/>
  <sheetViews>
    <sheetView view="pageBreakPreview" topLeftCell="F20" zoomScale="85" zoomScaleNormal="100" zoomScaleSheetLayoutView="85" workbookViewId="0">
      <selection activeCell="V21" sqref="V21"/>
    </sheetView>
  </sheetViews>
  <sheetFormatPr defaultColWidth="8.77734375" defaultRowHeight="14.1" customHeight="1"/>
  <cols>
    <col min="1" max="2" width="8.77734375" style="2"/>
    <col min="3" max="3" width="10.21875" style="2" bestFit="1" customWidth="1"/>
    <col min="4" max="4" width="7.6640625" style="2" customWidth="1"/>
    <col min="5" max="5" width="9.77734375" style="2" bestFit="1" customWidth="1"/>
    <col min="6" max="6" width="8.77734375" style="2"/>
    <col min="7" max="7" width="13.21875" style="2" customWidth="1"/>
    <col min="8" max="9" width="9.21875" style="2" customWidth="1"/>
    <col min="10" max="11" width="12.77734375" style="2" customWidth="1"/>
    <col min="12" max="13" width="11.6640625" style="2" customWidth="1"/>
    <col min="14" max="14" width="12.21875" style="2" bestFit="1" customWidth="1"/>
    <col min="15" max="15" width="14.44140625" style="2" customWidth="1"/>
    <col min="16" max="16" width="18.44140625" style="2" bestFit="1" customWidth="1"/>
    <col min="17" max="17" width="13.5546875" style="2" customWidth="1"/>
    <col min="18" max="18" width="12.33203125" style="2" customWidth="1"/>
    <col min="19" max="20" width="14.109375" style="2" customWidth="1"/>
    <col min="21" max="21" width="4.5546875" style="2" customWidth="1"/>
    <col min="22" max="22" width="10.77734375" style="2" customWidth="1"/>
    <col min="23" max="23" width="6.6640625" style="2" customWidth="1"/>
    <col min="24" max="24" width="25.88671875" style="2" customWidth="1"/>
    <col min="25" max="25" width="6.6640625" style="2" customWidth="1"/>
    <col min="26" max="26" width="6.44140625" style="2" customWidth="1"/>
    <col min="27" max="27" width="32" style="2" customWidth="1"/>
    <col min="28" max="28" width="6.21875" style="2" customWidth="1"/>
    <col min="29" max="29" width="8.6640625" style="2" customWidth="1"/>
    <col min="30" max="30" width="29.88671875" style="2" customWidth="1"/>
    <col min="31" max="31" width="8.21875" style="2" customWidth="1"/>
    <col min="32" max="32" width="8.44140625" style="2" customWidth="1"/>
    <col min="33" max="33" width="24" style="2" customWidth="1"/>
    <col min="34" max="34" width="7.109375" style="2" customWidth="1"/>
    <col min="35" max="35" width="10.5546875" style="2" bestFit="1" customWidth="1"/>
    <col min="36" max="16384" width="8.77734375" style="2"/>
  </cols>
  <sheetData>
    <row r="1" spans="3:34" ht="14.1" customHeight="1"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</row>
    <row r="2" spans="3:34" ht="18" customHeight="1" thickBot="1">
      <c r="F2" s="77"/>
      <c r="G2" s="839" t="s">
        <v>347</v>
      </c>
      <c r="H2" s="839"/>
      <c r="I2" s="839"/>
      <c r="J2" s="839"/>
      <c r="K2" s="839"/>
      <c r="L2" s="840"/>
      <c r="M2" s="70"/>
      <c r="N2" s="418" t="s">
        <v>33</v>
      </c>
      <c r="O2" s="419"/>
      <c r="P2" s="419"/>
      <c r="Q2" s="419"/>
      <c r="R2" s="419"/>
    </row>
    <row r="3" spans="3:34" ht="17.100000000000001" customHeight="1">
      <c r="E3" s="310">
        <v>0.91</v>
      </c>
      <c r="F3" s="77"/>
      <c r="G3" s="72" t="s">
        <v>52</v>
      </c>
      <c r="H3" s="844" t="s">
        <v>254</v>
      </c>
      <c r="I3" s="845"/>
      <c r="J3" s="845"/>
      <c r="K3" s="845"/>
      <c r="L3" s="846"/>
      <c r="M3" s="415"/>
      <c r="N3" s="420" t="s">
        <v>65</v>
      </c>
      <c r="O3" s="421"/>
      <c r="P3" s="422" t="s">
        <v>61</v>
      </c>
      <c r="Q3" s="423"/>
      <c r="R3" s="424" t="s">
        <v>10</v>
      </c>
      <c r="S3" s="1346" t="s">
        <v>51</v>
      </c>
      <c r="T3" s="1347"/>
      <c r="W3" s="1076" t="s">
        <v>268</v>
      </c>
      <c r="X3" s="1076"/>
      <c r="Y3" s="1076"/>
      <c r="Z3" s="1076" t="s">
        <v>269</v>
      </c>
      <c r="AA3" s="1076"/>
      <c r="AB3" s="1076"/>
      <c r="AC3" s="1076" t="s">
        <v>282</v>
      </c>
      <c r="AD3" s="1076"/>
      <c r="AE3" s="1076"/>
      <c r="AF3" s="1076" t="s">
        <v>290</v>
      </c>
      <c r="AG3" s="1076"/>
      <c r="AH3" s="1076"/>
    </row>
    <row r="4" spans="3:34" ht="17.100000000000001" customHeight="1" thickBot="1">
      <c r="E4" s="311">
        <f>J24/(J14*E3)</f>
        <v>3.1260905196855893</v>
      </c>
      <c r="F4" s="77"/>
      <c r="G4" s="73" t="s">
        <v>11</v>
      </c>
      <c r="H4" s="849" t="s">
        <v>390</v>
      </c>
      <c r="I4" s="850"/>
      <c r="J4" s="850"/>
      <c r="K4" s="850"/>
      <c r="L4" s="851"/>
      <c r="M4" s="415"/>
      <c r="N4" s="425" t="s">
        <v>4</v>
      </c>
      <c r="O4" s="852" t="str">
        <f>INDEX($N$104:$R$104,MATCH($H$79,$N$103:$R$103,1))</f>
        <v>1000~2000세대 미만</v>
      </c>
      <c r="P4" s="852"/>
      <c r="Q4" s="853"/>
      <c r="R4" s="388">
        <f>INDEX($N$105:$R$105,MATCH($H$79,$N$103:$R$103,1))</f>
        <v>15</v>
      </c>
      <c r="S4" s="21"/>
      <c r="T4" s="426"/>
    </row>
    <row r="5" spans="3:34" ht="17.100000000000001" customHeight="1">
      <c r="F5" s="77"/>
      <c r="G5" s="73" t="s">
        <v>27</v>
      </c>
      <c r="H5" s="849" t="s">
        <v>231</v>
      </c>
      <c r="I5" s="850"/>
      <c r="J5" s="850"/>
      <c r="K5" s="850"/>
      <c r="L5" s="851"/>
      <c r="M5" s="415"/>
      <c r="N5" s="427" t="s">
        <v>5</v>
      </c>
      <c r="O5" s="857" t="s">
        <v>25</v>
      </c>
      <c r="P5" s="857"/>
      <c r="Q5" s="861"/>
      <c r="R5" s="389" t="s">
        <v>12</v>
      </c>
      <c r="S5" s="22"/>
      <c r="T5" s="428"/>
      <c r="W5" s="130" t="s">
        <v>255</v>
      </c>
      <c r="X5" s="130" t="s">
        <v>331</v>
      </c>
      <c r="Y5" s="130" t="s">
        <v>271</v>
      </c>
      <c r="Z5" s="130" t="s">
        <v>275</v>
      </c>
      <c r="AA5" s="130" t="s">
        <v>335</v>
      </c>
      <c r="AB5" s="130" t="s">
        <v>271</v>
      </c>
      <c r="AC5" s="130" t="s">
        <v>298</v>
      </c>
      <c r="AD5" s="130" t="s">
        <v>353</v>
      </c>
      <c r="AE5" s="130" t="s">
        <v>302</v>
      </c>
      <c r="AF5" s="130" t="s">
        <v>292</v>
      </c>
      <c r="AG5" s="130"/>
      <c r="AH5" s="130" t="s">
        <v>272</v>
      </c>
    </row>
    <row r="6" spans="3:34" ht="17.100000000000001" customHeight="1">
      <c r="F6" s="77"/>
      <c r="G6" s="73" t="s">
        <v>39</v>
      </c>
      <c r="H6" s="50" t="s">
        <v>389</v>
      </c>
      <c r="I6" s="185">
        <v>3</v>
      </c>
      <c r="J6" s="186"/>
      <c r="K6" s="186"/>
      <c r="L6" s="186"/>
      <c r="M6" s="415"/>
      <c r="N6" s="427" t="s">
        <v>6</v>
      </c>
      <c r="O6" s="862">
        <f>H79</f>
        <v>1125</v>
      </c>
      <c r="P6" s="862"/>
      <c r="Q6" s="23">
        <f>IF(H79&gt;=50, ROUNDUP((10+(H79-50)*0.05),2), "해당없음")</f>
        <v>63.75</v>
      </c>
      <c r="R6" s="762">
        <v>200</v>
      </c>
      <c r="S6" s="1143" t="s">
        <v>13</v>
      </c>
      <c r="T6" s="1366"/>
      <c r="W6" s="130" t="s">
        <v>257</v>
      </c>
      <c r="X6" s="130" t="s">
        <v>327</v>
      </c>
      <c r="Y6" s="130" t="s">
        <v>270</v>
      </c>
      <c r="Z6" s="130" t="s">
        <v>276</v>
      </c>
      <c r="AA6" s="130" t="s">
        <v>335</v>
      </c>
      <c r="AB6" s="130" t="s">
        <v>271</v>
      </c>
      <c r="AC6" s="130" t="s">
        <v>283</v>
      </c>
      <c r="AD6" s="130" t="s">
        <v>353</v>
      </c>
      <c r="AE6" s="130" t="s">
        <v>302</v>
      </c>
      <c r="AF6" s="130" t="s">
        <v>293</v>
      </c>
      <c r="AG6" s="130"/>
      <c r="AH6" s="130" t="s">
        <v>272</v>
      </c>
    </row>
    <row r="7" spans="3:34" ht="17.100000000000001" customHeight="1">
      <c r="F7" s="77"/>
      <c r="G7" s="74" t="s">
        <v>40</v>
      </c>
      <c r="H7" s="863" t="s">
        <v>78</v>
      </c>
      <c r="I7" s="864"/>
      <c r="J7" s="864"/>
      <c r="K7" s="864"/>
      <c r="L7" s="865"/>
      <c r="M7" s="415"/>
      <c r="N7" s="429" t="s">
        <v>66</v>
      </c>
      <c r="O7" s="24"/>
      <c r="P7" s="63"/>
      <c r="Q7" s="25"/>
      <c r="R7" s="763">
        <v>150</v>
      </c>
      <c r="S7" s="859"/>
      <c r="T7" s="1348"/>
      <c r="W7" s="130" t="s">
        <v>259</v>
      </c>
      <c r="X7" s="130" t="s">
        <v>328</v>
      </c>
      <c r="Y7" s="130" t="s">
        <v>270</v>
      </c>
      <c r="Z7" s="130" t="s">
        <v>277</v>
      </c>
      <c r="AA7" s="130" t="s">
        <v>336</v>
      </c>
      <c r="AB7" s="130" t="s">
        <v>280</v>
      </c>
      <c r="AC7" s="130" t="s">
        <v>284</v>
      </c>
      <c r="AD7" s="130" t="s">
        <v>353</v>
      </c>
      <c r="AE7" s="130" t="s">
        <v>302</v>
      </c>
      <c r="AF7" s="130" t="s">
        <v>294</v>
      </c>
      <c r="AG7" s="130"/>
      <c r="AH7" s="130" t="s">
        <v>280</v>
      </c>
    </row>
    <row r="8" spans="3:34" ht="17.100000000000001" customHeight="1">
      <c r="F8" s="77"/>
      <c r="G8" s="1134" t="s">
        <v>41</v>
      </c>
      <c r="H8" s="884" t="s">
        <v>3</v>
      </c>
      <c r="I8" s="885"/>
      <c r="J8" s="325">
        <f>'설계개요(통합개요-1)'!J8</f>
        <v>250722.1</v>
      </c>
      <c r="K8" s="331">
        <f t="shared" ref="K8" si="0">ROUNDDOWN(J8*0.3025,2)</f>
        <v>75843.429999999993</v>
      </c>
      <c r="L8" s="105">
        <f t="shared" ref="L8:L14" si="1">J8/$J$8</f>
        <v>1</v>
      </c>
      <c r="M8" s="415"/>
      <c r="N8" s="425" t="s">
        <v>67</v>
      </c>
      <c r="O8" s="1093" t="s">
        <v>75</v>
      </c>
      <c r="P8" s="1356" t="s">
        <v>469</v>
      </c>
      <c r="Q8" s="768">
        <f>580+(H79*0.2)</f>
        <v>805</v>
      </c>
      <c r="R8" s="761">
        <v>820</v>
      </c>
      <c r="S8" s="1349" t="s">
        <v>247</v>
      </c>
      <c r="T8" s="1350"/>
      <c r="W8" s="130" t="s">
        <v>260</v>
      </c>
      <c r="X8" s="130" t="s">
        <v>329</v>
      </c>
      <c r="Y8" s="130" t="s">
        <v>272</v>
      </c>
      <c r="Z8" s="130" t="s">
        <v>278</v>
      </c>
      <c r="AA8" s="130" t="s">
        <v>336</v>
      </c>
      <c r="AB8" s="130" t="s">
        <v>280</v>
      </c>
      <c r="AC8" s="130" t="s">
        <v>285</v>
      </c>
      <c r="AD8" s="130" t="s">
        <v>335</v>
      </c>
      <c r="AE8" s="130" t="s">
        <v>271</v>
      </c>
      <c r="AF8" s="130" t="s">
        <v>295</v>
      </c>
      <c r="AG8" s="130"/>
      <c r="AH8" s="130" t="s">
        <v>280</v>
      </c>
    </row>
    <row r="9" spans="3:34" ht="17.100000000000001" customHeight="1">
      <c r="F9" s="77"/>
      <c r="G9" s="1135"/>
      <c r="H9" s="1137" t="s">
        <v>14</v>
      </c>
      <c r="I9" s="65" t="s">
        <v>349</v>
      </c>
      <c r="J9" s="326">
        <v>69445.7</v>
      </c>
      <c r="K9" s="332">
        <f t="shared" ref="K9:K14" si="2">ROUNDDOWN(J9*0.3025,2)</f>
        <v>21007.32</v>
      </c>
      <c r="L9" s="15">
        <f t="shared" si="1"/>
        <v>0.27698276298738722</v>
      </c>
      <c r="M9" s="416"/>
      <c r="N9" s="427" t="s">
        <v>24</v>
      </c>
      <c r="O9" s="1093"/>
      <c r="P9" s="1356"/>
      <c r="Q9" s="768">
        <f>580+(H79*0.2)</f>
        <v>805</v>
      </c>
      <c r="R9" s="762">
        <v>900</v>
      </c>
      <c r="S9" s="1241" t="s">
        <v>247</v>
      </c>
      <c r="T9" s="1351"/>
      <c r="W9" s="130" t="s">
        <v>261</v>
      </c>
      <c r="X9" s="130" t="s">
        <v>329</v>
      </c>
      <c r="Y9" s="130" t="s">
        <v>272</v>
      </c>
      <c r="Z9" s="130" t="s">
        <v>279</v>
      </c>
      <c r="AA9" s="130" t="s">
        <v>336</v>
      </c>
      <c r="AB9" s="130" t="s">
        <v>280</v>
      </c>
      <c r="AC9" s="130" t="s">
        <v>286</v>
      </c>
      <c r="AD9" s="130" t="s">
        <v>335</v>
      </c>
      <c r="AE9" s="130" t="s">
        <v>271</v>
      </c>
      <c r="AF9" s="130" t="s">
        <v>296</v>
      </c>
      <c r="AG9" s="130"/>
      <c r="AH9" s="130" t="s">
        <v>272</v>
      </c>
    </row>
    <row r="10" spans="3:34" ht="17.100000000000001" customHeight="1">
      <c r="C10" s="130" t="s">
        <v>158</v>
      </c>
      <c r="D10" s="289">
        <v>3</v>
      </c>
      <c r="E10" s="312">
        <f>$H$79*D10</f>
        <v>3375</v>
      </c>
      <c r="F10" s="77"/>
      <c r="G10" s="1135"/>
      <c r="H10" s="1138"/>
      <c r="I10" s="65" t="s">
        <v>350</v>
      </c>
      <c r="J10" s="326">
        <v>36512.699999999997</v>
      </c>
      <c r="K10" s="332">
        <f t="shared" si="2"/>
        <v>11045.09</v>
      </c>
      <c r="L10" s="15">
        <f t="shared" si="1"/>
        <v>0.14563016184053976</v>
      </c>
      <c r="M10" s="415"/>
      <c r="N10" s="427" t="s">
        <v>35</v>
      </c>
      <c r="O10" s="1093"/>
      <c r="P10" s="1357"/>
      <c r="Q10" s="768">
        <f>203+(H79*0.2)</f>
        <v>428</v>
      </c>
      <c r="R10" s="762">
        <v>700</v>
      </c>
      <c r="S10" s="773"/>
      <c r="T10" s="428"/>
      <c r="W10" s="130" t="s">
        <v>262</v>
      </c>
      <c r="X10" s="130" t="s">
        <v>329</v>
      </c>
      <c r="Y10" s="130" t="s">
        <v>272</v>
      </c>
      <c r="Z10" s="130"/>
      <c r="AA10" s="130"/>
      <c r="AB10" s="130"/>
      <c r="AC10" s="130" t="s">
        <v>287</v>
      </c>
      <c r="AD10" s="130" t="s">
        <v>336</v>
      </c>
      <c r="AE10" s="130" t="s">
        <v>280</v>
      </c>
      <c r="AF10" s="130" t="s">
        <v>297</v>
      </c>
      <c r="AG10" s="130"/>
      <c r="AH10" s="130" t="s">
        <v>280</v>
      </c>
    </row>
    <row r="11" spans="3:34" ht="17.100000000000001" customHeight="1">
      <c r="F11" s="77"/>
      <c r="G11" s="1135"/>
      <c r="H11" s="1138"/>
      <c r="I11" s="65" t="s">
        <v>351</v>
      </c>
      <c r="J11" s="326">
        <v>61084.7</v>
      </c>
      <c r="K11" s="332">
        <f t="shared" si="2"/>
        <v>18478.12</v>
      </c>
      <c r="L11" s="15">
        <f t="shared" si="1"/>
        <v>0.24363508442215503</v>
      </c>
      <c r="M11" s="415"/>
      <c r="N11" s="430" t="s">
        <v>88</v>
      </c>
      <c r="O11" s="1093"/>
      <c r="P11" s="147" t="s">
        <v>479</v>
      </c>
      <c r="Q11" s="768">
        <v>66</v>
      </c>
      <c r="R11" s="762">
        <v>250</v>
      </c>
      <c r="S11" s="773"/>
      <c r="T11" s="428"/>
      <c r="W11" s="130" t="s">
        <v>263</v>
      </c>
      <c r="X11" s="130" t="s">
        <v>329</v>
      </c>
      <c r="Y11" s="130" t="s">
        <v>272</v>
      </c>
      <c r="Z11" s="130"/>
      <c r="AA11" s="130"/>
      <c r="AB11" s="130"/>
      <c r="AC11" s="130" t="s">
        <v>288</v>
      </c>
      <c r="AD11" s="130" t="s">
        <v>336</v>
      </c>
      <c r="AE11" s="130" t="s">
        <v>280</v>
      </c>
      <c r="AF11" s="130" t="s">
        <v>291</v>
      </c>
      <c r="AG11" s="130"/>
      <c r="AH11" s="130" t="s">
        <v>272</v>
      </c>
    </row>
    <row r="12" spans="3:34" ht="17.100000000000001" customHeight="1">
      <c r="F12" s="77"/>
      <c r="G12" s="1135"/>
      <c r="H12" s="1138"/>
      <c r="I12" s="65" t="s">
        <v>348</v>
      </c>
      <c r="J12" s="326">
        <v>41998.6</v>
      </c>
      <c r="K12" s="332">
        <f t="shared" si="2"/>
        <v>12704.57</v>
      </c>
      <c r="L12" s="15">
        <f t="shared" si="1"/>
        <v>0.16751056249130011</v>
      </c>
      <c r="M12" s="415"/>
      <c r="N12" s="430" t="s">
        <v>34</v>
      </c>
      <c r="O12" s="1093"/>
      <c r="P12" s="759" t="s">
        <v>466</v>
      </c>
      <c r="Q12" s="770" t="s">
        <v>480</v>
      </c>
      <c r="R12" s="762">
        <v>4630</v>
      </c>
      <c r="S12" s="1352"/>
      <c r="T12" s="1353"/>
      <c r="W12" s="130" t="s">
        <v>264</v>
      </c>
      <c r="X12" s="130" t="s">
        <v>328</v>
      </c>
      <c r="Y12" s="130" t="s">
        <v>270</v>
      </c>
      <c r="Z12" s="130"/>
      <c r="AA12" s="130"/>
      <c r="AB12" s="130"/>
      <c r="AC12" s="130" t="s">
        <v>289</v>
      </c>
      <c r="AD12" s="130" t="s">
        <v>335</v>
      </c>
      <c r="AE12" s="130" t="s">
        <v>271</v>
      </c>
      <c r="AF12" s="130" t="s">
        <v>299</v>
      </c>
      <c r="AG12" s="130"/>
      <c r="AH12" s="130" t="s">
        <v>272</v>
      </c>
    </row>
    <row r="13" spans="3:34" ht="16.5" customHeight="1">
      <c r="E13" s="711">
        <f>J9+J11</f>
        <v>130530.4</v>
      </c>
      <c r="F13" s="77"/>
      <c r="G13" s="1135"/>
      <c r="H13" s="1139"/>
      <c r="I13" s="65" t="s">
        <v>47</v>
      </c>
      <c r="J13" s="327">
        <f>J9+J10+J11+J12</f>
        <v>209041.69999999998</v>
      </c>
      <c r="K13" s="333">
        <f t="shared" si="2"/>
        <v>63235.11</v>
      </c>
      <c r="L13" s="102">
        <f t="shared" si="1"/>
        <v>0.83375857174138213</v>
      </c>
      <c r="M13" s="415"/>
      <c r="N13" s="430" t="s">
        <v>76</v>
      </c>
      <c r="O13" s="1093"/>
      <c r="P13" s="758" t="s">
        <v>483</v>
      </c>
      <c r="Q13" s="770" t="s">
        <v>480</v>
      </c>
      <c r="R13" s="762">
        <v>1000</v>
      </c>
      <c r="S13" s="22"/>
      <c r="T13" s="428"/>
      <c r="W13" s="130" t="s">
        <v>265</v>
      </c>
      <c r="X13" s="130" t="s">
        <v>328</v>
      </c>
      <c r="Y13" s="130" t="s">
        <v>270</v>
      </c>
      <c r="Z13" s="130"/>
      <c r="AA13" s="130"/>
      <c r="AB13" s="130"/>
      <c r="AC13" s="130"/>
      <c r="AD13" s="130"/>
      <c r="AE13" s="130"/>
      <c r="AF13" s="130" t="s">
        <v>300</v>
      </c>
      <c r="AG13" s="130"/>
      <c r="AH13" s="130" t="s">
        <v>302</v>
      </c>
    </row>
    <row r="14" spans="3:34" ht="17.100000000000001" customHeight="1">
      <c r="F14" s="77"/>
      <c r="G14" s="1135"/>
      <c r="H14" s="1137" t="s">
        <v>42</v>
      </c>
      <c r="I14" s="1329"/>
      <c r="J14" s="1332">
        <f>J8-J9-J10-J11-J12</f>
        <v>41680.400000000016</v>
      </c>
      <c r="K14" s="1334">
        <f t="shared" si="2"/>
        <v>12608.32</v>
      </c>
      <c r="L14" s="1336">
        <f t="shared" si="1"/>
        <v>0.16624142825861787</v>
      </c>
      <c r="M14" s="415"/>
      <c r="N14" s="774" t="s">
        <v>77</v>
      </c>
      <c r="O14" s="1093"/>
      <c r="P14" s="818" t="s">
        <v>484</v>
      </c>
      <c r="Q14" s="775">
        <f>500+(H79*0.7)</f>
        <v>1287.5</v>
      </c>
      <c r="R14" s="812">
        <v>1900</v>
      </c>
      <c r="S14" s="1354" t="s">
        <v>467</v>
      </c>
      <c r="T14" s="1355"/>
      <c r="W14" s="130" t="s">
        <v>266</v>
      </c>
      <c r="X14" s="130" t="s">
        <v>329</v>
      </c>
      <c r="Y14" s="130" t="s">
        <v>272</v>
      </c>
      <c r="Z14" s="130"/>
      <c r="AA14" s="130"/>
      <c r="AB14" s="130"/>
      <c r="AC14" s="130"/>
      <c r="AD14" s="130"/>
      <c r="AE14" s="130"/>
      <c r="AF14" s="130" t="s">
        <v>301</v>
      </c>
      <c r="AG14" s="130"/>
      <c r="AH14" s="130" t="s">
        <v>302</v>
      </c>
    </row>
    <row r="15" spans="3:34" ht="17.100000000000001" customHeight="1">
      <c r="F15" s="77"/>
      <c r="G15" s="1136"/>
      <c r="H15" s="1330"/>
      <c r="I15" s="1331"/>
      <c r="J15" s="1333"/>
      <c r="K15" s="1335"/>
      <c r="L15" s="1337"/>
      <c r="M15" s="415"/>
      <c r="N15" s="420" t="s">
        <v>470</v>
      </c>
      <c r="O15" s="820"/>
      <c r="P15" s="821"/>
      <c r="Q15" s="822"/>
      <c r="R15" s="829">
        <v>1575</v>
      </c>
      <c r="S15" s="1338" t="s">
        <v>473</v>
      </c>
      <c r="T15" s="1339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130"/>
    </row>
    <row r="16" spans="3:34" ht="17.100000000000001" customHeight="1">
      <c r="C16" s="2">
        <v>120698</v>
      </c>
      <c r="F16" s="77"/>
      <c r="G16" s="881" t="s">
        <v>43</v>
      </c>
      <c r="H16" s="1145" t="s">
        <v>70</v>
      </c>
      <c r="I16" s="1082"/>
      <c r="J16" s="1146" t="s">
        <v>71</v>
      </c>
      <c r="K16" s="1147"/>
      <c r="L16" s="335" t="s">
        <v>72</v>
      </c>
      <c r="M16" s="415"/>
      <c r="N16" s="815" t="s">
        <v>26</v>
      </c>
      <c r="O16" s="1340" t="s">
        <v>238</v>
      </c>
      <c r="P16" s="1341"/>
      <c r="Q16" s="816">
        <f>500+($H$79*2)*1.25</f>
        <v>3312.5</v>
      </c>
      <c r="R16" s="817">
        <f>R8+R9+R10+R11+R12+R13+R14</f>
        <v>10200</v>
      </c>
      <c r="S16" s="1342" t="s">
        <v>485</v>
      </c>
      <c r="T16" s="1343"/>
      <c r="W16" s="130" t="s">
        <v>267</v>
      </c>
      <c r="X16" s="130" t="s">
        <v>330</v>
      </c>
      <c r="Y16" s="130" t="s">
        <v>272</v>
      </c>
      <c r="Z16" s="130"/>
      <c r="AA16" s="130"/>
      <c r="AB16" s="130"/>
      <c r="AC16" s="130"/>
      <c r="AD16" s="130"/>
      <c r="AE16" s="130"/>
      <c r="AF16" s="130"/>
      <c r="AG16" s="130"/>
      <c r="AH16" s="130"/>
    </row>
    <row r="17" spans="3:34" ht="17.100000000000001" customHeight="1">
      <c r="C17" s="2">
        <v>93504.3</v>
      </c>
      <c r="D17" s="145">
        <f>C17/C16</f>
        <v>0.77469634956668709</v>
      </c>
      <c r="F17" s="77"/>
      <c r="G17" s="882"/>
      <c r="H17" s="1112" t="s">
        <v>44</v>
      </c>
      <c r="I17" s="66" t="s">
        <v>45</v>
      </c>
      <c r="J17" s="329">
        <f>N79+R8+R9+R7+R11+R15</f>
        <v>126663.95</v>
      </c>
      <c r="K17" s="332">
        <f t="shared" ref="K17:K25" si="3">ROUNDDOWN(J17*0.3025,2)</f>
        <v>38315.839999999997</v>
      </c>
      <c r="L17" s="1148">
        <f>J17/$J$23</f>
        <v>0.99745102747717862</v>
      </c>
      <c r="M17" s="415"/>
      <c r="N17" s="434" t="s">
        <v>36</v>
      </c>
      <c r="O17" s="1097" t="s">
        <v>85</v>
      </c>
      <c r="P17" s="1098"/>
      <c r="Q17" s="771">
        <f>J14*0.15</f>
        <v>6252.0600000000022</v>
      </c>
      <c r="R17" s="772">
        <f>ROUNDUP(Q17,-2)+100</f>
        <v>6400</v>
      </c>
      <c r="S17" s="1419"/>
      <c r="T17" s="1420"/>
      <c r="V17" s="337" t="s">
        <v>188</v>
      </c>
      <c r="W17" s="130"/>
      <c r="X17" s="130"/>
      <c r="Y17" s="130"/>
      <c r="Z17" s="130"/>
      <c r="AA17" s="130"/>
      <c r="AB17" s="130"/>
      <c r="AC17" s="130"/>
      <c r="AD17" s="130"/>
      <c r="AE17" s="130"/>
      <c r="AF17" s="130"/>
      <c r="AG17" s="130"/>
      <c r="AH17" s="130"/>
    </row>
    <row r="18" spans="3:34" ht="17.100000000000001" customHeight="1">
      <c r="F18" s="77"/>
      <c r="G18" s="882"/>
      <c r="H18" s="1113"/>
      <c r="I18" s="66" t="s">
        <v>46</v>
      </c>
      <c r="J18" s="329">
        <f>O79+Q79+R6+R10+R12</f>
        <v>118030</v>
      </c>
      <c r="K18" s="332">
        <f t="shared" si="3"/>
        <v>35704.07</v>
      </c>
      <c r="L18" s="1149"/>
      <c r="M18" s="51"/>
      <c r="N18" s="1422"/>
      <c r="O18" s="1362"/>
      <c r="P18" s="1362"/>
      <c r="Q18" s="1362"/>
      <c r="R18" s="1362"/>
      <c r="S18" s="1362"/>
      <c r="T18" s="1423"/>
      <c r="V18" s="338">
        <v>40</v>
      </c>
      <c r="W18" s="130" t="s">
        <v>273</v>
      </c>
      <c r="X18" s="130"/>
      <c r="Y18" s="385" t="s">
        <v>274</v>
      </c>
      <c r="Z18" s="130"/>
      <c r="AA18" s="130"/>
      <c r="AB18" s="130" t="s">
        <v>281</v>
      </c>
      <c r="AC18" s="130"/>
      <c r="AD18" s="130"/>
      <c r="AE18" s="130" t="s">
        <v>304</v>
      </c>
      <c r="AF18" s="130"/>
      <c r="AG18" s="130"/>
      <c r="AH18" s="2" t="s">
        <v>303</v>
      </c>
    </row>
    <row r="19" spans="3:34" ht="17.100000000000001" customHeight="1">
      <c r="F19" s="77"/>
      <c r="G19" s="882"/>
      <c r="H19" s="1114"/>
      <c r="I19" s="66" t="s">
        <v>47</v>
      </c>
      <c r="J19" s="329">
        <f>SUM(J17:J18)</f>
        <v>244693.95</v>
      </c>
      <c r="K19" s="332">
        <f t="shared" si="3"/>
        <v>74019.91</v>
      </c>
      <c r="L19" s="1150"/>
      <c r="M19" s="415"/>
      <c r="N19" s="1363" t="s">
        <v>37</v>
      </c>
      <c r="O19" s="874" t="s">
        <v>81</v>
      </c>
      <c r="P19" s="197" t="s">
        <v>122</v>
      </c>
      <c r="Q19" s="284">
        <f>ROUNDUP((SUMPRODUCT(H39:H52,J39:J52)+SUMPRODUCT(H59:H64,J59:J64))/75,0)</f>
        <v>980</v>
      </c>
      <c r="R19" s="1158">
        <f>H79*S19</f>
        <v>2812.5</v>
      </c>
      <c r="S19" s="968">
        <v>2.5</v>
      </c>
      <c r="T19" s="1407"/>
      <c r="Z19" s="384"/>
      <c r="AA19" s="384"/>
      <c r="AB19" s="384"/>
      <c r="AC19" s="384"/>
      <c r="AD19" s="384"/>
      <c r="AE19" s="384"/>
      <c r="AF19" s="384"/>
      <c r="AG19" s="384"/>
      <c r="AH19" s="384"/>
    </row>
    <row r="20" spans="3:34" ht="17.100000000000001" customHeight="1">
      <c r="F20" s="77"/>
      <c r="G20" s="882"/>
      <c r="H20" s="1421" t="s">
        <v>38</v>
      </c>
      <c r="I20" s="65" t="s">
        <v>45</v>
      </c>
      <c r="J20" s="329">
        <f>M86+M88</f>
        <v>323.68799999999999</v>
      </c>
      <c r="K20" s="332">
        <f t="shared" si="3"/>
        <v>97.91</v>
      </c>
      <c r="L20" s="1148">
        <f>J20/$J$23</f>
        <v>2.5489725228214737E-3</v>
      </c>
      <c r="M20" s="415"/>
      <c r="N20" s="1364"/>
      <c r="O20" s="875"/>
      <c r="P20" s="150" t="s">
        <v>123</v>
      </c>
      <c r="Q20" s="286">
        <f>ROUNDUP((SUMPRODUCT(H65:H76,J65:J76))/65,0)</f>
        <v>278</v>
      </c>
      <c r="R20" s="1159"/>
      <c r="S20" s="970"/>
      <c r="T20" s="1408"/>
      <c r="X20" s="384" t="s">
        <v>310</v>
      </c>
      <c r="Y20" s="386" t="s">
        <v>319</v>
      </c>
      <c r="Z20" s="384"/>
      <c r="AA20" s="384" t="s">
        <v>338</v>
      </c>
      <c r="AB20" s="384" t="s">
        <v>346</v>
      </c>
      <c r="AC20" s="384"/>
      <c r="AD20" s="384" t="s">
        <v>338</v>
      </c>
      <c r="AE20" s="384" t="s">
        <v>341</v>
      </c>
      <c r="AF20" s="384"/>
      <c r="AG20" s="384"/>
      <c r="AH20" s="384"/>
    </row>
    <row r="21" spans="3:34" ht="17.100000000000001" customHeight="1">
      <c r="F21" s="77"/>
      <c r="G21" s="882"/>
      <c r="H21" s="1162"/>
      <c r="I21" s="65" t="s">
        <v>46</v>
      </c>
      <c r="J21" s="329">
        <f>O90+P90</f>
        <v>540</v>
      </c>
      <c r="K21" s="332">
        <f t="shared" si="3"/>
        <v>163.35</v>
      </c>
      <c r="L21" s="1149"/>
      <c r="M21" s="415"/>
      <c r="N21" s="1364"/>
      <c r="O21" s="876"/>
      <c r="P21" s="151" t="s">
        <v>82</v>
      </c>
      <c r="Q21" s="285">
        <f>SUM(Q19:Q20)</f>
        <v>1258</v>
      </c>
      <c r="R21" s="1159"/>
      <c r="S21" s="970"/>
      <c r="T21" s="1408"/>
      <c r="X21" s="384" t="s">
        <v>256</v>
      </c>
      <c r="Y21" s="386" t="s">
        <v>332</v>
      </c>
      <c r="Z21" s="384"/>
      <c r="AA21" s="384" t="s">
        <v>337</v>
      </c>
      <c r="AB21" s="384" t="s">
        <v>340</v>
      </c>
      <c r="AC21" s="384"/>
      <c r="AD21" s="384" t="s">
        <v>337</v>
      </c>
      <c r="AE21" s="387" t="s">
        <v>367</v>
      </c>
      <c r="AF21" s="384"/>
      <c r="AG21" s="384"/>
      <c r="AH21" s="384"/>
    </row>
    <row r="22" spans="3:34" ht="17.100000000000001" customHeight="1">
      <c r="F22" s="77">
        <f>J14*0.21</f>
        <v>8752.8840000000037</v>
      </c>
      <c r="G22" s="882"/>
      <c r="H22" s="1163"/>
      <c r="I22" s="65" t="s">
        <v>47</v>
      </c>
      <c r="J22" s="329">
        <f>J20+J21</f>
        <v>863.68799999999999</v>
      </c>
      <c r="K22" s="332">
        <f t="shared" si="3"/>
        <v>261.26</v>
      </c>
      <c r="L22" s="1150"/>
      <c r="M22" s="415"/>
      <c r="N22" s="1364"/>
      <c r="O22" s="874" t="s">
        <v>86</v>
      </c>
      <c r="P22" s="159" t="s">
        <v>240</v>
      </c>
      <c r="Q22" s="284">
        <f>(SUM(H39)+SUM(H59)+SUM(H47:H50))*0.8</f>
        <v>176</v>
      </c>
      <c r="R22" s="1159"/>
      <c r="S22" s="970"/>
      <c r="T22" s="1408"/>
      <c r="U22"/>
      <c r="V22"/>
      <c r="X22" s="384" t="s">
        <v>311</v>
      </c>
      <c r="Y22" s="386" t="s">
        <v>333</v>
      </c>
      <c r="Z22" s="384"/>
      <c r="AA22" s="384" t="s">
        <v>344</v>
      </c>
      <c r="AB22" s="384" t="s">
        <v>340</v>
      </c>
      <c r="AC22" s="384"/>
      <c r="AD22" s="384" t="s">
        <v>344</v>
      </c>
      <c r="AE22" s="384" t="s">
        <v>343</v>
      </c>
      <c r="AF22" s="384"/>
      <c r="AG22" s="384"/>
      <c r="AH22" s="384"/>
    </row>
    <row r="23" spans="3:34" ht="17.100000000000001" customHeight="1">
      <c r="F23" s="77">
        <f>F22/N63</f>
        <v>76.317760920742899</v>
      </c>
      <c r="G23" s="882"/>
      <c r="H23" s="1161" t="s">
        <v>1</v>
      </c>
      <c r="I23" s="65" t="s">
        <v>45</v>
      </c>
      <c r="J23" s="326">
        <f>J17+J20</f>
        <v>126987.63799999999</v>
      </c>
      <c r="K23" s="332">
        <f t="shared" si="3"/>
        <v>38413.760000000002</v>
      </c>
      <c r="L23" s="1148">
        <f>J23/$J$23</f>
        <v>1</v>
      </c>
      <c r="M23" s="417"/>
      <c r="N23" s="1364"/>
      <c r="O23" s="875"/>
      <c r="P23" s="160" t="s">
        <v>241</v>
      </c>
      <c r="Q23" s="286">
        <f>(SUM(H51)+SUM(H61:H76)+SUM(H41:H44))*1</f>
        <v>905</v>
      </c>
      <c r="R23" s="1159"/>
      <c r="S23" s="970"/>
      <c r="T23" s="1408"/>
      <c r="U23"/>
      <c r="V23"/>
      <c r="X23" s="384" t="s">
        <v>258</v>
      </c>
      <c r="Y23" s="386" t="s">
        <v>334</v>
      </c>
      <c r="Z23" s="384"/>
      <c r="AA23" s="384" t="s">
        <v>342</v>
      </c>
      <c r="AB23" s="384" t="s">
        <v>343</v>
      </c>
      <c r="AC23" s="384"/>
      <c r="AD23" s="384" t="s">
        <v>342</v>
      </c>
      <c r="AE23" s="387" t="s">
        <v>369</v>
      </c>
      <c r="AF23" s="384"/>
      <c r="AG23" s="384"/>
      <c r="AH23" s="384"/>
    </row>
    <row r="24" spans="3:34" ht="17.100000000000001" customHeight="1">
      <c r="F24" s="77"/>
      <c r="G24" s="882"/>
      <c r="H24" s="1162"/>
      <c r="I24" s="65" t="s">
        <v>46</v>
      </c>
      <c r="J24" s="326">
        <f>J18+J21</f>
        <v>118570</v>
      </c>
      <c r="K24" s="332">
        <f t="shared" si="3"/>
        <v>35867.42</v>
      </c>
      <c r="L24" s="1149"/>
      <c r="M24" s="415"/>
      <c r="N24" s="1364"/>
      <c r="O24" s="876"/>
      <c r="P24" s="152" t="s">
        <v>82</v>
      </c>
      <c r="Q24" s="285">
        <f>SUM(Q22:Q23)</f>
        <v>1081</v>
      </c>
      <c r="R24" s="1160"/>
      <c r="S24" s="972"/>
      <c r="T24" s="1409"/>
      <c r="U24"/>
      <c r="V24"/>
      <c r="X24" s="384" t="s">
        <v>313</v>
      </c>
      <c r="Y24" s="386" t="s">
        <v>272</v>
      </c>
      <c r="Z24" s="384"/>
      <c r="AA24" s="384" t="s">
        <v>339</v>
      </c>
      <c r="AB24" s="384" t="s">
        <v>345</v>
      </c>
      <c r="AC24" s="384"/>
      <c r="AD24" s="384" t="s">
        <v>339</v>
      </c>
      <c r="AE24" s="387" t="s">
        <v>368</v>
      </c>
      <c r="AF24" s="384"/>
      <c r="AG24" s="384"/>
      <c r="AH24" s="384"/>
    </row>
    <row r="25" spans="3:34" ht="17.100000000000001" customHeight="1">
      <c r="F25" s="77"/>
      <c r="G25" s="1144"/>
      <c r="H25" s="1164"/>
      <c r="I25" s="263" t="s">
        <v>1</v>
      </c>
      <c r="J25" s="330">
        <f>J19+J22</f>
        <v>245557.63800000001</v>
      </c>
      <c r="K25" s="334">
        <f t="shared" si="3"/>
        <v>74281.179999999993</v>
      </c>
      <c r="L25" s="1165"/>
      <c r="M25" s="415"/>
      <c r="N25" s="1364"/>
      <c r="O25" s="153" t="s">
        <v>38</v>
      </c>
      <c r="P25" s="154">
        <v>134</v>
      </c>
      <c r="Q25" s="287">
        <f>(M90+O90)/P25</f>
        <v>4.6543880597014926</v>
      </c>
      <c r="R25" s="290">
        <f>ROUNDUP(Q25*S25,0)</f>
        <v>6</v>
      </c>
      <c r="S25" s="1358">
        <v>1.2</v>
      </c>
      <c r="T25" s="1359"/>
      <c r="U25"/>
      <c r="V25"/>
      <c r="X25" s="384"/>
      <c r="Y25" s="384"/>
      <c r="Z25" s="384"/>
      <c r="AA25" s="384"/>
      <c r="AB25" s="384"/>
      <c r="AC25" s="384"/>
      <c r="AD25" s="384"/>
      <c r="AE25" s="384"/>
      <c r="AF25" s="384"/>
      <c r="AG25" s="384"/>
      <c r="AH25" s="384"/>
    </row>
    <row r="26" spans="3:34" ht="17.100000000000001" customHeight="1">
      <c r="F26" s="77"/>
      <c r="G26" s="309"/>
      <c r="H26" s="1168"/>
      <c r="I26" s="1169"/>
      <c r="J26" s="303"/>
      <c r="K26" s="304"/>
      <c r="M26" s="415"/>
      <c r="N26" s="1365"/>
      <c r="O26" s="912" t="s">
        <v>69</v>
      </c>
      <c r="P26" s="913"/>
      <c r="Q26" s="288">
        <f>Q21+Q25</f>
        <v>1262.6543880597014</v>
      </c>
      <c r="R26" s="291">
        <f>SUM(R19+R25)</f>
        <v>2818.5</v>
      </c>
      <c r="S26" s="306"/>
      <c r="T26" s="431"/>
      <c r="U26"/>
      <c r="V26" s="313"/>
      <c r="X26" s="384"/>
      <c r="Y26" s="384"/>
      <c r="Z26" s="384"/>
      <c r="AA26" s="384"/>
      <c r="AB26" s="384"/>
      <c r="AC26" s="384"/>
      <c r="AD26" s="384"/>
      <c r="AE26" s="384"/>
      <c r="AF26" s="384"/>
      <c r="AG26" s="384"/>
      <c r="AH26" s="384"/>
    </row>
    <row r="27" spans="3:34" ht="17.100000000000001" customHeight="1">
      <c r="F27" s="77"/>
      <c r="G27" s="72" t="s">
        <v>48</v>
      </c>
      <c r="H27" s="1105">
        <f>7809.473+R7+R8+R9+(M86/2)</f>
        <v>9841.3169999999991</v>
      </c>
      <c r="I27" s="1106"/>
      <c r="J27" s="1107"/>
      <c r="K27" s="12">
        <f>ROUNDDOWN(H27*0.3025,2)</f>
        <v>2976.99</v>
      </c>
      <c r="L27" s="1170">
        <v>50</v>
      </c>
      <c r="M27" s="51"/>
      <c r="N27" s="1172"/>
      <c r="O27" s="1173"/>
      <c r="P27" s="1173"/>
      <c r="Q27" s="1173"/>
      <c r="R27" s="1173"/>
      <c r="S27" s="1173"/>
      <c r="T27" s="1173"/>
      <c r="U27"/>
      <c r="V27" s="313"/>
      <c r="X27" s="384"/>
      <c r="Y27" s="384"/>
      <c r="Z27" s="384"/>
      <c r="AA27" s="384"/>
      <c r="AB27" s="384"/>
      <c r="AC27" s="384"/>
      <c r="AD27" s="384"/>
      <c r="AE27" s="384"/>
      <c r="AF27" s="384"/>
      <c r="AG27" s="384"/>
      <c r="AH27" s="384"/>
    </row>
    <row r="28" spans="3:34" ht="17.100000000000001" customHeight="1">
      <c r="F28" s="77"/>
      <c r="G28" s="74" t="s">
        <v>0</v>
      </c>
      <c r="H28" s="1108">
        <f>H27/J14</f>
        <v>0.23611378489649801</v>
      </c>
      <c r="I28" s="1109"/>
      <c r="J28" s="1109"/>
      <c r="K28" s="1110"/>
      <c r="L28" s="1171"/>
      <c r="M28" s="415"/>
      <c r="N28" s="1372" t="s">
        <v>236</v>
      </c>
      <c r="O28" s="339">
        <v>3</v>
      </c>
      <c r="P28" s="340">
        <f>'설계개요(1단지)'!P31</f>
        <v>2.484</v>
      </c>
      <c r="Q28" s="341">
        <v>2</v>
      </c>
      <c r="R28" s="342">
        <f>(O28-P28)/Q28</f>
        <v>0.25800000000000001</v>
      </c>
      <c r="S28" s="1175">
        <f>R29</f>
        <v>10753.543200000004</v>
      </c>
      <c r="T28" s="1375">
        <f>P30+P31+P32</f>
        <v>127</v>
      </c>
      <c r="U28"/>
      <c r="V28" s="313"/>
      <c r="X28" s="384"/>
      <c r="Y28" s="384"/>
      <c r="Z28" s="384"/>
      <c r="AA28" s="384"/>
      <c r="AB28" s="384"/>
      <c r="AC28" s="384"/>
      <c r="AD28" s="384"/>
      <c r="AE28" s="384"/>
      <c r="AF28" s="384"/>
      <c r="AG28" s="384"/>
      <c r="AH28" s="384"/>
    </row>
    <row r="29" spans="3:34" ht="17.100000000000001" customHeight="1">
      <c r="F29" s="77"/>
      <c r="G29" s="75" t="s">
        <v>64</v>
      </c>
      <c r="H29" s="1105">
        <f>J23-R8-R9-R11</f>
        <v>125017.63799999999</v>
      </c>
      <c r="I29" s="1106"/>
      <c r="J29" s="1107"/>
      <c r="K29" s="12">
        <f>ROUNDDOWN(H29*0.3025,2)</f>
        <v>37817.83</v>
      </c>
      <c r="L29" s="1180" t="s">
        <v>201</v>
      </c>
      <c r="M29" s="415"/>
      <c r="N29" s="1373"/>
      <c r="O29" s="343"/>
      <c r="P29" s="344">
        <f>J14</f>
        <v>41680.400000000016</v>
      </c>
      <c r="Q29" s="345">
        <f>R28</f>
        <v>0.25800000000000001</v>
      </c>
      <c r="R29" s="346">
        <f>P29*Q29</f>
        <v>10753.543200000004</v>
      </c>
      <c r="S29" s="1176"/>
      <c r="T29" s="1376"/>
      <c r="U29" s="274"/>
      <c r="V29" s="275"/>
      <c r="X29" s="384"/>
      <c r="Y29" s="384"/>
      <c r="Z29" s="384"/>
      <c r="AA29" s="384"/>
      <c r="AB29" s="384"/>
      <c r="AC29" s="384"/>
      <c r="AD29" s="384"/>
      <c r="AE29" s="384"/>
      <c r="AF29" s="384"/>
      <c r="AG29" s="384"/>
      <c r="AH29" s="384"/>
    </row>
    <row r="30" spans="3:34" ht="17.100000000000001" customHeight="1">
      <c r="E30" s="11">
        <f>H47+H59</f>
        <v>200</v>
      </c>
      <c r="F30" s="77"/>
      <c r="G30" s="74" t="s">
        <v>62</v>
      </c>
      <c r="H30" s="854">
        <f>H29/J14</f>
        <v>2.9994346983234315</v>
      </c>
      <c r="I30" s="855"/>
      <c r="J30" s="855"/>
      <c r="K30" s="856"/>
      <c r="L30" s="1181"/>
      <c r="M30" s="415"/>
      <c r="N30" s="1373"/>
      <c r="O30" s="347"/>
      <c r="P30" s="348"/>
      <c r="Q30" s="349"/>
      <c r="R30" s="350"/>
      <c r="S30" s="1182">
        <f>R30+R31+R32</f>
        <v>10842.03</v>
      </c>
      <c r="T30" s="1376"/>
      <c r="U30" s="274"/>
      <c r="V30" s="378">
        <f>S30-S28</f>
        <v>88.486799999996947</v>
      </c>
      <c r="X30" s="384"/>
      <c r="Y30" s="384"/>
      <c r="Z30" s="384"/>
      <c r="AA30" s="384"/>
      <c r="AB30" s="384"/>
      <c r="AC30" s="384"/>
      <c r="AD30" s="384"/>
      <c r="AE30" s="384"/>
      <c r="AF30" s="384"/>
      <c r="AG30" s="384"/>
      <c r="AH30" s="384"/>
    </row>
    <row r="31" spans="3:34" ht="17.100000000000001" customHeight="1">
      <c r="E31" s="11">
        <f>H61</f>
        <v>246</v>
      </c>
      <c r="F31" s="77"/>
      <c r="G31" s="72" t="s">
        <v>63</v>
      </c>
      <c r="H31" s="1088">
        <f>H79</f>
        <v>1125</v>
      </c>
      <c r="I31" s="1089"/>
      <c r="J31" s="1089"/>
      <c r="K31" s="1090"/>
      <c r="L31" s="20"/>
      <c r="M31" s="415"/>
      <c r="N31" s="1373"/>
      <c r="O31" s="351">
        <f>G48</f>
        <v>59</v>
      </c>
      <c r="P31" s="352">
        <f>H47</f>
        <v>116</v>
      </c>
      <c r="Q31" s="353">
        <f>N47</f>
        <v>82.59</v>
      </c>
      <c r="R31" s="354">
        <f>P31*Q31</f>
        <v>9580.44</v>
      </c>
      <c r="S31" s="1183"/>
      <c r="T31" s="1376"/>
      <c r="U31"/>
      <c r="V31" s="1185"/>
      <c r="X31" s="384"/>
      <c r="Y31" s="384"/>
      <c r="Z31" s="384"/>
      <c r="AA31" s="384"/>
      <c r="AB31" s="384"/>
      <c r="AC31" s="384"/>
      <c r="AD31" s="384"/>
      <c r="AE31" s="384"/>
      <c r="AF31" s="384"/>
      <c r="AG31" s="384"/>
      <c r="AH31" s="384"/>
    </row>
    <row r="32" spans="3:34" ht="17.100000000000001" customHeight="1">
      <c r="E32" s="11">
        <f>H63</f>
        <v>479</v>
      </c>
      <c r="F32" s="77"/>
      <c r="G32" s="74" t="s">
        <v>37</v>
      </c>
      <c r="H32" s="1370">
        <f>R26</f>
        <v>2818.5</v>
      </c>
      <c r="I32" s="1371"/>
      <c r="J32" s="1371"/>
      <c r="K32" s="164"/>
      <c r="L32" s="62">
        <f>$R$19/$H$79</f>
        <v>2.5</v>
      </c>
      <c r="M32" s="415"/>
      <c r="N32" s="1374"/>
      <c r="O32" s="355">
        <f>G52</f>
        <v>84</v>
      </c>
      <c r="P32" s="356">
        <f>H51</f>
        <v>11</v>
      </c>
      <c r="Q32" s="357">
        <f>N51</f>
        <v>114.69</v>
      </c>
      <c r="R32" s="346">
        <f>P32*Q32</f>
        <v>1261.5899999999999</v>
      </c>
      <c r="S32" s="1184"/>
      <c r="T32" s="1377"/>
      <c r="U32"/>
      <c r="V32" s="1186"/>
      <c r="X32" s="384"/>
      <c r="Y32" s="384"/>
      <c r="Z32" s="384"/>
      <c r="AA32" s="384"/>
      <c r="AB32" s="384"/>
      <c r="AC32" s="384"/>
      <c r="AD32" s="384"/>
      <c r="AE32" s="384"/>
      <c r="AF32" s="384"/>
      <c r="AG32" s="384"/>
      <c r="AH32" s="384"/>
    </row>
    <row r="33" spans="2:29" ht="6.75" customHeight="1">
      <c r="F33" s="77"/>
      <c r="G33" s="76"/>
      <c r="H33" s="57"/>
      <c r="I33" s="57"/>
      <c r="J33" s="57"/>
      <c r="K33" s="57"/>
      <c r="L33" s="57"/>
      <c r="M33" s="52"/>
      <c r="N33" s="57"/>
      <c r="O33" s="57"/>
      <c r="P33" s="57"/>
      <c r="Q33" s="57"/>
      <c r="R33" s="57"/>
      <c r="S33" s="57"/>
      <c r="T33" s="57"/>
      <c r="U33"/>
      <c r="V33" s="10"/>
      <c r="Y33" s="130"/>
      <c r="Z33" s="130"/>
      <c r="AA33" s="130"/>
      <c r="AB33" s="130"/>
      <c r="AC33" s="130"/>
    </row>
    <row r="34" spans="2:29" ht="17.25">
      <c r="E34" s="11">
        <f>H59+H47</f>
        <v>200</v>
      </c>
      <c r="F34" s="77"/>
      <c r="G34" s="951" t="s">
        <v>31</v>
      </c>
      <c r="H34" s="951"/>
      <c r="I34" s="951"/>
      <c r="J34" s="951"/>
      <c r="K34" s="951"/>
      <c r="L34" s="951"/>
      <c r="M34" s="951"/>
      <c r="N34" s="951"/>
      <c r="O34" s="951"/>
      <c r="P34" s="951"/>
      <c r="Q34" s="951"/>
      <c r="R34" s="951"/>
      <c r="S34" s="951"/>
      <c r="T34" s="952"/>
      <c r="Y34" s="130"/>
      <c r="Z34" s="130"/>
      <c r="AA34" s="130"/>
      <c r="AB34" s="130"/>
      <c r="AC34" s="130"/>
    </row>
    <row r="35" spans="2:29" s="4" customFormat="1" ht="15.75" customHeight="1">
      <c r="B35" s="1122"/>
      <c r="C35" s="1122"/>
      <c r="D35" s="1122"/>
      <c r="E35" s="1122"/>
      <c r="F35" s="78"/>
      <c r="G35" s="957" t="s">
        <v>16</v>
      </c>
      <c r="H35" s="877" t="s">
        <v>2</v>
      </c>
      <c r="I35" s="877" t="s">
        <v>17</v>
      </c>
      <c r="J35" s="877" t="s">
        <v>18</v>
      </c>
      <c r="K35" s="877" t="s">
        <v>19</v>
      </c>
      <c r="L35" s="877"/>
      <c r="M35" s="877"/>
      <c r="N35" s="877" t="s">
        <v>8</v>
      </c>
      <c r="O35" s="877" t="s">
        <v>30</v>
      </c>
      <c r="P35" s="877"/>
      <c r="Q35" s="877"/>
      <c r="R35" s="877" t="s">
        <v>23</v>
      </c>
      <c r="S35" s="877" t="s">
        <v>20</v>
      </c>
      <c r="T35" s="956" t="s">
        <v>68</v>
      </c>
      <c r="Y35" s="382"/>
      <c r="Z35" s="382"/>
      <c r="AA35" s="382"/>
      <c r="AB35" s="382"/>
      <c r="AC35" s="382"/>
    </row>
    <row r="36" spans="2:29" s="4" customFormat="1" ht="15.75" customHeight="1">
      <c r="B36" s="1122"/>
      <c r="C36" s="1122"/>
      <c r="D36" s="1122"/>
      <c r="E36" s="1122"/>
      <c r="F36" s="78"/>
      <c r="G36" s="958"/>
      <c r="H36" s="878"/>
      <c r="I36" s="878"/>
      <c r="J36" s="878"/>
      <c r="K36" s="80" t="s">
        <v>21</v>
      </c>
      <c r="L36" s="80" t="s">
        <v>142</v>
      </c>
      <c r="M36" s="80" t="s">
        <v>22</v>
      </c>
      <c r="N36" s="878"/>
      <c r="O36" s="80" t="s">
        <v>28</v>
      </c>
      <c r="P36" s="80" t="s">
        <v>15</v>
      </c>
      <c r="Q36" s="80" t="s">
        <v>32</v>
      </c>
      <c r="R36" s="878"/>
      <c r="S36" s="878"/>
      <c r="T36" s="878"/>
      <c r="W36" s="2"/>
      <c r="Y36" s="382"/>
      <c r="Z36" s="382"/>
      <c r="AA36" s="382"/>
      <c r="AB36" s="382"/>
      <c r="AC36" s="382"/>
    </row>
    <row r="37" spans="2:29" ht="11.25" hidden="1" customHeight="1">
      <c r="B37" s="1127"/>
      <c r="C37" s="1121"/>
      <c r="D37" s="1121"/>
      <c r="E37" s="1121">
        <f>ROUNDUP(H79*0.05,0)</f>
        <v>57</v>
      </c>
      <c r="F37" s="1187" t="e">
        <f>H37/#REF!</f>
        <v>#REF!</v>
      </c>
      <c r="G37" s="297">
        <f>ROUNDDOWN(N38,0)</f>
        <v>17</v>
      </c>
      <c r="H37" s="1194"/>
      <c r="I37" s="1195">
        <f>H37/$H$79</f>
        <v>0</v>
      </c>
      <c r="J37" s="299">
        <f>J55</f>
        <v>39.96</v>
      </c>
      <c r="K37" s="299">
        <f>K55</f>
        <v>3.65</v>
      </c>
      <c r="L37" s="299">
        <f>L55</f>
        <v>14.8</v>
      </c>
      <c r="M37" s="299">
        <f>K37+L37</f>
        <v>18.45</v>
      </c>
      <c r="N37" s="299">
        <f>J37+M37</f>
        <v>58.41</v>
      </c>
      <c r="O37" s="299">
        <f>$O$79/$J$79*J37</f>
        <v>0.13104681348981995</v>
      </c>
      <c r="P37" s="299">
        <f>$P$79/$J$79*J37</f>
        <v>4.0296895148119631</v>
      </c>
      <c r="Q37" s="299">
        <f>$Q$79/$J$79*J37</f>
        <v>49.011508245192658</v>
      </c>
      <c r="R37" s="299">
        <f>O37+P37+Q37</f>
        <v>53.172244573494439</v>
      </c>
      <c r="S37" s="299">
        <f>N37+R37</f>
        <v>111.58224457349444</v>
      </c>
      <c r="T37" s="1196" t="s">
        <v>478</v>
      </c>
      <c r="V37" s="905"/>
    </row>
    <row r="38" spans="2:29" ht="11.25" hidden="1" customHeight="1">
      <c r="B38" s="1076"/>
      <c r="C38" s="1121"/>
      <c r="D38" s="1121"/>
      <c r="E38" s="1121"/>
      <c r="F38" s="1187"/>
      <c r="G38" s="296">
        <v>39</v>
      </c>
      <c r="H38" s="1189"/>
      <c r="I38" s="1191"/>
      <c r="J38" s="298">
        <f t="shared" ref="J38:S38" si="4">ROUNDDOWN(J37*0.3025,2)</f>
        <v>12.08</v>
      </c>
      <c r="K38" s="298">
        <f t="shared" si="4"/>
        <v>1.1000000000000001</v>
      </c>
      <c r="L38" s="298">
        <f t="shared" si="4"/>
        <v>4.47</v>
      </c>
      <c r="M38" s="298">
        <f t="shared" si="4"/>
        <v>5.58</v>
      </c>
      <c r="N38" s="298">
        <f t="shared" si="4"/>
        <v>17.66</v>
      </c>
      <c r="O38" s="298">
        <f t="shared" si="4"/>
        <v>0.03</v>
      </c>
      <c r="P38" s="298">
        <f t="shared" si="4"/>
        <v>1.21</v>
      </c>
      <c r="Q38" s="298">
        <f t="shared" si="4"/>
        <v>14.82</v>
      </c>
      <c r="R38" s="298">
        <f t="shared" si="4"/>
        <v>16.079999999999998</v>
      </c>
      <c r="S38" s="298">
        <f t="shared" si="4"/>
        <v>33.75</v>
      </c>
      <c r="T38" s="1197"/>
      <c r="V38" s="906"/>
    </row>
    <row r="39" spans="2:29" ht="12" customHeight="1">
      <c r="B39" s="1127"/>
      <c r="C39" s="1121"/>
      <c r="D39" s="1121"/>
      <c r="E39" s="1121"/>
      <c r="F39" s="1187" t="e">
        <f>H39/#REF!</f>
        <v>#REF!</v>
      </c>
      <c r="G39" s="300">
        <f>ROUNDDOWN(N40,0)</f>
        <v>24</v>
      </c>
      <c r="H39" s="1188">
        <v>20</v>
      </c>
      <c r="I39" s="1434">
        <f>H39/$H$79</f>
        <v>1.7777777777777778E-2</v>
      </c>
      <c r="J39" s="802">
        <v>59.99</v>
      </c>
      <c r="K39" s="802">
        <f>K47</f>
        <v>6.1</v>
      </c>
      <c r="L39" s="802">
        <v>16.5</v>
      </c>
      <c r="M39" s="802">
        <f>K39+L39</f>
        <v>22.6</v>
      </c>
      <c r="N39" s="802">
        <f>M39+J39</f>
        <v>82.59</v>
      </c>
      <c r="O39" s="802">
        <f>$O$79/$J$79*J39</f>
        <v>0.19673419272408155</v>
      </c>
      <c r="P39" s="802">
        <f>$P$79/$J$79*J39</f>
        <v>6.0495764262655074</v>
      </c>
      <c r="Q39" s="802">
        <f>$Q$79/$J$79*J39</f>
        <v>73.578588078806504</v>
      </c>
      <c r="R39" s="802">
        <f>O39+P39+Q39</f>
        <v>79.824898697796087</v>
      </c>
      <c r="S39" s="802">
        <f>N39+R39</f>
        <v>162.4148986977961</v>
      </c>
      <c r="T39" s="1197"/>
      <c r="V39" s="130"/>
    </row>
    <row r="40" spans="2:29" ht="12" customHeight="1">
      <c r="B40" s="1076"/>
      <c r="C40" s="1121"/>
      <c r="D40" s="1121"/>
      <c r="E40" s="1121"/>
      <c r="F40" s="1187"/>
      <c r="G40" s="296">
        <f>ROUNDDOWN(J39,0)</f>
        <v>59</v>
      </c>
      <c r="H40" s="1189"/>
      <c r="I40" s="1191"/>
      <c r="J40" s="298">
        <f t="shared" ref="J40:S40" si="5">ROUNDDOWN(J39*0.3025,2)</f>
        <v>18.14</v>
      </c>
      <c r="K40" s="298">
        <f t="shared" si="5"/>
        <v>1.84</v>
      </c>
      <c r="L40" s="298">
        <f t="shared" si="5"/>
        <v>4.99</v>
      </c>
      <c r="M40" s="298">
        <f t="shared" si="5"/>
        <v>6.83</v>
      </c>
      <c r="N40" s="298">
        <f t="shared" si="5"/>
        <v>24.98</v>
      </c>
      <c r="O40" s="298">
        <f t="shared" si="5"/>
        <v>0.05</v>
      </c>
      <c r="P40" s="298">
        <f t="shared" si="5"/>
        <v>1.82</v>
      </c>
      <c r="Q40" s="301">
        <f t="shared" si="5"/>
        <v>22.25</v>
      </c>
      <c r="R40" s="301">
        <f t="shared" si="5"/>
        <v>24.14</v>
      </c>
      <c r="S40" s="301">
        <f t="shared" si="5"/>
        <v>49.13</v>
      </c>
      <c r="T40" s="1197"/>
      <c r="V40" s="148"/>
    </row>
    <row r="41" spans="2:29" ht="12" customHeight="1">
      <c r="B41" s="130"/>
      <c r="C41" s="308"/>
      <c r="D41" s="308"/>
      <c r="E41" s="308"/>
      <c r="F41" s="1187" t="e">
        <f>H41/#REF!</f>
        <v>#REF!</v>
      </c>
      <c r="G41" s="300">
        <f>ROUNDDOWN(N42,0)</f>
        <v>34</v>
      </c>
      <c r="H41" s="1188">
        <v>2</v>
      </c>
      <c r="I41" s="1434">
        <f>H41/$H$79</f>
        <v>1.7777777777777779E-3</v>
      </c>
      <c r="J41" s="802">
        <v>84.99</v>
      </c>
      <c r="K41" s="802">
        <v>8.1999999999999993</v>
      </c>
      <c r="L41" s="802">
        <v>21.5</v>
      </c>
      <c r="M41" s="802">
        <f>K41+L41</f>
        <v>29.7</v>
      </c>
      <c r="N41" s="802">
        <f>M41+J41</f>
        <v>114.69</v>
      </c>
      <c r="O41" s="802">
        <f>$O$79/$J$79*J41</f>
        <v>0.27872043739989477</v>
      </c>
      <c r="P41" s="802">
        <f>$P$79/$J$79*J41</f>
        <v>8.5706534500467644</v>
      </c>
      <c r="Q41" s="802">
        <f>$Q$79/$J$79*J41</f>
        <v>104.24144358756065</v>
      </c>
      <c r="R41" s="802">
        <f>O41+P41+Q41</f>
        <v>113.09081747500731</v>
      </c>
      <c r="S41" s="802">
        <f>N41+R41</f>
        <v>227.78081747500732</v>
      </c>
      <c r="T41" s="1197"/>
      <c r="V41" s="193"/>
    </row>
    <row r="42" spans="2:29" ht="12" customHeight="1">
      <c r="B42" s="130"/>
      <c r="C42" s="308"/>
      <c r="D42" s="308"/>
      <c r="E42" s="308"/>
      <c r="F42" s="1187"/>
      <c r="G42" s="296">
        <f>ROUNDDOWN(J41,0)</f>
        <v>84</v>
      </c>
      <c r="H42" s="1189"/>
      <c r="I42" s="1191"/>
      <c r="J42" s="298">
        <f t="shared" ref="J42:S42" si="6">ROUNDDOWN(J41*0.3025,2)</f>
        <v>25.7</v>
      </c>
      <c r="K42" s="298">
        <f t="shared" si="6"/>
        <v>2.48</v>
      </c>
      <c r="L42" s="298">
        <f t="shared" si="6"/>
        <v>6.5</v>
      </c>
      <c r="M42" s="298">
        <f t="shared" si="6"/>
        <v>8.98</v>
      </c>
      <c r="N42" s="298">
        <f t="shared" si="6"/>
        <v>34.69</v>
      </c>
      <c r="O42" s="298">
        <f t="shared" si="6"/>
        <v>0.08</v>
      </c>
      <c r="P42" s="298">
        <f t="shared" si="6"/>
        <v>2.59</v>
      </c>
      <c r="Q42" s="301">
        <f t="shared" si="6"/>
        <v>31.53</v>
      </c>
      <c r="R42" s="301">
        <f t="shared" si="6"/>
        <v>34.200000000000003</v>
      </c>
      <c r="S42" s="301">
        <f t="shared" si="6"/>
        <v>68.900000000000006</v>
      </c>
      <c r="T42" s="1197"/>
      <c r="V42" s="193"/>
    </row>
    <row r="43" spans="2:29" ht="12" hidden="1" customHeight="1">
      <c r="B43" s="130"/>
      <c r="C43" s="308"/>
      <c r="D43" s="308"/>
      <c r="E43" s="1128"/>
      <c r="F43" s="336"/>
      <c r="G43" s="316">
        <f>ROUNDDOWN(N44,0)</f>
        <v>20</v>
      </c>
      <c r="H43" s="1192">
        <v>0</v>
      </c>
      <c r="I43" s="369">
        <f>H43/$H$79</f>
        <v>0</v>
      </c>
      <c r="J43" s="364">
        <v>49.8</v>
      </c>
      <c r="K43" s="364">
        <v>3.7</v>
      </c>
      <c r="L43" s="364">
        <v>14.2</v>
      </c>
      <c r="M43" s="364">
        <f>K43+L43</f>
        <v>17.899999999999999</v>
      </c>
      <c r="N43" s="364">
        <f>M43+J43</f>
        <v>67.699999999999989</v>
      </c>
      <c r="O43" s="364">
        <f>$O$79/$J$79*J43</f>
        <v>0.16331659939422002</v>
      </c>
      <c r="P43" s="364">
        <f>$P$79/$J$79*J43</f>
        <v>5.0219854313722658</v>
      </c>
      <c r="Q43" s="364">
        <f>$Q$79/$J$79*J43</f>
        <v>61.080408173438293</v>
      </c>
      <c r="R43" s="364">
        <f>O43+P43+Q43</f>
        <v>66.26571020420478</v>
      </c>
      <c r="S43" s="364">
        <f>N43+R43</f>
        <v>133.96571020420475</v>
      </c>
      <c r="T43" s="1198" t="s">
        <v>477</v>
      </c>
      <c r="U43" s="173">
        <f>J43/N43</f>
        <v>0.73559822747415071</v>
      </c>
      <c r="V43" s="193"/>
    </row>
    <row r="44" spans="2:29" ht="12" hidden="1" customHeight="1">
      <c r="B44" s="130"/>
      <c r="C44" s="308"/>
      <c r="D44" s="308"/>
      <c r="E44" s="1129"/>
      <c r="F44" s="336"/>
      <c r="G44" s="318">
        <f>ROUNDDOWN(J43,0)</f>
        <v>49</v>
      </c>
      <c r="H44" s="1193"/>
      <c r="I44" s="373">
        <f>H43/$H$53</f>
        <v>0</v>
      </c>
      <c r="J44" s="319">
        <f t="shared" ref="J44:S44" si="7">ROUNDDOWN(J43*0.3025,2)</f>
        <v>15.06</v>
      </c>
      <c r="K44" s="319">
        <f t="shared" si="7"/>
        <v>1.1100000000000001</v>
      </c>
      <c r="L44" s="319">
        <f t="shared" si="7"/>
        <v>4.29</v>
      </c>
      <c r="M44" s="319">
        <f t="shared" si="7"/>
        <v>5.41</v>
      </c>
      <c r="N44" s="319">
        <f t="shared" si="7"/>
        <v>20.47</v>
      </c>
      <c r="O44" s="319">
        <f t="shared" si="7"/>
        <v>0.04</v>
      </c>
      <c r="P44" s="319">
        <f t="shared" si="7"/>
        <v>1.51</v>
      </c>
      <c r="Q44" s="320">
        <f t="shared" si="7"/>
        <v>18.47</v>
      </c>
      <c r="R44" s="320">
        <f t="shared" si="7"/>
        <v>20.04</v>
      </c>
      <c r="S44" s="320">
        <f t="shared" si="7"/>
        <v>40.520000000000003</v>
      </c>
      <c r="T44" s="1198"/>
      <c r="U44" s="173"/>
      <c r="V44" s="193"/>
    </row>
    <row r="45" spans="2:29" ht="12" hidden="1" customHeight="1">
      <c r="B45" s="130"/>
      <c r="C45" s="308"/>
      <c r="D45" s="308"/>
      <c r="E45" s="1130"/>
      <c r="F45" s="336"/>
      <c r="G45" s="316">
        <f>ROUNDDOWN(N44,0)</f>
        <v>20</v>
      </c>
      <c r="H45" s="1192"/>
      <c r="I45" s="1130">
        <f>H45/$H$79</f>
        <v>0</v>
      </c>
      <c r="T45" s="1198"/>
      <c r="U45" s="173"/>
      <c r="V45" s="193"/>
    </row>
    <row r="46" spans="2:29" ht="12" hidden="1" customHeight="1">
      <c r="B46" s="130"/>
      <c r="C46" s="308"/>
      <c r="D46" s="308"/>
      <c r="E46" s="1129"/>
      <c r="F46" s="336"/>
      <c r="G46" s="318">
        <f>ROUNDDOWN(J43,0)</f>
        <v>49</v>
      </c>
      <c r="H46" s="1193"/>
      <c r="I46" s="1129"/>
      <c r="T46" s="1198"/>
      <c r="U46" s="173"/>
      <c r="V46" s="193"/>
    </row>
    <row r="47" spans="2:29" ht="12" customHeight="1">
      <c r="B47" s="1127"/>
      <c r="C47" s="1121"/>
      <c r="D47" s="1121"/>
      <c r="E47" s="1307">
        <f>(H39+H47)/$H$53</f>
        <v>0.91275167785234901</v>
      </c>
      <c r="F47" s="130"/>
      <c r="G47" s="316">
        <f>ROUNDDOWN(N48,0)</f>
        <v>24</v>
      </c>
      <c r="H47" s="1200">
        <v>116</v>
      </c>
      <c r="I47" s="393">
        <f>H47/$H$79</f>
        <v>0.10311111111111111</v>
      </c>
      <c r="J47" s="364">
        <v>59.99</v>
      </c>
      <c r="K47" s="364">
        <f>K59</f>
        <v>6.1</v>
      </c>
      <c r="L47" s="364">
        <v>16.5</v>
      </c>
      <c r="M47" s="364">
        <f>K47+L47</f>
        <v>22.6</v>
      </c>
      <c r="N47" s="364">
        <f>M47+J47</f>
        <v>82.59</v>
      </c>
      <c r="O47" s="364">
        <f>$O$79/$J$79*J47</f>
        <v>0.19673419272408155</v>
      </c>
      <c r="P47" s="364">
        <f>$P$79/$J$79*J47</f>
        <v>6.0495764262655074</v>
      </c>
      <c r="Q47" s="364">
        <f>$Q$79/$J$79*J47</f>
        <v>73.578588078806504</v>
      </c>
      <c r="R47" s="364">
        <f>O47+P47+Q47</f>
        <v>79.824898697796087</v>
      </c>
      <c r="S47" s="364">
        <f>N47+R47</f>
        <v>162.4148986977961</v>
      </c>
      <c r="T47" s="1198"/>
      <c r="U47" s="173">
        <f>J47/N47</f>
        <v>0.72635912338055453</v>
      </c>
      <c r="V47" s="1200">
        <f>42+17</f>
        <v>59</v>
      </c>
      <c r="Y47" s="130" t="s">
        <v>305</v>
      </c>
      <c r="Z47" s="130" t="s">
        <v>314</v>
      </c>
      <c r="AA47" s="130"/>
      <c r="AB47" s="130" t="s">
        <v>325</v>
      </c>
      <c r="AC47" s="130">
        <v>720</v>
      </c>
    </row>
    <row r="48" spans="2:29" ht="12" customHeight="1">
      <c r="B48" s="1076"/>
      <c r="C48" s="1121"/>
      <c r="D48" s="1121"/>
      <c r="E48" s="1308"/>
      <c r="F48" s="130"/>
      <c r="G48" s="318">
        <f>ROUNDDOWN(J47,0)</f>
        <v>59</v>
      </c>
      <c r="H48" s="1193"/>
      <c r="I48" s="394">
        <f>H47/$H$53</f>
        <v>0.77852348993288589</v>
      </c>
      <c r="J48" s="395">
        <f t="shared" ref="J48:S48" si="8">ROUNDDOWN(J47*0.3025,2)</f>
        <v>18.14</v>
      </c>
      <c r="K48" s="395">
        <f t="shared" si="8"/>
        <v>1.84</v>
      </c>
      <c r="L48" s="395">
        <f t="shared" si="8"/>
        <v>4.99</v>
      </c>
      <c r="M48" s="395">
        <f t="shared" si="8"/>
        <v>6.83</v>
      </c>
      <c r="N48" s="395">
        <f t="shared" si="8"/>
        <v>24.98</v>
      </c>
      <c r="O48" s="395">
        <f t="shared" si="8"/>
        <v>0.05</v>
      </c>
      <c r="P48" s="395">
        <f t="shared" si="8"/>
        <v>1.82</v>
      </c>
      <c r="Q48" s="395">
        <f t="shared" si="8"/>
        <v>22.25</v>
      </c>
      <c r="R48" s="395">
        <f t="shared" si="8"/>
        <v>24.14</v>
      </c>
      <c r="S48" s="395">
        <f t="shared" si="8"/>
        <v>49.13</v>
      </c>
      <c r="T48" s="1198"/>
      <c r="U48" s="173"/>
      <c r="V48" s="1193"/>
      <c r="Y48" s="130" t="s">
        <v>306</v>
      </c>
      <c r="Z48" s="130" t="s">
        <v>315</v>
      </c>
      <c r="AA48" s="130"/>
      <c r="AB48" s="130" t="s">
        <v>307</v>
      </c>
      <c r="AC48" s="130">
        <v>860</v>
      </c>
    </row>
    <row r="49" spans="2:29" ht="12" hidden="1" customHeight="1">
      <c r="B49" s="130"/>
      <c r="C49" s="308"/>
      <c r="D49" s="308"/>
      <c r="E49" s="1307"/>
      <c r="F49" s="130"/>
      <c r="G49" s="316">
        <f>ROUNDDOWN(N50,0)</f>
        <v>30</v>
      </c>
      <c r="H49" s="1200"/>
      <c r="I49" s="1303">
        <f>H49/$H$79</f>
        <v>0</v>
      </c>
      <c r="J49" s="396">
        <f>J61</f>
        <v>74.989999999999995</v>
      </c>
      <c r="K49" s="396">
        <f>K61</f>
        <v>7.03</v>
      </c>
      <c r="L49" s="396">
        <f>L61</f>
        <v>18.5</v>
      </c>
      <c r="M49" s="396">
        <f>K49+L49</f>
        <v>25.53</v>
      </c>
      <c r="N49" s="396">
        <f>M49+J49</f>
        <v>100.52</v>
      </c>
      <c r="O49" s="396">
        <f>$O$79/$J$79*J49</f>
        <v>0.24592593952956948</v>
      </c>
      <c r="P49" s="396">
        <f>$P$79/$J$79*J49</f>
        <v>7.5622226405342614</v>
      </c>
      <c r="Q49" s="396">
        <f>$Q$79/$J$79*J49</f>
        <v>91.976301384058985</v>
      </c>
      <c r="R49" s="396">
        <f>O49+P49+Q49</f>
        <v>99.784449964122814</v>
      </c>
      <c r="S49" s="396">
        <f>N49+R49</f>
        <v>200.3044499641228</v>
      </c>
      <c r="T49" s="1198"/>
      <c r="U49" s="173"/>
      <c r="V49" s="1200"/>
      <c r="Y49" s="130" t="s">
        <v>307</v>
      </c>
      <c r="Z49" s="130" t="s">
        <v>316</v>
      </c>
      <c r="AA49" s="130"/>
      <c r="AB49" s="130" t="s">
        <v>309</v>
      </c>
      <c r="AC49" s="130">
        <v>410</v>
      </c>
    </row>
    <row r="50" spans="2:29" ht="12" hidden="1" customHeight="1">
      <c r="B50" s="130"/>
      <c r="C50" s="308"/>
      <c r="D50" s="308"/>
      <c r="E50" s="1308"/>
      <c r="F50" s="130"/>
      <c r="G50" s="318">
        <f>ROUNDDOWN(J49,0)</f>
        <v>74</v>
      </c>
      <c r="H50" s="1193"/>
      <c r="I50" s="1304"/>
      <c r="J50" s="395">
        <f t="shared" ref="J50:S50" si="9">ROUNDDOWN(J49*0.3025,2)</f>
        <v>22.68</v>
      </c>
      <c r="K50" s="395">
        <f t="shared" si="9"/>
        <v>2.12</v>
      </c>
      <c r="L50" s="395">
        <f t="shared" si="9"/>
        <v>5.59</v>
      </c>
      <c r="M50" s="395">
        <f t="shared" si="9"/>
        <v>7.72</v>
      </c>
      <c r="N50" s="395">
        <f t="shared" si="9"/>
        <v>30.4</v>
      </c>
      <c r="O50" s="395">
        <f t="shared" si="9"/>
        <v>7.0000000000000007E-2</v>
      </c>
      <c r="P50" s="395">
        <f t="shared" si="9"/>
        <v>2.2799999999999998</v>
      </c>
      <c r="Q50" s="395">
        <f t="shared" si="9"/>
        <v>27.82</v>
      </c>
      <c r="R50" s="395">
        <f t="shared" si="9"/>
        <v>30.18</v>
      </c>
      <c r="S50" s="395">
        <f t="shared" si="9"/>
        <v>60.59</v>
      </c>
      <c r="T50" s="1198"/>
      <c r="U50" s="173"/>
      <c r="V50" s="1193"/>
      <c r="Y50" s="130" t="s">
        <v>308</v>
      </c>
      <c r="Z50" s="130" t="s">
        <v>317</v>
      </c>
      <c r="AA50" s="130"/>
      <c r="AB50" s="130" t="s">
        <v>326</v>
      </c>
      <c r="AC50" s="130">
        <v>30</v>
      </c>
    </row>
    <row r="51" spans="2:29" ht="12" customHeight="1">
      <c r="B51" s="1127"/>
      <c r="C51" s="1121"/>
      <c r="D51" s="1121"/>
      <c r="E51" s="1307">
        <f>(H41+H51)/$H$53</f>
        <v>8.7248322147651006E-2</v>
      </c>
      <c r="F51" s="130">
        <f>H51/H53*100</f>
        <v>7.3825503355704702</v>
      </c>
      <c r="G51" s="316">
        <f>ROUNDDOWN(N52,0)</f>
        <v>34</v>
      </c>
      <c r="H51" s="1200">
        <f>15-4</f>
        <v>11</v>
      </c>
      <c r="I51" s="393">
        <f>H51/$H$79</f>
        <v>9.7777777777777776E-3</v>
      </c>
      <c r="J51" s="364">
        <v>84.99</v>
      </c>
      <c r="K51" s="364">
        <v>8.1999999999999993</v>
      </c>
      <c r="L51" s="364">
        <v>21.5</v>
      </c>
      <c r="M51" s="364">
        <f>K51+L51</f>
        <v>29.7</v>
      </c>
      <c r="N51" s="364">
        <f>M51+J51</f>
        <v>114.69</v>
      </c>
      <c r="O51" s="364">
        <f>$O$79/$J$79*J51</f>
        <v>0.27872043739989477</v>
      </c>
      <c r="P51" s="364">
        <f>$P$79/$J$79*J51</f>
        <v>8.5706534500467644</v>
      </c>
      <c r="Q51" s="364">
        <f>$Q$79/$J$79*J51</f>
        <v>104.24144358756065</v>
      </c>
      <c r="R51" s="364">
        <f>O51+P51+Q51</f>
        <v>113.09081747500731</v>
      </c>
      <c r="S51" s="364">
        <f>N51+R51</f>
        <v>227.78081747500732</v>
      </c>
      <c r="T51" s="1198"/>
      <c r="U51" s="173">
        <f>J51/N51</f>
        <v>0.74104106722469265</v>
      </c>
      <c r="V51" s="1200">
        <f>52-12</f>
        <v>40</v>
      </c>
      <c r="Y51" s="130" t="s">
        <v>307</v>
      </c>
      <c r="Z51" s="130" t="s">
        <v>316</v>
      </c>
      <c r="AA51" s="130"/>
      <c r="AB51" s="130" t="s">
        <v>311</v>
      </c>
      <c r="AC51" s="130">
        <v>875</v>
      </c>
    </row>
    <row r="52" spans="2:29" ht="12" customHeight="1">
      <c r="B52" s="1076"/>
      <c r="C52" s="1121"/>
      <c r="D52" s="1121"/>
      <c r="E52" s="1308"/>
      <c r="G52" s="318">
        <f>ROUNDDOWN(J51,0)</f>
        <v>84</v>
      </c>
      <c r="H52" s="1193"/>
      <c r="I52" s="394">
        <f>H51/$H$53</f>
        <v>7.3825503355704702E-2</v>
      </c>
      <c r="J52" s="395">
        <f t="shared" ref="J52:S52" si="10">ROUNDDOWN(J51*0.3025,2)</f>
        <v>25.7</v>
      </c>
      <c r="K52" s="395">
        <f t="shared" si="10"/>
        <v>2.48</v>
      </c>
      <c r="L52" s="395">
        <f t="shared" si="10"/>
        <v>6.5</v>
      </c>
      <c r="M52" s="395">
        <f t="shared" si="10"/>
        <v>8.98</v>
      </c>
      <c r="N52" s="395">
        <f t="shared" si="10"/>
        <v>34.69</v>
      </c>
      <c r="O52" s="395">
        <f t="shared" si="10"/>
        <v>0.08</v>
      </c>
      <c r="P52" s="395">
        <f t="shared" si="10"/>
        <v>2.59</v>
      </c>
      <c r="Q52" s="395">
        <f t="shared" si="10"/>
        <v>31.53</v>
      </c>
      <c r="R52" s="395">
        <f t="shared" si="10"/>
        <v>34.200000000000003</v>
      </c>
      <c r="S52" s="395">
        <f t="shared" si="10"/>
        <v>68.900000000000006</v>
      </c>
      <c r="T52" s="1199"/>
      <c r="U52" s="173"/>
      <c r="V52" s="1193"/>
      <c r="Y52" s="130" t="s">
        <v>308</v>
      </c>
      <c r="Z52" s="130" t="s">
        <v>317</v>
      </c>
      <c r="AA52" s="130"/>
      <c r="AB52" s="130" t="s">
        <v>258</v>
      </c>
      <c r="AC52" s="130">
        <v>145</v>
      </c>
    </row>
    <row r="53" spans="2:29" ht="12" customHeight="1">
      <c r="B53" s="1127"/>
      <c r="C53" s="1121"/>
      <c r="D53" s="1121"/>
      <c r="E53" s="1402">
        <f>E47+E51</f>
        <v>1</v>
      </c>
      <c r="G53" s="1202" t="s">
        <v>82</v>
      </c>
      <c r="H53" s="1257">
        <f>SUM(H37:H52)</f>
        <v>149</v>
      </c>
      <c r="I53" s="397">
        <f>I43+I47+I51</f>
        <v>0.11288888888888889</v>
      </c>
      <c r="J53" s="398">
        <f>SUMPRODUCT(H37:H52,J37:J52)</f>
        <v>9263.51</v>
      </c>
      <c r="K53" s="398">
        <f>SUMPRODUCT(H37:H52,K37:K52)</f>
        <v>936.19999999999982</v>
      </c>
      <c r="L53" s="398">
        <f>SUMPRODUCT(H37:H52,L37:L52)</f>
        <v>2523.5</v>
      </c>
      <c r="M53" s="398">
        <f>K53+L53</f>
        <v>3459.7</v>
      </c>
      <c r="N53" s="398">
        <f>J53+M53</f>
        <v>12723.21</v>
      </c>
      <c r="O53" s="398">
        <f>SUMPRODUCT(H37:H52,O37:O52)</f>
        <v>30.379215896673724</v>
      </c>
      <c r="P53" s="398">
        <f>SUMPRODUCT(H37:H52,P37:P52)</f>
        <v>934.16088882271697</v>
      </c>
      <c r="Q53" s="398">
        <f>SUMPRODUCT(H37:H52,Q37:Q52)</f>
        <v>11361.826745355973</v>
      </c>
      <c r="R53" s="398">
        <f>O53+P53+Q53</f>
        <v>12326.366850075363</v>
      </c>
      <c r="S53" s="398">
        <f>N53+R53</f>
        <v>25049.576850075362</v>
      </c>
      <c r="T53" s="1206"/>
      <c r="U53" s="173"/>
      <c r="V53" s="1257">
        <f>SUM(V37:V52)</f>
        <v>99</v>
      </c>
      <c r="Y53" s="130" t="s">
        <v>309</v>
      </c>
      <c r="Z53" s="130" t="s">
        <v>318</v>
      </c>
      <c r="AA53" s="130"/>
      <c r="AB53" s="130" t="s">
        <v>312</v>
      </c>
      <c r="AC53" s="130">
        <v>2</v>
      </c>
    </row>
    <row r="54" spans="2:29" ht="12" customHeight="1">
      <c r="B54" s="1076"/>
      <c r="C54" s="1121"/>
      <c r="D54" s="1121"/>
      <c r="E54" s="1403"/>
      <c r="G54" s="1203"/>
      <c r="H54" s="1254"/>
      <c r="I54" s="399">
        <f>I44+I48+I52</f>
        <v>0.8523489932885906</v>
      </c>
      <c r="J54" s="400">
        <f t="shared" ref="J54:S54" si="11">ROUNDDOWN(J53*0.3025,2)</f>
        <v>2802.21</v>
      </c>
      <c r="K54" s="400">
        <f t="shared" si="11"/>
        <v>283.2</v>
      </c>
      <c r="L54" s="400">
        <f t="shared" si="11"/>
        <v>763.35</v>
      </c>
      <c r="M54" s="400">
        <f t="shared" si="11"/>
        <v>1046.55</v>
      </c>
      <c r="N54" s="400">
        <f t="shared" si="11"/>
        <v>3848.77</v>
      </c>
      <c r="O54" s="400">
        <f t="shared" si="11"/>
        <v>9.18</v>
      </c>
      <c r="P54" s="400">
        <f t="shared" si="11"/>
        <v>282.58</v>
      </c>
      <c r="Q54" s="400">
        <f t="shared" si="11"/>
        <v>3436.95</v>
      </c>
      <c r="R54" s="400">
        <f t="shared" si="11"/>
        <v>3728.72</v>
      </c>
      <c r="S54" s="400">
        <f t="shared" si="11"/>
        <v>7577.49</v>
      </c>
      <c r="T54" s="1207"/>
      <c r="U54" s="173"/>
      <c r="V54" s="1254"/>
      <c r="Y54" s="130" t="s">
        <v>310</v>
      </c>
      <c r="Z54" s="130" t="s">
        <v>319</v>
      </c>
      <c r="AA54" s="130"/>
      <c r="AB54" s="130" t="s">
        <v>313</v>
      </c>
      <c r="AC54" s="130">
        <v>58</v>
      </c>
    </row>
    <row r="55" spans="2:29" ht="12" hidden="1" customHeight="1">
      <c r="B55" s="86"/>
      <c r="C55" s="1121"/>
      <c r="D55" s="937"/>
      <c r="E55" s="937">
        <f>C55/$H$79</f>
        <v>0</v>
      </c>
      <c r="F55" s="1075"/>
      <c r="G55" s="86">
        <f>ROUNDDOWN(N56,0)</f>
        <v>17</v>
      </c>
      <c r="H55" s="935"/>
      <c r="I55" s="1401">
        <f>H55/$H$79</f>
        <v>0</v>
      </c>
      <c r="J55" s="401">
        <v>39.96</v>
      </c>
      <c r="K55" s="401">
        <v>3.65</v>
      </c>
      <c r="L55" s="401">
        <v>14.8</v>
      </c>
      <c r="M55" s="401">
        <f>K55+L55</f>
        <v>18.45</v>
      </c>
      <c r="N55" s="401">
        <f>J55+M55</f>
        <v>58.41</v>
      </c>
      <c r="O55" s="401">
        <f>$O$79/$J$79*J55</f>
        <v>0.13104681348981995</v>
      </c>
      <c r="P55" s="401">
        <f>$P$79/$J$79*J55</f>
        <v>4.0296895148119631</v>
      </c>
      <c r="Q55" s="401">
        <f>$Q$79/$J$79*J55</f>
        <v>49.011508245192658</v>
      </c>
      <c r="R55" s="401">
        <f>O55+P55+Q55</f>
        <v>53.172244573494439</v>
      </c>
      <c r="S55" s="401">
        <f>N55+R55</f>
        <v>111.58224457349444</v>
      </c>
      <c r="T55" s="898" t="s">
        <v>137</v>
      </c>
      <c r="U55" s="173"/>
      <c r="V55" s="935"/>
      <c r="Y55" s="130" t="s">
        <v>258</v>
      </c>
      <c r="Z55" s="130" t="s">
        <v>322</v>
      </c>
      <c r="AA55" s="130"/>
      <c r="AB55" s="130"/>
      <c r="AC55" s="130"/>
    </row>
    <row r="56" spans="2:29" ht="12" hidden="1" customHeight="1">
      <c r="B56" s="87"/>
      <c r="C56" s="1121"/>
      <c r="D56" s="938"/>
      <c r="E56" s="938"/>
      <c r="F56" s="1076"/>
      <c r="G56" s="87">
        <v>39</v>
      </c>
      <c r="H56" s="936"/>
      <c r="I56" s="1298"/>
      <c r="J56" s="402">
        <f t="shared" ref="J56:S56" si="12">ROUNDDOWN(J55*0.3025,2)</f>
        <v>12.08</v>
      </c>
      <c r="K56" s="402">
        <f t="shared" si="12"/>
        <v>1.1000000000000001</v>
      </c>
      <c r="L56" s="402">
        <f t="shared" si="12"/>
        <v>4.47</v>
      </c>
      <c r="M56" s="402">
        <f t="shared" si="12"/>
        <v>5.58</v>
      </c>
      <c r="N56" s="402">
        <f t="shared" si="12"/>
        <v>17.66</v>
      </c>
      <c r="O56" s="402">
        <f t="shared" si="12"/>
        <v>0.03</v>
      </c>
      <c r="P56" s="402">
        <f t="shared" si="12"/>
        <v>1.21</v>
      </c>
      <c r="Q56" s="402">
        <f t="shared" si="12"/>
        <v>14.82</v>
      </c>
      <c r="R56" s="402">
        <f t="shared" si="12"/>
        <v>16.079999999999998</v>
      </c>
      <c r="S56" s="402">
        <f t="shared" si="12"/>
        <v>33.75</v>
      </c>
      <c r="T56" s="899"/>
      <c r="U56" s="173"/>
      <c r="V56" s="936"/>
      <c r="Y56" s="130"/>
      <c r="Z56" s="130"/>
      <c r="AA56" s="130"/>
      <c r="AB56" s="130"/>
      <c r="AC56" s="130"/>
    </row>
    <row r="57" spans="2:29" ht="12" hidden="1" customHeight="1">
      <c r="B57" s="88"/>
      <c r="C57" s="1121"/>
      <c r="D57" s="940"/>
      <c r="E57" s="940">
        <f>H57/$H$77</f>
        <v>0</v>
      </c>
      <c r="F57" s="1075"/>
      <c r="G57" s="88">
        <f>ROUNDDOWN(N58,0)</f>
        <v>20</v>
      </c>
      <c r="H57" s="1085">
        <v>0</v>
      </c>
      <c r="I57" s="403">
        <f>H57/$H$79</f>
        <v>0</v>
      </c>
      <c r="J57" s="366">
        <v>49.8</v>
      </c>
      <c r="K57" s="366">
        <v>3.7</v>
      </c>
      <c r="L57" s="366">
        <v>14.2</v>
      </c>
      <c r="M57" s="366">
        <f>K57+L57</f>
        <v>17.899999999999999</v>
      </c>
      <c r="N57" s="366">
        <f>M57+J57</f>
        <v>67.699999999999989</v>
      </c>
      <c r="O57" s="366">
        <f>$O$79/$J$79*J57</f>
        <v>0.16331659939422002</v>
      </c>
      <c r="P57" s="366">
        <f>$P$79/$J$79*J57</f>
        <v>5.0219854313722658</v>
      </c>
      <c r="Q57" s="366">
        <f>$Q$79/$J$79*J57</f>
        <v>61.080408173438293</v>
      </c>
      <c r="R57" s="366">
        <f>O57+P57+Q57</f>
        <v>66.26571020420478</v>
      </c>
      <c r="S57" s="366">
        <f>N57+R57</f>
        <v>133.96571020420475</v>
      </c>
      <c r="T57" s="899"/>
      <c r="U57" s="173">
        <f>J57/N57</f>
        <v>0.73559822747415071</v>
      </c>
      <c r="V57" s="1085">
        <v>0</v>
      </c>
      <c r="Y57" s="130" t="s">
        <v>312</v>
      </c>
      <c r="Z57" s="130" t="s">
        <v>323</v>
      </c>
      <c r="AA57" s="130"/>
      <c r="AB57" s="130"/>
      <c r="AC57" s="130"/>
    </row>
    <row r="58" spans="2:29" ht="12" hidden="1" customHeight="1">
      <c r="B58" s="87"/>
      <c r="C58" s="1121"/>
      <c r="D58" s="938"/>
      <c r="E58" s="938"/>
      <c r="F58" s="1076"/>
      <c r="G58" s="87">
        <f>ROUNDDOWN(J57,0)</f>
        <v>49</v>
      </c>
      <c r="H58" s="936"/>
      <c r="I58" s="404">
        <f>H57/$H$77</f>
        <v>0</v>
      </c>
      <c r="J58" s="402">
        <f t="shared" ref="J58:S58" si="13">ROUNDDOWN(J57*0.3025,2)</f>
        <v>15.06</v>
      </c>
      <c r="K58" s="402">
        <f t="shared" si="13"/>
        <v>1.1100000000000001</v>
      </c>
      <c r="L58" s="402">
        <f t="shared" si="13"/>
        <v>4.29</v>
      </c>
      <c r="M58" s="402">
        <f t="shared" si="13"/>
        <v>5.41</v>
      </c>
      <c r="N58" s="402">
        <f t="shared" si="13"/>
        <v>20.47</v>
      </c>
      <c r="O58" s="402">
        <f t="shared" si="13"/>
        <v>0.04</v>
      </c>
      <c r="P58" s="402">
        <f t="shared" si="13"/>
        <v>1.51</v>
      </c>
      <c r="Q58" s="402">
        <f t="shared" si="13"/>
        <v>18.47</v>
      </c>
      <c r="R58" s="402">
        <f t="shared" si="13"/>
        <v>20.04</v>
      </c>
      <c r="S58" s="402">
        <f t="shared" si="13"/>
        <v>40.520000000000003</v>
      </c>
      <c r="T58" s="899"/>
      <c r="U58" s="173"/>
      <c r="V58" s="936"/>
      <c r="Y58" s="382" t="s">
        <v>313</v>
      </c>
      <c r="Z58" s="382" t="s">
        <v>324</v>
      </c>
      <c r="AA58" s="382"/>
      <c r="AB58" s="382"/>
      <c r="AC58" s="382"/>
    </row>
    <row r="59" spans="2:29" ht="12" customHeight="1">
      <c r="B59" s="88"/>
      <c r="C59" s="1121">
        <f>H63+H51</f>
        <v>490</v>
      </c>
      <c r="D59" s="940"/>
      <c r="E59" s="940">
        <f>H59/$H$77</f>
        <v>8.6065573770491802E-2</v>
      </c>
      <c r="F59" s="939">
        <v>132</v>
      </c>
      <c r="G59" s="88">
        <f>ROUNDDOWN(N60,0)</f>
        <v>24</v>
      </c>
      <c r="H59" s="939">
        <v>84</v>
      </c>
      <c r="I59" s="403">
        <f>H59/$H$79</f>
        <v>7.4666666666666673E-2</v>
      </c>
      <c r="J59" s="366">
        <v>59.99</v>
      </c>
      <c r="K59" s="366">
        <v>6.1</v>
      </c>
      <c r="L59" s="366">
        <v>16.5</v>
      </c>
      <c r="M59" s="366">
        <f>K59+L59</f>
        <v>22.6</v>
      </c>
      <c r="N59" s="366">
        <f>M59+J59</f>
        <v>82.59</v>
      </c>
      <c r="O59" s="366">
        <f>$O$79/$J$79*J59</f>
        <v>0.19673419272408155</v>
      </c>
      <c r="P59" s="366">
        <f>$P$79/$J$79*J59</f>
        <v>6.0495764262655074</v>
      </c>
      <c r="Q59" s="366">
        <f>$Q$79/$J$79*J59</f>
        <v>73.578588078806504</v>
      </c>
      <c r="R59" s="366">
        <f>O59+P59+Q59</f>
        <v>79.824898697796087</v>
      </c>
      <c r="S59" s="367">
        <f>N59+R59</f>
        <v>162.4148986977961</v>
      </c>
      <c r="T59" s="899"/>
      <c r="U59" s="173">
        <f>J59/N59</f>
        <v>0.72635912338055453</v>
      </c>
      <c r="V59" s="939">
        <f>54+(67-17)</f>
        <v>104</v>
      </c>
      <c r="Y59" s="2" t="s">
        <v>256</v>
      </c>
      <c r="Z59" s="2" t="s">
        <v>320</v>
      </c>
    </row>
    <row r="60" spans="2:29" ht="12" customHeight="1">
      <c r="B60" s="87"/>
      <c r="C60" s="1121"/>
      <c r="D60" s="938"/>
      <c r="E60" s="938"/>
      <c r="F60" s="936"/>
      <c r="G60" s="87">
        <f>ROUNDDOWN(J59,0)</f>
        <v>59</v>
      </c>
      <c r="H60" s="936"/>
      <c r="I60" s="404">
        <f>H59/$H$77</f>
        <v>8.6065573770491802E-2</v>
      </c>
      <c r="J60" s="402">
        <f t="shared" ref="J60:S60" si="14">ROUNDDOWN(J59*0.3025,2)</f>
        <v>18.14</v>
      </c>
      <c r="K60" s="402">
        <f t="shared" si="14"/>
        <v>1.84</v>
      </c>
      <c r="L60" s="402">
        <f t="shared" si="14"/>
        <v>4.99</v>
      </c>
      <c r="M60" s="402">
        <f t="shared" si="14"/>
        <v>6.83</v>
      </c>
      <c r="N60" s="402">
        <f t="shared" si="14"/>
        <v>24.98</v>
      </c>
      <c r="O60" s="402">
        <f t="shared" si="14"/>
        <v>0.05</v>
      </c>
      <c r="P60" s="402">
        <f t="shared" si="14"/>
        <v>1.82</v>
      </c>
      <c r="Q60" s="402">
        <f t="shared" si="14"/>
        <v>22.25</v>
      </c>
      <c r="R60" s="402">
        <f t="shared" si="14"/>
        <v>24.14</v>
      </c>
      <c r="S60" s="402">
        <f t="shared" si="14"/>
        <v>49.13</v>
      </c>
      <c r="T60" s="899"/>
      <c r="U60" s="173"/>
      <c r="V60" s="936"/>
      <c r="Y60" s="2" t="s">
        <v>311</v>
      </c>
      <c r="Z60" s="2" t="s">
        <v>321</v>
      </c>
    </row>
    <row r="61" spans="2:29" ht="12" customHeight="1">
      <c r="B61" s="88"/>
      <c r="C61" s="1121"/>
      <c r="D61" s="940"/>
      <c r="E61" s="940">
        <f>H61/$H$77</f>
        <v>0.25204918032786883</v>
      </c>
      <c r="F61" s="939">
        <v>250</v>
      </c>
      <c r="G61" s="88">
        <f>ROUNDDOWN(N62,0)</f>
        <v>30</v>
      </c>
      <c r="H61" s="939">
        <v>246</v>
      </c>
      <c r="I61" s="405">
        <f>H61/$H$79</f>
        <v>0.21866666666666668</v>
      </c>
      <c r="J61" s="366">
        <v>74.989999999999995</v>
      </c>
      <c r="K61" s="366">
        <v>7.03</v>
      </c>
      <c r="L61" s="366">
        <v>18.5</v>
      </c>
      <c r="M61" s="366">
        <f>K61+L61</f>
        <v>25.53</v>
      </c>
      <c r="N61" s="366">
        <f>J61+M61</f>
        <v>100.52</v>
      </c>
      <c r="O61" s="366">
        <f>$O$79/$J$79*J61</f>
        <v>0.24592593952956948</v>
      </c>
      <c r="P61" s="366">
        <f>$P$79/$J$79*J61</f>
        <v>7.5622226405342614</v>
      </c>
      <c r="Q61" s="366">
        <f>$Q$79/$J$79*J61</f>
        <v>91.976301384058985</v>
      </c>
      <c r="R61" s="366">
        <f>O61+P61+Q61</f>
        <v>99.784449964122814</v>
      </c>
      <c r="S61" s="366">
        <f>N61+R61</f>
        <v>200.3044499641228</v>
      </c>
      <c r="T61" s="899"/>
      <c r="U61" s="173">
        <f>J61/N61</f>
        <v>0.74602069239952251</v>
      </c>
      <c r="V61" s="939">
        <f>219+14</f>
        <v>233</v>
      </c>
      <c r="Y61" s="2" t="s">
        <v>258</v>
      </c>
      <c r="Z61" s="2" t="s">
        <v>322</v>
      </c>
    </row>
    <row r="62" spans="2:29" ht="12" customHeight="1">
      <c r="B62" s="87"/>
      <c r="C62" s="1121"/>
      <c r="D62" s="938"/>
      <c r="E62" s="938"/>
      <c r="F62" s="936"/>
      <c r="G62" s="87">
        <f>ROUNDDOWN(J61,0)</f>
        <v>74</v>
      </c>
      <c r="H62" s="936"/>
      <c r="I62" s="404">
        <f>H61/$H$77</f>
        <v>0.25204918032786883</v>
      </c>
      <c r="J62" s="402">
        <f t="shared" ref="J62:S62" si="15">ROUNDDOWN(J61*0.3025,2)</f>
        <v>22.68</v>
      </c>
      <c r="K62" s="402">
        <f t="shared" si="15"/>
        <v>2.12</v>
      </c>
      <c r="L62" s="402">
        <f t="shared" si="15"/>
        <v>5.59</v>
      </c>
      <c r="M62" s="402">
        <f t="shared" si="15"/>
        <v>7.72</v>
      </c>
      <c r="N62" s="402">
        <f t="shared" si="15"/>
        <v>30.4</v>
      </c>
      <c r="O62" s="402">
        <f t="shared" si="15"/>
        <v>7.0000000000000007E-2</v>
      </c>
      <c r="P62" s="402">
        <f t="shared" si="15"/>
        <v>2.2799999999999998</v>
      </c>
      <c r="Q62" s="402">
        <f t="shared" si="15"/>
        <v>27.82</v>
      </c>
      <c r="R62" s="402">
        <f t="shared" si="15"/>
        <v>30.18</v>
      </c>
      <c r="S62" s="402">
        <f t="shared" si="15"/>
        <v>60.59</v>
      </c>
      <c r="T62" s="899"/>
      <c r="U62" s="173"/>
      <c r="V62" s="936"/>
      <c r="Y62" s="2" t="s">
        <v>312</v>
      </c>
      <c r="Z62" s="2" t="s">
        <v>323</v>
      </c>
    </row>
    <row r="63" spans="2:29" ht="12" customHeight="1">
      <c r="B63" s="88"/>
      <c r="C63" s="1121"/>
      <c r="D63" s="940"/>
      <c r="E63" s="940">
        <f>H63/$H$77</f>
        <v>0.49077868852459017</v>
      </c>
      <c r="F63" s="939">
        <v>478</v>
      </c>
      <c r="G63" s="88">
        <f>ROUNDDOWN(N64,0)</f>
        <v>34</v>
      </c>
      <c r="H63" s="939">
        <v>479</v>
      </c>
      <c r="I63" s="403">
        <f>H63/$H$79</f>
        <v>0.42577777777777776</v>
      </c>
      <c r="J63" s="366">
        <v>84.99</v>
      </c>
      <c r="K63" s="366">
        <v>8.1999999999999993</v>
      </c>
      <c r="L63" s="366">
        <v>21.5</v>
      </c>
      <c r="M63" s="366">
        <f>K63+L63</f>
        <v>29.7</v>
      </c>
      <c r="N63" s="366">
        <f>J63+M63</f>
        <v>114.69</v>
      </c>
      <c r="O63" s="366">
        <f>$O$79/$J$79*J63</f>
        <v>0.27872043739989477</v>
      </c>
      <c r="P63" s="366">
        <f>$P$79/$J$79*J63</f>
        <v>8.5706534500467644</v>
      </c>
      <c r="Q63" s="366">
        <f>$Q$79/$J$79*J63</f>
        <v>104.24144358756065</v>
      </c>
      <c r="R63" s="366">
        <f>O63+P63+Q63</f>
        <v>113.09081747500731</v>
      </c>
      <c r="S63" s="366">
        <f>N63+R63</f>
        <v>227.78081747500732</v>
      </c>
      <c r="T63" s="899"/>
      <c r="U63" s="173">
        <f>J63/N63</f>
        <v>0.74104106722469265</v>
      </c>
      <c r="V63" s="939">
        <f>337+(89+12)</f>
        <v>438</v>
      </c>
      <c r="Y63" s="2" t="s">
        <v>313</v>
      </c>
      <c r="Z63" s="2" t="s">
        <v>324</v>
      </c>
    </row>
    <row r="64" spans="2:29" ht="12" customHeight="1">
      <c r="B64" s="87"/>
      <c r="C64" s="1121"/>
      <c r="D64" s="938"/>
      <c r="E64" s="938"/>
      <c r="F64" s="936"/>
      <c r="G64" s="87">
        <f>ROUNDDOWN(J63,0)</f>
        <v>84</v>
      </c>
      <c r="H64" s="936"/>
      <c r="I64" s="404">
        <f>H63/$H$77</f>
        <v>0.49077868852459017</v>
      </c>
      <c r="J64" s="402">
        <f t="shared" ref="J64:S64" si="16">ROUNDDOWN(J63*0.3025,2)</f>
        <v>25.7</v>
      </c>
      <c r="K64" s="402">
        <f t="shared" si="16"/>
        <v>2.48</v>
      </c>
      <c r="L64" s="402">
        <f t="shared" si="16"/>
        <v>6.5</v>
      </c>
      <c r="M64" s="402">
        <f t="shared" si="16"/>
        <v>8.98</v>
      </c>
      <c r="N64" s="402">
        <f t="shared" si="16"/>
        <v>34.69</v>
      </c>
      <c r="O64" s="402">
        <f t="shared" si="16"/>
        <v>0.08</v>
      </c>
      <c r="P64" s="402">
        <f t="shared" si="16"/>
        <v>2.59</v>
      </c>
      <c r="Q64" s="402">
        <f t="shared" si="16"/>
        <v>31.53</v>
      </c>
      <c r="R64" s="402">
        <f t="shared" si="16"/>
        <v>34.200000000000003</v>
      </c>
      <c r="S64" s="402">
        <f t="shared" si="16"/>
        <v>68.900000000000006</v>
      </c>
      <c r="T64" s="899"/>
      <c r="U64" s="173"/>
      <c r="V64" s="936"/>
    </row>
    <row r="65" spans="2:22" ht="12" customHeight="1">
      <c r="B65" s="88"/>
      <c r="C65" s="1121"/>
      <c r="D65" s="940"/>
      <c r="E65" s="940">
        <f>C65/$H$79</f>
        <v>0</v>
      </c>
      <c r="F65" s="939">
        <v>59</v>
      </c>
      <c r="G65" s="88">
        <f>ROUNDDOWN(N66,0)</f>
        <v>40</v>
      </c>
      <c r="H65" s="939">
        <v>83</v>
      </c>
      <c r="I65" s="403">
        <f>H65/$H$79</f>
        <v>7.3777777777777775E-2</v>
      </c>
      <c r="J65" s="366">
        <v>99.99</v>
      </c>
      <c r="K65" s="366">
        <v>8.7200000000000006</v>
      </c>
      <c r="L65" s="366">
        <v>23.8</v>
      </c>
      <c r="M65" s="366">
        <f>K65+L65</f>
        <v>32.520000000000003</v>
      </c>
      <c r="N65" s="366">
        <f>J65+M65</f>
        <v>132.51</v>
      </c>
      <c r="O65" s="366">
        <f>$O$79/$J$79*J65</f>
        <v>0.32791218420538276</v>
      </c>
      <c r="P65" s="366">
        <f>$P$79/$J$79*J65</f>
        <v>10.08329966431552</v>
      </c>
      <c r="Q65" s="366">
        <f>$Q$79/$J$79*J65</f>
        <v>122.63915689281316</v>
      </c>
      <c r="R65" s="366">
        <f>O65+P65+Q65</f>
        <v>133.05036874133407</v>
      </c>
      <c r="S65" s="366">
        <f>N65+R65</f>
        <v>265.56036874133406</v>
      </c>
      <c r="T65" s="899"/>
      <c r="U65" s="173"/>
      <c r="V65" s="939">
        <v>59</v>
      </c>
    </row>
    <row r="66" spans="2:22" ht="12" customHeight="1">
      <c r="B66" s="272"/>
      <c r="C66" s="1121"/>
      <c r="D66" s="938"/>
      <c r="E66" s="938"/>
      <c r="F66" s="936"/>
      <c r="G66" s="87">
        <f>ROUNDDOWN(J65,0)</f>
        <v>99</v>
      </c>
      <c r="H66" s="936"/>
      <c r="I66" s="404">
        <f>H65/$H$77</f>
        <v>8.5040983606557374E-2</v>
      </c>
      <c r="J66" s="402">
        <f t="shared" ref="J66:S66" si="17">ROUNDDOWN(J65*0.3025,2)</f>
        <v>30.24</v>
      </c>
      <c r="K66" s="402">
        <f t="shared" si="17"/>
        <v>2.63</v>
      </c>
      <c r="L66" s="402">
        <f t="shared" si="17"/>
        <v>7.19</v>
      </c>
      <c r="M66" s="402">
        <f t="shared" si="17"/>
        <v>9.83</v>
      </c>
      <c r="N66" s="402">
        <f t="shared" si="17"/>
        <v>40.08</v>
      </c>
      <c r="O66" s="402">
        <f t="shared" si="17"/>
        <v>0.09</v>
      </c>
      <c r="P66" s="402">
        <f t="shared" si="17"/>
        <v>3.05</v>
      </c>
      <c r="Q66" s="402">
        <f t="shared" si="17"/>
        <v>37.090000000000003</v>
      </c>
      <c r="R66" s="402">
        <f t="shared" si="17"/>
        <v>40.24</v>
      </c>
      <c r="S66" s="402">
        <f t="shared" si="17"/>
        <v>80.33</v>
      </c>
      <c r="T66" s="899"/>
      <c r="U66" s="173"/>
      <c r="V66" s="936"/>
    </row>
    <row r="67" spans="2:22" ht="12" customHeight="1">
      <c r="B67" s="323"/>
      <c r="C67" s="308"/>
      <c r="D67" s="305"/>
      <c r="E67" s="940">
        <f>H67/$H$77</f>
        <v>8.5040983606557374E-2</v>
      </c>
      <c r="F67" s="939">
        <v>30</v>
      </c>
      <c r="G67" s="88">
        <f>ROUNDDOWN(N68,0)</f>
        <v>45</v>
      </c>
      <c r="H67" s="939">
        <v>83</v>
      </c>
      <c r="I67" s="403">
        <f>H67/$H$79</f>
        <v>7.3777777777777775E-2</v>
      </c>
      <c r="J67" s="366">
        <v>114.99</v>
      </c>
      <c r="K67" s="366">
        <v>9.1999999999999993</v>
      </c>
      <c r="L67" s="366">
        <v>25.5</v>
      </c>
      <c r="M67" s="366">
        <f>K67+L67</f>
        <v>34.700000000000003</v>
      </c>
      <c r="N67" s="366">
        <f>J67+M67</f>
        <v>149.69</v>
      </c>
      <c r="O67" s="366">
        <f>$O$79/$J$79*J67</f>
        <v>0.3771039310108707</v>
      </c>
      <c r="P67" s="366">
        <f>$P$79/$J$79*J67</f>
        <v>11.595945878584274</v>
      </c>
      <c r="Q67" s="366">
        <f>$Q$79/$J$79*J67</f>
        <v>141.03687019806566</v>
      </c>
      <c r="R67" s="366">
        <f>O67+P67+Q67</f>
        <v>153.00992000766081</v>
      </c>
      <c r="S67" s="366">
        <f>N67+R67</f>
        <v>302.69992000766081</v>
      </c>
      <c r="T67" s="899"/>
      <c r="U67" s="173">
        <f>J67/N67</f>
        <v>0.76818758768120776</v>
      </c>
      <c r="V67" s="939">
        <v>30</v>
      </c>
    </row>
    <row r="68" spans="2:22" ht="12" customHeight="1">
      <c r="B68" s="323"/>
      <c r="C68" s="308"/>
      <c r="D68" s="305"/>
      <c r="E68" s="938"/>
      <c r="F68" s="936"/>
      <c r="G68" s="87">
        <f>ROUNDDOWN(J67,0)</f>
        <v>114</v>
      </c>
      <c r="H68" s="936"/>
      <c r="I68" s="404">
        <f>H67/$H$77</f>
        <v>8.5040983606557374E-2</v>
      </c>
      <c r="J68" s="402">
        <f t="shared" ref="J68:S68" si="18">ROUNDDOWN(J67*0.3025,2)</f>
        <v>34.78</v>
      </c>
      <c r="K68" s="402">
        <f t="shared" si="18"/>
        <v>2.78</v>
      </c>
      <c r="L68" s="402">
        <f t="shared" si="18"/>
        <v>7.71</v>
      </c>
      <c r="M68" s="402">
        <f t="shared" si="18"/>
        <v>10.49</v>
      </c>
      <c r="N68" s="402">
        <f t="shared" si="18"/>
        <v>45.28</v>
      </c>
      <c r="O68" s="402">
        <f t="shared" si="18"/>
        <v>0.11</v>
      </c>
      <c r="P68" s="402">
        <f t="shared" si="18"/>
        <v>3.5</v>
      </c>
      <c r="Q68" s="402">
        <f t="shared" si="18"/>
        <v>42.66</v>
      </c>
      <c r="R68" s="402">
        <f t="shared" si="18"/>
        <v>46.28</v>
      </c>
      <c r="S68" s="402">
        <f t="shared" si="18"/>
        <v>91.56</v>
      </c>
      <c r="T68" s="899"/>
      <c r="U68" s="173"/>
      <c r="V68" s="936"/>
    </row>
    <row r="69" spans="2:22" ht="12" hidden="1" customHeight="1">
      <c r="B69" s="323"/>
      <c r="C69" s="308"/>
      <c r="D69" s="305"/>
      <c r="E69" s="1084">
        <f>C69/$H$79</f>
        <v>0</v>
      </c>
      <c r="F69" s="1085">
        <v>0</v>
      </c>
      <c r="G69" s="88">
        <f>ROUNDDOWN(N70,0)</f>
        <v>50</v>
      </c>
      <c r="H69" s="1085">
        <v>0</v>
      </c>
      <c r="I69" s="408">
        <f>H69/$H$79</f>
        <v>0</v>
      </c>
      <c r="J69" s="366">
        <v>129.97999999999999</v>
      </c>
      <c r="K69" s="366">
        <v>10.72</v>
      </c>
      <c r="L69" s="366">
        <v>26.8</v>
      </c>
      <c r="M69" s="366">
        <f>K69+L69</f>
        <v>37.520000000000003</v>
      </c>
      <c r="N69" s="366">
        <f>J69+M69</f>
        <v>167.5</v>
      </c>
      <c r="O69" s="366">
        <f>$O$79/$J$79*J69</f>
        <v>0.42626288331848833</v>
      </c>
      <c r="P69" s="366">
        <f>$P$79/$J$79*J69</f>
        <v>13.107583662043517</v>
      </c>
      <c r="Q69" s="366">
        <f>$Q$79/$J$79*J69</f>
        <v>159.42231836111466</v>
      </c>
      <c r="R69" s="366">
        <f>O69+P69+Q69</f>
        <v>172.95616490647666</v>
      </c>
      <c r="S69" s="366">
        <f>N69+R69</f>
        <v>340.45616490647666</v>
      </c>
      <c r="T69" s="899"/>
      <c r="U69" s="173"/>
      <c r="V69" s="1085">
        <v>0</v>
      </c>
    </row>
    <row r="70" spans="2:22" ht="12" hidden="1" customHeight="1">
      <c r="B70" s="323"/>
      <c r="C70" s="308"/>
      <c r="D70" s="305"/>
      <c r="E70" s="938"/>
      <c r="F70" s="936"/>
      <c r="G70" s="87">
        <f>ROUNDDOWN(J69,0)</f>
        <v>129</v>
      </c>
      <c r="H70" s="936"/>
      <c r="I70" s="404">
        <f>H69/$H$77</f>
        <v>0</v>
      </c>
      <c r="J70" s="402">
        <f t="shared" ref="J70:S70" si="19">ROUNDDOWN(J69*0.3025,2)</f>
        <v>39.31</v>
      </c>
      <c r="K70" s="402">
        <f t="shared" si="19"/>
        <v>3.24</v>
      </c>
      <c r="L70" s="402">
        <f t="shared" si="19"/>
        <v>8.1</v>
      </c>
      <c r="M70" s="402">
        <f t="shared" si="19"/>
        <v>11.34</v>
      </c>
      <c r="N70" s="402">
        <f t="shared" si="19"/>
        <v>50.66</v>
      </c>
      <c r="O70" s="402">
        <f t="shared" si="19"/>
        <v>0.12</v>
      </c>
      <c r="P70" s="402">
        <f t="shared" si="19"/>
        <v>3.96</v>
      </c>
      <c r="Q70" s="402">
        <f t="shared" si="19"/>
        <v>48.22</v>
      </c>
      <c r="R70" s="402">
        <f t="shared" si="19"/>
        <v>52.31</v>
      </c>
      <c r="S70" s="402">
        <f t="shared" si="19"/>
        <v>102.98</v>
      </c>
      <c r="T70" s="899"/>
      <c r="U70" s="173"/>
      <c r="V70" s="936"/>
    </row>
    <row r="71" spans="2:22" ht="12" hidden="1" customHeight="1">
      <c r="B71" s="88"/>
      <c r="C71" s="1121"/>
      <c r="D71" s="1084"/>
      <c r="E71" s="1084">
        <f>C71/$H$79</f>
        <v>0</v>
      </c>
      <c r="F71" s="1085"/>
      <c r="G71" s="88">
        <f>ROUNDDOWN(N72,0)</f>
        <v>59</v>
      </c>
      <c r="H71" s="1085"/>
      <c r="I71" s="408">
        <f>H71/$H$79</f>
        <v>0</v>
      </c>
      <c r="J71" s="409">
        <v>158.97999999999999</v>
      </c>
      <c r="K71" s="409">
        <v>11.28</v>
      </c>
      <c r="L71" s="409">
        <v>25.54</v>
      </c>
      <c r="M71" s="409">
        <f>K71+L71</f>
        <v>36.82</v>
      </c>
      <c r="N71" s="409">
        <f>J71+M71</f>
        <v>195.79999999999998</v>
      </c>
      <c r="O71" s="409">
        <f>$O$79/$J$79*J71</f>
        <v>0.52136692714243171</v>
      </c>
      <c r="P71" s="409">
        <f>$P$79/$J$79*J71</f>
        <v>16.032033009629778</v>
      </c>
      <c r="Q71" s="409">
        <f>$Q$79/$J$79*J71</f>
        <v>194.99123075126948</v>
      </c>
      <c r="R71" s="409">
        <f>O71+P71+Q71</f>
        <v>211.54463068804171</v>
      </c>
      <c r="S71" s="409">
        <f>N71+R71</f>
        <v>407.34463068804166</v>
      </c>
      <c r="T71" s="899"/>
      <c r="U71" s="173"/>
      <c r="V71" s="1085"/>
    </row>
    <row r="72" spans="2:22" ht="12" hidden="1" customHeight="1">
      <c r="B72" s="87"/>
      <c r="C72" s="1121"/>
      <c r="D72" s="938"/>
      <c r="E72" s="938"/>
      <c r="F72" s="936"/>
      <c r="G72" s="87">
        <f>ROUNDDOWN(J71,0)</f>
        <v>158</v>
      </c>
      <c r="H72" s="936"/>
      <c r="I72" s="414"/>
      <c r="J72" s="402">
        <f t="shared" ref="J72:S72" si="20">ROUNDDOWN(J71*0.3025,2)</f>
        <v>48.09</v>
      </c>
      <c r="K72" s="402">
        <f t="shared" si="20"/>
        <v>3.41</v>
      </c>
      <c r="L72" s="402">
        <f t="shared" si="20"/>
        <v>7.72</v>
      </c>
      <c r="M72" s="402">
        <f t="shared" si="20"/>
        <v>11.13</v>
      </c>
      <c r="N72" s="402">
        <f t="shared" si="20"/>
        <v>59.22</v>
      </c>
      <c r="O72" s="402">
        <f t="shared" si="20"/>
        <v>0.15</v>
      </c>
      <c r="P72" s="402">
        <f t="shared" si="20"/>
        <v>4.84</v>
      </c>
      <c r="Q72" s="402">
        <f t="shared" si="20"/>
        <v>58.98</v>
      </c>
      <c r="R72" s="402">
        <f t="shared" si="20"/>
        <v>63.99</v>
      </c>
      <c r="S72" s="402">
        <f t="shared" si="20"/>
        <v>123.22</v>
      </c>
      <c r="T72" s="899"/>
      <c r="U72" s="173"/>
      <c r="V72" s="936"/>
    </row>
    <row r="73" spans="2:22" ht="12" hidden="1" customHeight="1">
      <c r="B73" s="324"/>
      <c r="C73" s="308"/>
      <c r="D73" s="305"/>
      <c r="E73" s="940" t="e">
        <f>C73/$H$76</f>
        <v>#DIV/0!</v>
      </c>
      <c r="F73" s="939"/>
      <c r="G73" s="88">
        <f>ROUNDDOWN(N74,0)</f>
        <v>62</v>
      </c>
      <c r="H73" s="939"/>
      <c r="I73" s="410" t="e">
        <f>H73/$H$76</f>
        <v>#DIV/0!</v>
      </c>
      <c r="J73" s="409">
        <v>165.89</v>
      </c>
      <c r="K73" s="409">
        <v>13.45</v>
      </c>
      <c r="L73" s="409">
        <v>26.42</v>
      </c>
      <c r="M73" s="409">
        <f>K73+L73</f>
        <v>39.870000000000005</v>
      </c>
      <c r="N73" s="409">
        <f>J73+M73</f>
        <v>205.76</v>
      </c>
      <c r="O73" s="409">
        <f>$O$76/$J$76*J73</f>
        <v>0.53280370300396751</v>
      </c>
      <c r="P73" s="409">
        <f>$P$76/$J$76*J73</f>
        <v>16.704963158889097</v>
      </c>
      <c r="Q73" s="409">
        <f>$Q$76/$J$76*J73</f>
        <v>203.46833175892689</v>
      </c>
      <c r="R73" s="409">
        <f>O73+P73+Q73</f>
        <v>220.70609862081994</v>
      </c>
      <c r="S73" s="409">
        <f>N73+R73</f>
        <v>426.46609862081993</v>
      </c>
      <c r="T73" s="899"/>
      <c r="U73" s="173"/>
      <c r="V73" s="939"/>
    </row>
    <row r="74" spans="2:22" ht="12" hidden="1" customHeight="1">
      <c r="B74" s="324"/>
      <c r="C74" s="308"/>
      <c r="D74" s="305"/>
      <c r="E74" s="938"/>
      <c r="F74" s="936"/>
      <c r="G74" s="87">
        <f>ROUNDDOWN(J73,0)</f>
        <v>165</v>
      </c>
      <c r="H74" s="936"/>
      <c r="I74" s="414"/>
      <c r="J74" s="402">
        <f t="shared" ref="J74:S74" si="21">ROUNDDOWN(J73*0.3025,2)</f>
        <v>50.18</v>
      </c>
      <c r="K74" s="402">
        <f t="shared" si="21"/>
        <v>4.0599999999999996</v>
      </c>
      <c r="L74" s="402">
        <f t="shared" si="21"/>
        <v>7.99</v>
      </c>
      <c r="M74" s="402">
        <f t="shared" si="21"/>
        <v>12.06</v>
      </c>
      <c r="N74" s="402">
        <f t="shared" si="21"/>
        <v>62.24</v>
      </c>
      <c r="O74" s="402">
        <f t="shared" si="21"/>
        <v>0.16</v>
      </c>
      <c r="P74" s="402">
        <f t="shared" si="21"/>
        <v>5.05</v>
      </c>
      <c r="Q74" s="402">
        <f t="shared" si="21"/>
        <v>61.54</v>
      </c>
      <c r="R74" s="402">
        <f t="shared" si="21"/>
        <v>66.760000000000005</v>
      </c>
      <c r="S74" s="402">
        <f t="shared" si="21"/>
        <v>129</v>
      </c>
      <c r="T74" s="899"/>
      <c r="U74" s="173"/>
      <c r="V74" s="936"/>
    </row>
    <row r="75" spans="2:22" ht="12" customHeight="1">
      <c r="B75" s="88"/>
      <c r="C75" s="1121"/>
      <c r="D75" s="940"/>
      <c r="E75" s="940">
        <f>C75/$H$79</f>
        <v>0</v>
      </c>
      <c r="F75" s="939">
        <v>2</v>
      </c>
      <c r="G75" s="88">
        <f>ROUNDDOWN(N76,0)</f>
        <v>66</v>
      </c>
      <c r="H75" s="939">
        <v>1</v>
      </c>
      <c r="I75" s="410">
        <f>H75/$H$79</f>
        <v>8.8888888888888893E-4</v>
      </c>
      <c r="J75" s="366">
        <v>175</v>
      </c>
      <c r="K75" s="366">
        <v>15.3</v>
      </c>
      <c r="L75" s="366">
        <v>30.85</v>
      </c>
      <c r="M75" s="366">
        <f>K75+L75</f>
        <v>46.150000000000006</v>
      </c>
      <c r="N75" s="366">
        <f>J75+M75</f>
        <v>221.15</v>
      </c>
      <c r="O75" s="366">
        <f>$O$79/$J$79*J75</f>
        <v>0.57390371273069296</v>
      </c>
      <c r="P75" s="366">
        <f>$P$79/$J$79*J75</f>
        <v>17.647539166468807</v>
      </c>
      <c r="Q75" s="366">
        <f>$Q$79/$J$79*J75</f>
        <v>214.63998856127915</v>
      </c>
      <c r="R75" s="366">
        <f>O75+P75+Q75</f>
        <v>232.86143144047867</v>
      </c>
      <c r="S75" s="366">
        <f>N75+R75</f>
        <v>454.01143144047865</v>
      </c>
      <c r="T75" s="899"/>
      <c r="U75" s="173"/>
      <c r="V75" s="939">
        <v>2</v>
      </c>
    </row>
    <row r="76" spans="2:22" ht="12" customHeight="1">
      <c r="B76" s="87"/>
      <c r="C76" s="1121"/>
      <c r="D76" s="938"/>
      <c r="E76" s="938"/>
      <c r="F76" s="936"/>
      <c r="G76" s="273">
        <f>ROUNDDOWN(J75,0)</f>
        <v>175</v>
      </c>
      <c r="H76" s="936"/>
      <c r="I76" s="404">
        <f>H75/$H$77</f>
        <v>1.0245901639344263E-3</v>
      </c>
      <c r="J76" s="402">
        <f t="shared" ref="J76:S76" si="22">ROUNDDOWN(J75*0.3025,2)</f>
        <v>52.93</v>
      </c>
      <c r="K76" s="402">
        <f t="shared" si="22"/>
        <v>4.62</v>
      </c>
      <c r="L76" s="402">
        <f t="shared" si="22"/>
        <v>9.33</v>
      </c>
      <c r="M76" s="402">
        <f t="shared" si="22"/>
        <v>13.96</v>
      </c>
      <c r="N76" s="402">
        <f t="shared" si="22"/>
        <v>66.89</v>
      </c>
      <c r="O76" s="402">
        <f t="shared" si="22"/>
        <v>0.17</v>
      </c>
      <c r="P76" s="402">
        <f t="shared" si="22"/>
        <v>5.33</v>
      </c>
      <c r="Q76" s="402">
        <f t="shared" si="22"/>
        <v>64.92</v>
      </c>
      <c r="R76" s="402">
        <f t="shared" si="22"/>
        <v>70.44</v>
      </c>
      <c r="S76" s="402">
        <f t="shared" si="22"/>
        <v>137.33000000000001</v>
      </c>
      <c r="T76" s="899"/>
      <c r="U76" s="173"/>
      <c r="V76" s="936"/>
    </row>
    <row r="77" spans="2:22" ht="12" customHeight="1">
      <c r="B77" s="130"/>
      <c r="C77" s="130"/>
      <c r="D77" s="1131"/>
      <c r="E77" s="1131">
        <f>E57+E59+E61+E63+E67</f>
        <v>0.91393442622950816</v>
      </c>
      <c r="F77" s="77"/>
      <c r="G77" s="1202" t="s">
        <v>82</v>
      </c>
      <c r="H77" s="1253">
        <f>SUM(H55:H76)</f>
        <v>976</v>
      </c>
      <c r="I77" s="371">
        <f>I57+I59+I61+I63+I67+I65+I69+I75</f>
        <v>0.86755555555555541</v>
      </c>
      <c r="J77" s="365">
        <f>SUMPRODUCT(H55:H76,J55:J76)</f>
        <v>82215.25</v>
      </c>
      <c r="K77" s="365">
        <f>SUMPRODUCT(H55:H76,K55:K76)</f>
        <v>7672.2400000000007</v>
      </c>
      <c r="L77" s="365">
        <f>SUMPRODUCT(H55:H76,L55:L76)</f>
        <v>20358.25</v>
      </c>
      <c r="M77" s="365">
        <f>K77+L77</f>
        <v>28030.49</v>
      </c>
      <c r="N77" s="365">
        <f>J77+M77</f>
        <v>110245.74</v>
      </c>
      <c r="O77" s="365">
        <f>SUMPRODUCT(H55:H76,O55:O76)</f>
        <v>269.62078410332623</v>
      </c>
      <c r="P77" s="365">
        <f>SUMPRODUCT(H55:H76,P55:P76)</f>
        <v>8290.8391111772817</v>
      </c>
      <c r="Q77" s="365">
        <f>SUMPRODUCT(H55:H76,Q55:Q76)</f>
        <v>100838.17325464403</v>
      </c>
      <c r="R77" s="365">
        <f>O77+P77+Q77</f>
        <v>109398.63314992464</v>
      </c>
      <c r="S77" s="365">
        <f>N77+R77</f>
        <v>219644.37314992465</v>
      </c>
      <c r="T77" s="1220"/>
      <c r="U77" s="173"/>
      <c r="V77" s="1253">
        <f>SUM(V55:V76)</f>
        <v>866</v>
      </c>
    </row>
    <row r="78" spans="2:22" ht="12" customHeight="1">
      <c r="D78" s="1132"/>
      <c r="E78" s="1132"/>
      <c r="F78" s="77"/>
      <c r="G78" s="1203"/>
      <c r="H78" s="1254"/>
      <c r="I78" s="375">
        <f>H77/$H$77</f>
        <v>1</v>
      </c>
      <c r="J78" s="292">
        <f t="shared" ref="J78:S78" si="23">ROUNDDOWN(J77*0.3025,2)</f>
        <v>24870.11</v>
      </c>
      <c r="K78" s="292">
        <f t="shared" si="23"/>
        <v>2320.85</v>
      </c>
      <c r="L78" s="292">
        <f t="shared" si="23"/>
        <v>6158.37</v>
      </c>
      <c r="M78" s="292">
        <f t="shared" si="23"/>
        <v>8479.2199999999993</v>
      </c>
      <c r="N78" s="292">
        <f t="shared" si="23"/>
        <v>33349.33</v>
      </c>
      <c r="O78" s="292">
        <f t="shared" si="23"/>
        <v>81.56</v>
      </c>
      <c r="P78" s="292">
        <f t="shared" si="23"/>
        <v>2507.9699999999998</v>
      </c>
      <c r="Q78" s="292">
        <f t="shared" si="23"/>
        <v>30503.54</v>
      </c>
      <c r="R78" s="292">
        <f t="shared" si="23"/>
        <v>33093.08</v>
      </c>
      <c r="S78" s="292">
        <f t="shared" si="23"/>
        <v>66442.42</v>
      </c>
      <c r="T78" s="1207"/>
      <c r="V78" s="1254"/>
    </row>
    <row r="79" spans="2:22" ht="17.25" customHeight="1">
      <c r="C79" s="1212"/>
      <c r="D79" s="940"/>
      <c r="F79" s="77">
        <v>1103</v>
      </c>
      <c r="G79" s="1213" t="s">
        <v>69</v>
      </c>
      <c r="H79" s="1255">
        <f>H53+H77</f>
        <v>1125</v>
      </c>
      <c r="I79" s="1217">
        <f>I53+I77</f>
        <v>0.98044444444444434</v>
      </c>
      <c r="J79" s="368">
        <f>J53+J77</f>
        <v>91478.76</v>
      </c>
      <c r="K79" s="368">
        <f>K53+K77</f>
        <v>8608.44</v>
      </c>
      <c r="L79" s="368">
        <f>L53+L77</f>
        <v>22881.75</v>
      </c>
      <c r="M79" s="368">
        <f>K79+L79</f>
        <v>31490.190000000002</v>
      </c>
      <c r="N79" s="368">
        <f>J79+M79</f>
        <v>122968.95</v>
      </c>
      <c r="O79" s="368">
        <v>300</v>
      </c>
      <c r="P79" s="368">
        <f>R6+R7+R8+R9+R10+R11+R12+R15</f>
        <v>9225</v>
      </c>
      <c r="Q79" s="368">
        <f>(R19*V18)-300</f>
        <v>112200</v>
      </c>
      <c r="R79" s="368">
        <f>O79+P79+Q79</f>
        <v>121725</v>
      </c>
      <c r="S79" s="368">
        <f>N79+R79</f>
        <v>244693.95</v>
      </c>
      <c r="T79" s="358"/>
      <c r="V79" s="1255">
        <f>V53+V77</f>
        <v>965</v>
      </c>
    </row>
    <row r="80" spans="2:22" ht="17.25" customHeight="1">
      <c r="C80" s="1076"/>
      <c r="D80" s="938"/>
      <c r="E80" s="11">
        <f>H63+H51</f>
        <v>490</v>
      </c>
      <c r="F80" s="77"/>
      <c r="G80" s="1214"/>
      <c r="H80" s="1256"/>
      <c r="I80" s="1218"/>
      <c r="J80" s="359">
        <f t="shared" ref="J80:S80" si="24">ROUNDDOWN(J79*0.3025,2)</f>
        <v>27672.32</v>
      </c>
      <c r="K80" s="359">
        <f t="shared" si="24"/>
        <v>2604.0500000000002</v>
      </c>
      <c r="L80" s="359">
        <f t="shared" si="24"/>
        <v>6921.72</v>
      </c>
      <c r="M80" s="359">
        <f t="shared" si="24"/>
        <v>9525.7800000000007</v>
      </c>
      <c r="N80" s="359">
        <f t="shared" si="24"/>
        <v>37198.1</v>
      </c>
      <c r="O80" s="359">
        <f t="shared" si="24"/>
        <v>90.75</v>
      </c>
      <c r="P80" s="359">
        <f t="shared" si="24"/>
        <v>2790.56</v>
      </c>
      <c r="Q80" s="359">
        <f t="shared" si="24"/>
        <v>33940.5</v>
      </c>
      <c r="R80" s="359">
        <f t="shared" si="24"/>
        <v>36821.81</v>
      </c>
      <c r="S80" s="359">
        <f t="shared" si="24"/>
        <v>74019.91</v>
      </c>
      <c r="T80" s="360"/>
      <c r="V80" s="1256"/>
    </row>
    <row r="81" spans="4:43" ht="6" customHeight="1">
      <c r="F81" s="77"/>
      <c r="G81" s="1046"/>
      <c r="H81" s="1047"/>
      <c r="I81" s="1047"/>
      <c r="J81" s="1047"/>
      <c r="K81" s="1047"/>
      <c r="L81" s="1047"/>
      <c r="M81" s="1047"/>
      <c r="N81" s="1047"/>
      <c r="O81" s="1047"/>
      <c r="P81" s="1047"/>
      <c r="Q81" s="1047"/>
      <c r="R81" s="1047"/>
      <c r="S81" s="1047"/>
      <c r="T81" s="1048"/>
    </row>
    <row r="82" spans="4:43" ht="18" customHeight="1">
      <c r="D82" s="321"/>
      <c r="E82" s="830">
        <f>G59</f>
        <v>24</v>
      </c>
      <c r="F82" s="756">
        <f>H39+H47+H59</f>
        <v>220</v>
      </c>
      <c r="G82" s="951" t="s">
        <v>87</v>
      </c>
      <c r="H82" s="951"/>
      <c r="I82" s="951"/>
      <c r="J82" s="951"/>
      <c r="K82" s="951"/>
      <c r="L82" s="951"/>
      <c r="M82" s="951"/>
      <c r="N82" s="951"/>
      <c r="O82" s="951"/>
      <c r="P82" s="951"/>
      <c r="Q82" s="951"/>
      <c r="R82" s="951"/>
      <c r="S82" s="951"/>
      <c r="T82" s="952"/>
    </row>
    <row r="83" spans="4:43" s="6" customFormat="1" ht="14.1" customHeight="1">
      <c r="E83" s="830">
        <f>G61</f>
        <v>30</v>
      </c>
      <c r="F83" s="831">
        <f>H61</f>
        <v>246</v>
      </c>
      <c r="G83" s="984" t="s">
        <v>16</v>
      </c>
      <c r="H83" s="985"/>
      <c r="I83" s="986" t="s">
        <v>7</v>
      </c>
      <c r="J83" s="987"/>
      <c r="K83" s="986" t="s">
        <v>83</v>
      </c>
      <c r="L83" s="987"/>
      <c r="M83" s="986" t="s">
        <v>22</v>
      </c>
      <c r="N83" s="987"/>
      <c r="O83" s="85" t="s">
        <v>218</v>
      </c>
      <c r="P83" s="85" t="s">
        <v>32</v>
      </c>
      <c r="Q83" s="1044" t="s">
        <v>73</v>
      </c>
      <c r="R83" s="1045"/>
      <c r="S83" s="1051" t="s">
        <v>74</v>
      </c>
      <c r="T83" s="1052"/>
    </row>
    <row r="84" spans="4:43" s="6" customFormat="1" ht="14.1" hidden="1" customHeight="1">
      <c r="F84" s="79"/>
      <c r="G84" s="1032" t="s">
        <v>50</v>
      </c>
      <c r="H84" s="1033"/>
      <c r="I84" s="1049">
        <f>M84*0.7</f>
        <v>0</v>
      </c>
      <c r="J84" s="1050"/>
      <c r="K84" s="1049">
        <f>M84*0.3</f>
        <v>0</v>
      </c>
      <c r="L84" s="1050"/>
      <c r="M84" s="1049">
        <v>0</v>
      </c>
      <c r="N84" s="1050"/>
      <c r="O84" s="58">
        <f>M84*0.15</f>
        <v>0</v>
      </c>
      <c r="P84" s="59" t="e">
        <f>#REF!*42</f>
        <v>#REF!</v>
      </c>
      <c r="Q84" s="988" t="e">
        <f>SUM(M84:P84)</f>
        <v>#REF!</v>
      </c>
      <c r="R84" s="989"/>
      <c r="S84" s="990"/>
      <c r="T84" s="991"/>
    </row>
    <row r="85" spans="4:43" s="6" customFormat="1" ht="14.1" hidden="1" customHeight="1">
      <c r="F85" s="79"/>
      <c r="G85" s="1034"/>
      <c r="H85" s="1035"/>
      <c r="I85" s="992">
        <f t="shared" ref="I85:I87" si="25">I84*0.3025</f>
        <v>0</v>
      </c>
      <c r="J85" s="993"/>
      <c r="K85" s="992">
        <f>K84*0.3025</f>
        <v>0</v>
      </c>
      <c r="L85" s="993"/>
      <c r="M85" s="1038">
        <f>M84*0.3025</f>
        <v>0</v>
      </c>
      <c r="N85" s="1039"/>
      <c r="O85" s="9">
        <f t="shared" ref="O85:O91" si="26">O84*0.3025</f>
        <v>0</v>
      </c>
      <c r="P85" s="60" t="e">
        <f>P84*0.3025</f>
        <v>#REF!</v>
      </c>
      <c r="Q85" s="1040" t="e">
        <f>Q84*0.3025</f>
        <v>#REF!</v>
      </c>
      <c r="R85" s="1041"/>
      <c r="S85" s="1042"/>
      <c r="T85" s="1043"/>
    </row>
    <row r="86" spans="4:43" s="6" customFormat="1" ht="14.1" customHeight="1">
      <c r="E86" s="830">
        <f>G63</f>
        <v>34</v>
      </c>
      <c r="F86" s="831">
        <f>H41+H51+H63</f>
        <v>492</v>
      </c>
      <c r="G86" s="996" t="s">
        <v>38</v>
      </c>
      <c r="H86" s="1001" t="s">
        <v>45</v>
      </c>
      <c r="I86" s="1057">
        <f>M86*0.7</f>
        <v>226.58159999999998</v>
      </c>
      <c r="J86" s="1000"/>
      <c r="K86" s="999">
        <f>M86*0.3</f>
        <v>97.106399999999994</v>
      </c>
      <c r="L86" s="1000"/>
      <c r="M86" s="1058">
        <v>323.68799999999999</v>
      </c>
      <c r="N86" s="1059"/>
      <c r="O86" s="91">
        <f>$O$90*I86/$I$90</f>
        <v>300</v>
      </c>
      <c r="P86" s="91">
        <f>$P$90*I86/$I$90</f>
        <v>240</v>
      </c>
      <c r="Q86" s="1017">
        <f>SUM(M86:P86)</f>
        <v>863.68799999999999</v>
      </c>
      <c r="R86" s="1018"/>
      <c r="S86" s="1019"/>
      <c r="T86" s="1020"/>
      <c r="U86" s="7"/>
      <c r="V86" s="7">
        <f>I86/I90*Q90</f>
        <v>863.68799999999999</v>
      </c>
      <c r="W86" s="7"/>
      <c r="X86" s="8"/>
    </row>
    <row r="87" spans="4:43" s="6" customFormat="1" ht="14.1" customHeight="1">
      <c r="E87" s="830">
        <f>G65</f>
        <v>40</v>
      </c>
      <c r="F87" s="831">
        <f>H65</f>
        <v>83</v>
      </c>
      <c r="G87" s="998"/>
      <c r="H87" s="1078"/>
      <c r="I87" s="1062">
        <f t="shared" si="25"/>
        <v>68.540933999999993</v>
      </c>
      <c r="J87" s="1063"/>
      <c r="K87" s="1064">
        <f>K86*0.3025</f>
        <v>29.374685999999997</v>
      </c>
      <c r="L87" s="1063"/>
      <c r="M87" s="1065">
        <f>M86*0.3025</f>
        <v>97.91561999999999</v>
      </c>
      <c r="N87" s="1066"/>
      <c r="O87" s="98">
        <f>O86*0.3025</f>
        <v>90.75</v>
      </c>
      <c r="P87" s="98">
        <f>P86*0.3025</f>
        <v>72.599999999999994</v>
      </c>
      <c r="Q87" s="1065">
        <f>Q86*0.3025</f>
        <v>261.26562000000001</v>
      </c>
      <c r="R87" s="1066"/>
      <c r="S87" s="1067"/>
      <c r="T87" s="1068"/>
      <c r="U87" s="7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spans="4:43" s="6" customFormat="1" ht="14.1" hidden="1" customHeight="1">
      <c r="E88" s="830">
        <f>G65</f>
        <v>40</v>
      </c>
      <c r="F88" s="79"/>
      <c r="G88" s="997" t="s">
        <v>457</v>
      </c>
      <c r="H88" s="1077" t="s">
        <v>45</v>
      </c>
      <c r="I88" s="1057">
        <f>M88*0.7</f>
        <v>0</v>
      </c>
      <c r="J88" s="1000"/>
      <c r="K88" s="999">
        <f>M88*0.3</f>
        <v>0</v>
      </c>
      <c r="L88" s="1000"/>
      <c r="M88" s="1058">
        <v>0</v>
      </c>
      <c r="N88" s="1059"/>
      <c r="O88" s="97">
        <f>$O$90*I88/$I$90</f>
        <v>0</v>
      </c>
      <c r="P88" s="97">
        <f>$P$90*I88/$I$90</f>
        <v>0</v>
      </c>
      <c r="Q88" s="1058">
        <f>SUM(M88:P88)</f>
        <v>0</v>
      </c>
      <c r="R88" s="1059"/>
      <c r="S88" s="1060"/>
      <c r="T88" s="1061"/>
      <c r="U88"/>
      <c r="V88" s="7">
        <f>I88/I90*Q90</f>
        <v>0</v>
      </c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 spans="4:43" ht="14.1" hidden="1" customHeight="1">
      <c r="E89" s="6"/>
      <c r="F89" s="77"/>
      <c r="G89" s="998"/>
      <c r="H89" s="1078"/>
      <c r="I89" s="1062">
        <f t="shared" ref="I89" si="27">I88*0.3025</f>
        <v>0</v>
      </c>
      <c r="J89" s="1063"/>
      <c r="K89" s="1064">
        <f>K88*0.3025</f>
        <v>0</v>
      </c>
      <c r="L89" s="1063"/>
      <c r="M89" s="1065">
        <f>M88*0.3025</f>
        <v>0</v>
      </c>
      <c r="N89" s="1066"/>
      <c r="O89" s="94">
        <f>O88*0.3025</f>
        <v>0</v>
      </c>
      <c r="P89" s="98">
        <f>P88*0.3025</f>
        <v>0</v>
      </c>
      <c r="Q89" s="1065">
        <f>Q88*0.3025</f>
        <v>0</v>
      </c>
      <c r="R89" s="1066"/>
      <c r="S89" s="1067"/>
      <c r="T89" s="1068"/>
      <c r="U89"/>
      <c r="AQ89" s="6"/>
    </row>
    <row r="90" spans="4:43" ht="14.1" customHeight="1">
      <c r="E90" s="830">
        <f>G67</f>
        <v>45</v>
      </c>
      <c r="F90" s="756">
        <f>H67</f>
        <v>83</v>
      </c>
      <c r="G90" s="1225" t="s">
        <v>69</v>
      </c>
      <c r="H90" s="1226"/>
      <c r="I90" s="1229">
        <f>M90*0.7</f>
        <v>226.58159999999998</v>
      </c>
      <c r="J90" s="1230"/>
      <c r="K90" s="1231">
        <f>M90*0.3</f>
        <v>97.106399999999994</v>
      </c>
      <c r="L90" s="1230"/>
      <c r="M90" s="1231">
        <f>M86+M88</f>
        <v>323.68799999999999</v>
      </c>
      <c r="N90" s="1230"/>
      <c r="O90" s="293">
        <v>300</v>
      </c>
      <c r="P90" s="293">
        <f>R25*V18</f>
        <v>240</v>
      </c>
      <c r="Q90" s="1232">
        <f>SUM(M90:P90)</f>
        <v>863.68799999999999</v>
      </c>
      <c r="R90" s="1233"/>
      <c r="S90" s="1234"/>
      <c r="T90" s="1235"/>
      <c r="U90" s="6"/>
      <c r="AQ90" s="6"/>
    </row>
    <row r="91" spans="4:43" ht="14.1" customHeight="1">
      <c r="E91" s="830">
        <f>G75</f>
        <v>66</v>
      </c>
      <c r="F91" s="756">
        <f>H75</f>
        <v>1</v>
      </c>
      <c r="G91" s="1227"/>
      <c r="H91" s="1228"/>
      <c r="I91" s="1236">
        <f t="shared" ref="I91" si="28">I90*0.3025</f>
        <v>68.540933999999993</v>
      </c>
      <c r="J91" s="1237"/>
      <c r="K91" s="1238">
        <f>K90*0.3025</f>
        <v>29.374685999999997</v>
      </c>
      <c r="L91" s="1237"/>
      <c r="M91" s="1221">
        <f>M90*0.3025</f>
        <v>97.91561999999999</v>
      </c>
      <c r="N91" s="1222"/>
      <c r="O91" s="294">
        <f t="shared" si="26"/>
        <v>90.75</v>
      </c>
      <c r="P91" s="295">
        <f>P90*0.3025</f>
        <v>72.599999999999994</v>
      </c>
      <c r="Q91" s="1221">
        <f>Q90*0.3025</f>
        <v>261.26562000000001</v>
      </c>
      <c r="R91" s="1222"/>
      <c r="S91" s="1223"/>
      <c r="T91" s="1224"/>
      <c r="U91" s="7"/>
      <c r="AQ91" s="6"/>
    </row>
    <row r="92" spans="4:43" ht="14.1" customHeight="1">
      <c r="E92" s="830"/>
      <c r="Q92" s="5"/>
      <c r="R92" s="5"/>
      <c r="S92" s="5"/>
      <c r="T92" s="6"/>
      <c r="U92" s="6"/>
      <c r="AQ92" s="6"/>
    </row>
    <row r="93" spans="4:43" ht="14.1" customHeight="1">
      <c r="J93" s="2">
        <f>H57*J57+J59*H59+H61*J61+J63*H63+H67*J67</f>
        <v>73741.08</v>
      </c>
      <c r="K93" s="2">
        <f>H57*K57+K59*H59+H61*K61+K63*H63+H67*K67</f>
        <v>6933.18</v>
      </c>
      <c r="P93" s="379">
        <f>P86+P88</f>
        <v>240</v>
      </c>
      <c r="T93" s="6"/>
      <c r="U93" s="6"/>
      <c r="AQ93" s="6"/>
    </row>
    <row r="94" spans="4:43" ht="14.1" customHeight="1">
      <c r="T94" s="6"/>
      <c r="U94" s="6"/>
      <c r="AQ94" s="6"/>
    </row>
    <row r="95" spans="4:43" ht="14.1" customHeight="1">
      <c r="T95" s="6"/>
      <c r="U95" s="6"/>
      <c r="AQ95" s="6"/>
    </row>
    <row r="96" spans="4:43" ht="14.1" customHeight="1">
      <c r="H96" s="11">
        <f>H39+H59</f>
        <v>104</v>
      </c>
      <c r="I96" s="145">
        <f>I39+I59</f>
        <v>9.2444444444444454E-2</v>
      </c>
      <c r="M96" s="144">
        <f t="shared" ref="M96:S96" si="29">M53+M77</f>
        <v>31490.190000000002</v>
      </c>
      <c r="N96" s="144">
        <f t="shared" si="29"/>
        <v>122968.95000000001</v>
      </c>
      <c r="O96" s="144">
        <f t="shared" si="29"/>
        <v>299.99999999999994</v>
      </c>
      <c r="P96" s="144">
        <f t="shared" si="29"/>
        <v>9224.9999999999982</v>
      </c>
      <c r="Q96" s="144">
        <f t="shared" si="29"/>
        <v>112200</v>
      </c>
      <c r="R96" s="144">
        <f t="shared" si="29"/>
        <v>121725</v>
      </c>
      <c r="S96" s="144">
        <f t="shared" si="29"/>
        <v>244693.95</v>
      </c>
      <c r="T96" s="6"/>
      <c r="U96" s="6"/>
      <c r="AQ96" s="6"/>
    </row>
    <row r="97" spans="7:43" ht="14.1" customHeight="1">
      <c r="H97" s="11">
        <f>H59+H61+H65</f>
        <v>413</v>
      </c>
      <c r="AQ97" s="6"/>
    </row>
    <row r="98" spans="7:43" ht="14.1" customHeight="1">
      <c r="AQ98" s="6"/>
    </row>
    <row r="99" spans="7:43" ht="14.1" customHeight="1">
      <c r="AQ99" s="6"/>
    </row>
    <row r="100" spans="7:43" ht="14.1" customHeight="1">
      <c r="AQ100" s="6"/>
    </row>
    <row r="101" spans="7:43" ht="14.1" customHeight="1">
      <c r="AQ101" s="6"/>
    </row>
    <row r="102" spans="7:43" ht="14.1" customHeight="1" thickBot="1">
      <c r="G102" s="1"/>
      <c r="K102" s="3"/>
      <c r="M102" s="1007" t="s">
        <v>89</v>
      </c>
      <c r="N102" s="1007"/>
      <c r="O102" s="1007"/>
      <c r="P102" s="112"/>
      <c r="Q102" s="113"/>
      <c r="R102" s="112"/>
      <c r="S102" s="6"/>
      <c r="AQ102" s="6"/>
    </row>
    <row r="103" spans="7:43" ht="14.1" customHeight="1">
      <c r="G103" s="34"/>
      <c r="H103" s="35"/>
      <c r="I103" s="36"/>
      <c r="J103" s="36"/>
      <c r="K103" s="37"/>
      <c r="M103" s="114"/>
      <c r="N103" s="115">
        <v>0</v>
      </c>
      <c r="O103" s="116">
        <v>300</v>
      </c>
      <c r="P103" s="117">
        <v>500</v>
      </c>
      <c r="Q103" s="118">
        <v>1000</v>
      </c>
      <c r="R103" s="117">
        <v>2000</v>
      </c>
      <c r="S103" s="6"/>
      <c r="AQ103" s="6"/>
    </row>
    <row r="104" spans="7:43" ht="14.1" customHeight="1">
      <c r="G104" s="38"/>
      <c r="H104" s="39"/>
      <c r="I104" s="40"/>
      <c r="J104" s="40"/>
      <c r="K104" s="41"/>
      <c r="M104" s="119"/>
      <c r="N104" s="120" t="s">
        <v>90</v>
      </c>
      <c r="O104" s="120" t="s">
        <v>91</v>
      </c>
      <c r="P104" s="120" t="s">
        <v>92</v>
      </c>
      <c r="Q104" s="120" t="s">
        <v>93</v>
      </c>
      <c r="R104" s="120" t="s">
        <v>94</v>
      </c>
      <c r="S104" s="6"/>
      <c r="AQ104" s="6"/>
    </row>
    <row r="105" spans="7:43" ht="14.1" customHeight="1">
      <c r="G105" s="980"/>
      <c r="H105" s="106"/>
      <c r="I105" s="106"/>
      <c r="J105" s="106"/>
      <c r="K105" s="42"/>
      <c r="M105" s="119" t="s">
        <v>4</v>
      </c>
      <c r="N105" s="121">
        <v>6</v>
      </c>
      <c r="O105" s="121">
        <v>8</v>
      </c>
      <c r="P105" s="121">
        <v>12</v>
      </c>
      <c r="Q105" s="122">
        <v>15</v>
      </c>
      <c r="R105" s="121">
        <v>20</v>
      </c>
      <c r="S105" s="6"/>
      <c r="AQ105" s="6"/>
    </row>
    <row r="106" spans="7:43" ht="14.1" customHeight="1">
      <c r="G106" s="981"/>
      <c r="H106" s="107"/>
      <c r="I106" s="107"/>
      <c r="J106" s="108"/>
      <c r="K106" s="43"/>
      <c r="M106" s="114"/>
      <c r="N106" s="112"/>
      <c r="O106" s="112"/>
      <c r="P106" s="112"/>
      <c r="Q106" s="113"/>
      <c r="R106" s="112"/>
      <c r="S106" s="6"/>
      <c r="AQ106" s="6"/>
    </row>
    <row r="107" spans="7:43" ht="14.1" customHeight="1">
      <c r="G107" s="994"/>
      <c r="H107" s="106"/>
      <c r="I107" s="106"/>
      <c r="J107" s="106"/>
      <c r="K107" s="42"/>
      <c r="M107" s="114"/>
      <c r="N107" s="112"/>
      <c r="O107" s="112"/>
      <c r="P107" s="112"/>
      <c r="Q107" s="113"/>
      <c r="R107" s="112"/>
      <c r="S107" s="6"/>
      <c r="AQ107" s="6"/>
    </row>
    <row r="108" spans="7:43" ht="14.1" customHeight="1">
      <c r="G108" s="995"/>
      <c r="H108" s="107"/>
      <c r="I108" s="107"/>
      <c r="J108" s="108"/>
      <c r="K108" s="43"/>
      <c r="M108" s="1007" t="s">
        <v>95</v>
      </c>
      <c r="N108" s="1007"/>
      <c r="O108" s="1007"/>
      <c r="P108" s="112"/>
      <c r="Q108" s="113"/>
      <c r="R108" s="112"/>
      <c r="S108" s="6"/>
      <c r="AQ108" s="6"/>
    </row>
    <row r="109" spans="7:43" ht="20.25" customHeight="1">
      <c r="G109" s="994"/>
      <c r="H109" s="106"/>
      <c r="I109" s="106"/>
      <c r="J109" s="106"/>
      <c r="K109" s="42"/>
      <c r="M109" s="123"/>
      <c r="N109" s="123">
        <v>0</v>
      </c>
      <c r="O109" s="142">
        <v>150</v>
      </c>
      <c r="P109" s="142">
        <v>300</v>
      </c>
      <c r="Q109" s="142">
        <v>500</v>
      </c>
      <c r="R109" s="142">
        <v>1000</v>
      </c>
      <c r="S109" s="142">
        <v>1500</v>
      </c>
      <c r="AQ109" s="6"/>
    </row>
    <row r="110" spans="7:43" ht="20.25" customHeight="1">
      <c r="G110" s="981"/>
      <c r="H110" s="107"/>
      <c r="I110" s="107"/>
      <c r="J110" s="108"/>
      <c r="K110" s="43"/>
      <c r="M110" s="125"/>
      <c r="N110" s="125" t="s">
        <v>96</v>
      </c>
      <c r="O110" s="125" t="s">
        <v>97</v>
      </c>
      <c r="P110" s="125" t="s">
        <v>91</v>
      </c>
      <c r="Q110" s="125" t="s">
        <v>92</v>
      </c>
      <c r="R110" s="125" t="s">
        <v>98</v>
      </c>
      <c r="S110" s="125" t="s">
        <v>99</v>
      </c>
    </row>
    <row r="111" spans="7:43" ht="14.1" customHeight="1">
      <c r="G111" s="980"/>
      <c r="H111" s="106"/>
      <c r="I111" s="106"/>
      <c r="J111" s="106"/>
      <c r="M111" s="126" t="s">
        <v>100</v>
      </c>
      <c r="N111" s="124">
        <v>0</v>
      </c>
      <c r="O111" s="127">
        <f>50+(H79*0.1)</f>
        <v>162.5</v>
      </c>
      <c r="P111" s="127">
        <v>155</v>
      </c>
      <c r="Q111" s="127">
        <v>225</v>
      </c>
      <c r="R111" s="127">
        <v>375</v>
      </c>
      <c r="S111" s="128">
        <v>500</v>
      </c>
    </row>
    <row r="112" spans="7:43" ht="14.1" customHeight="1">
      <c r="G112" s="981"/>
      <c r="H112" s="108"/>
      <c r="I112" s="107"/>
      <c r="J112" s="108"/>
      <c r="M112" s="126" t="s">
        <v>24</v>
      </c>
      <c r="N112" s="124">
        <v>0</v>
      </c>
      <c r="O112" s="123">
        <v>0</v>
      </c>
      <c r="P112" s="127">
        <v>198</v>
      </c>
      <c r="Q112" s="127">
        <v>330</v>
      </c>
      <c r="R112" s="127">
        <v>580</v>
      </c>
      <c r="S112" s="127">
        <v>725</v>
      </c>
    </row>
    <row r="113" spans="7:19" ht="14.1" customHeight="1">
      <c r="G113" s="980"/>
      <c r="H113" s="106"/>
      <c r="I113" s="106"/>
      <c r="J113" s="106"/>
      <c r="K113" s="42"/>
      <c r="M113" s="126" t="s">
        <v>35</v>
      </c>
      <c r="N113" s="124">
        <v>0</v>
      </c>
      <c r="O113" s="123">
        <v>0</v>
      </c>
      <c r="P113" s="129">
        <v>108</v>
      </c>
      <c r="Q113" s="129">
        <v>158</v>
      </c>
      <c r="R113" s="129">
        <v>203</v>
      </c>
      <c r="S113" s="129">
        <v>298</v>
      </c>
    </row>
    <row r="114" spans="7:19" ht="14.1" customHeight="1">
      <c r="G114" s="981"/>
      <c r="H114" s="107"/>
      <c r="I114" s="107"/>
      <c r="J114" s="108"/>
      <c r="K114" s="43"/>
      <c r="S114" s="6"/>
    </row>
    <row r="115" spans="7:19" ht="14.1" customHeight="1">
      <c r="G115" s="81"/>
      <c r="H115" s="106"/>
      <c r="I115" s="106"/>
      <c r="J115" s="106"/>
      <c r="K115" s="42"/>
      <c r="M115" s="1007" t="s">
        <v>101</v>
      </c>
      <c r="N115" s="1007"/>
      <c r="O115" s="1007"/>
      <c r="S115" s="6"/>
    </row>
    <row r="116" spans="7:19" ht="14.1" customHeight="1" thickBot="1">
      <c r="G116" s="44"/>
      <c r="H116" s="109"/>
      <c r="I116" s="109"/>
      <c r="J116" s="110"/>
      <c r="K116" s="45"/>
      <c r="N116" s="130">
        <v>0</v>
      </c>
      <c r="O116" s="130">
        <v>500</v>
      </c>
      <c r="P116" s="130">
        <v>1000</v>
      </c>
      <c r="Q116" s="130">
        <v>1500</v>
      </c>
      <c r="R116" s="6"/>
      <c r="S116" s="6"/>
    </row>
    <row r="117" spans="7:19" ht="14.1" customHeight="1">
      <c r="M117" s="131"/>
      <c r="N117" s="132" t="s">
        <v>102</v>
      </c>
      <c r="O117" s="132" t="s">
        <v>103</v>
      </c>
      <c r="P117" s="132" t="s">
        <v>104</v>
      </c>
      <c r="Q117" s="125" t="s">
        <v>99</v>
      </c>
      <c r="R117" s="6"/>
      <c r="S117" s="6"/>
    </row>
    <row r="118" spans="7:19" ht="14.1" customHeight="1">
      <c r="M118" s="133" t="s">
        <v>105</v>
      </c>
      <c r="N118" s="134">
        <v>90</v>
      </c>
      <c r="O118" s="134">
        <v>90</v>
      </c>
      <c r="P118" s="134">
        <v>108</v>
      </c>
      <c r="Q118" s="135">
        <v>138</v>
      </c>
      <c r="R118" s="6"/>
      <c r="S118" s="6"/>
    </row>
    <row r="119" spans="7:19" ht="14.1" customHeight="1">
      <c r="M119" s="133" t="s">
        <v>106</v>
      </c>
      <c r="N119" s="134">
        <v>188</v>
      </c>
      <c r="O119" s="134">
        <v>188</v>
      </c>
      <c r="P119" s="134">
        <v>324</v>
      </c>
      <c r="Q119" s="135">
        <v>454</v>
      </c>
    </row>
    <row r="120" spans="7:19" ht="14.1" customHeight="1">
      <c r="M120" s="136" t="s">
        <v>107</v>
      </c>
      <c r="N120" s="135">
        <v>146</v>
      </c>
      <c r="O120" s="134">
        <v>158</v>
      </c>
      <c r="P120" s="135">
        <v>184</v>
      </c>
      <c r="Q120" s="135">
        <v>210</v>
      </c>
    </row>
    <row r="121" spans="7:19" ht="14.1" customHeight="1">
      <c r="M121" s="133" t="s">
        <v>108</v>
      </c>
      <c r="N121" s="135">
        <v>60</v>
      </c>
      <c r="O121" s="134">
        <v>80</v>
      </c>
      <c r="P121" s="135">
        <v>100</v>
      </c>
      <c r="Q121" s="135">
        <v>150</v>
      </c>
    </row>
    <row r="122" spans="7:19" ht="14.1" customHeight="1">
      <c r="M122" s="137" t="s">
        <v>1</v>
      </c>
      <c r="N122" s="135">
        <f>SUM(N118:N121)</f>
        <v>484</v>
      </c>
      <c r="O122" s="135">
        <f t="shared" ref="O122:Q122" si="30">SUM(O118:O121)</f>
        <v>516</v>
      </c>
      <c r="P122" s="135">
        <f t="shared" si="30"/>
        <v>716</v>
      </c>
      <c r="Q122" s="135">
        <f t="shared" si="30"/>
        <v>952</v>
      </c>
    </row>
    <row r="123" spans="7:19" ht="14.1" customHeight="1">
      <c r="M123" s="1007" t="s">
        <v>109</v>
      </c>
      <c r="N123" s="1007"/>
      <c r="O123" s="1007"/>
    </row>
    <row r="124" spans="7:19" ht="14.1" customHeight="1">
      <c r="N124" s="130">
        <v>0</v>
      </c>
      <c r="O124" s="130">
        <v>500</v>
      </c>
      <c r="P124" s="130">
        <v>1000</v>
      </c>
      <c r="Q124" s="130">
        <v>1500</v>
      </c>
    </row>
    <row r="125" spans="7:19" ht="14.1" customHeight="1">
      <c r="M125" s="131"/>
      <c r="N125" s="132" t="s">
        <v>102</v>
      </c>
      <c r="O125" s="132" t="s">
        <v>103</v>
      </c>
      <c r="P125" s="132" t="s">
        <v>104</v>
      </c>
      <c r="Q125" s="125" t="s">
        <v>99</v>
      </c>
    </row>
    <row r="126" spans="7:19" ht="14.1" customHeight="1">
      <c r="M126" s="133" t="s">
        <v>114</v>
      </c>
      <c r="N126" s="138">
        <v>36</v>
      </c>
      <c r="O126" s="138">
        <v>48</v>
      </c>
      <c r="P126" s="138">
        <v>56</v>
      </c>
      <c r="Q126" s="139">
        <v>63</v>
      </c>
    </row>
    <row r="127" spans="7:19" ht="14.1" customHeight="1">
      <c r="M127" s="133" t="s">
        <v>115</v>
      </c>
      <c r="N127" s="138">
        <v>12</v>
      </c>
      <c r="O127" s="138">
        <v>18</v>
      </c>
      <c r="P127" s="138">
        <v>22</v>
      </c>
      <c r="Q127" s="139">
        <v>34</v>
      </c>
    </row>
    <row r="128" spans="7:19" ht="14.1" customHeight="1">
      <c r="M128" s="137" t="s">
        <v>1</v>
      </c>
      <c r="N128" s="140">
        <f>SUM(N126:N127)</f>
        <v>48</v>
      </c>
      <c r="O128" s="141">
        <f>SUM(O126:O127)</f>
        <v>66</v>
      </c>
      <c r="P128" s="140">
        <f>SUM(P126:P127)</f>
        <v>78</v>
      </c>
      <c r="Q128" s="140">
        <f>SUM(Q126:Q127)</f>
        <v>97</v>
      </c>
    </row>
  </sheetData>
  <mergeCells count="266">
    <mergeCell ref="M115:O115"/>
    <mergeCell ref="M123:O123"/>
    <mergeCell ref="G105:G106"/>
    <mergeCell ref="G107:G108"/>
    <mergeCell ref="M108:O108"/>
    <mergeCell ref="G109:G110"/>
    <mergeCell ref="G111:G112"/>
    <mergeCell ref="G113:G114"/>
    <mergeCell ref="I91:J91"/>
    <mergeCell ref="K91:L91"/>
    <mergeCell ref="M91:N91"/>
    <mergeCell ref="M102:O102"/>
    <mergeCell ref="K89:L89"/>
    <mergeCell ref="M89:N89"/>
    <mergeCell ref="Q89:R89"/>
    <mergeCell ref="S89:T89"/>
    <mergeCell ref="G90:H91"/>
    <mergeCell ref="I90:J90"/>
    <mergeCell ref="K90:L90"/>
    <mergeCell ref="M90:N90"/>
    <mergeCell ref="Q90:R90"/>
    <mergeCell ref="S90:T90"/>
    <mergeCell ref="H88:H89"/>
    <mergeCell ref="I88:J88"/>
    <mergeCell ref="K88:L88"/>
    <mergeCell ref="M88:N88"/>
    <mergeCell ref="Q88:R88"/>
    <mergeCell ref="S88:T88"/>
    <mergeCell ref="I89:J89"/>
    <mergeCell ref="Q91:R91"/>
    <mergeCell ref="S91:T91"/>
    <mergeCell ref="G88:G89"/>
    <mergeCell ref="S85:T85"/>
    <mergeCell ref="H86:H87"/>
    <mergeCell ref="I86:J86"/>
    <mergeCell ref="K86:L86"/>
    <mergeCell ref="M86:N86"/>
    <mergeCell ref="Q86:R86"/>
    <mergeCell ref="S86:T86"/>
    <mergeCell ref="I87:J87"/>
    <mergeCell ref="K87:L87"/>
    <mergeCell ref="G84:H85"/>
    <mergeCell ref="I84:J84"/>
    <mergeCell ref="K84:L84"/>
    <mergeCell ref="M84:N84"/>
    <mergeCell ref="Q84:R84"/>
    <mergeCell ref="S84:T84"/>
    <mergeCell ref="I85:J85"/>
    <mergeCell ref="K85:L85"/>
    <mergeCell ref="M85:N85"/>
    <mergeCell ref="Q85:R85"/>
    <mergeCell ref="M87:N87"/>
    <mergeCell ref="Q87:R87"/>
    <mergeCell ref="S87:T87"/>
    <mergeCell ref="G86:G87"/>
    <mergeCell ref="G81:T81"/>
    <mergeCell ref="G82:T82"/>
    <mergeCell ref="G83:H83"/>
    <mergeCell ref="I83:J83"/>
    <mergeCell ref="K83:L83"/>
    <mergeCell ref="M83:N83"/>
    <mergeCell ref="Q83:R83"/>
    <mergeCell ref="S83:T83"/>
    <mergeCell ref="D77:D78"/>
    <mergeCell ref="E77:E78"/>
    <mergeCell ref="G77:G78"/>
    <mergeCell ref="H77:H78"/>
    <mergeCell ref="T77:T78"/>
    <mergeCell ref="C79:C80"/>
    <mergeCell ref="D79:D80"/>
    <mergeCell ref="G79:G80"/>
    <mergeCell ref="H79:H80"/>
    <mergeCell ref="I79:I80"/>
    <mergeCell ref="E73:E74"/>
    <mergeCell ref="H73:H74"/>
    <mergeCell ref="C75:C76"/>
    <mergeCell ref="D75:D76"/>
    <mergeCell ref="E75:E76"/>
    <mergeCell ref="F75:F76"/>
    <mergeCell ref="H75:H76"/>
    <mergeCell ref="F73:F74"/>
    <mergeCell ref="E67:E68"/>
    <mergeCell ref="H67:H68"/>
    <mergeCell ref="E69:E70"/>
    <mergeCell ref="H69:H70"/>
    <mergeCell ref="C71:C72"/>
    <mergeCell ref="D71:D72"/>
    <mergeCell ref="E71:E72"/>
    <mergeCell ref="F71:F72"/>
    <mergeCell ref="H71:H72"/>
    <mergeCell ref="F67:F68"/>
    <mergeCell ref="F69:F70"/>
    <mergeCell ref="D61:D62"/>
    <mergeCell ref="E61:E62"/>
    <mergeCell ref="F61:F62"/>
    <mergeCell ref="H61:H62"/>
    <mergeCell ref="C63:C64"/>
    <mergeCell ref="D63:D64"/>
    <mergeCell ref="E63:E64"/>
    <mergeCell ref="F63:F64"/>
    <mergeCell ref="H63:H64"/>
    <mergeCell ref="E57:E58"/>
    <mergeCell ref="F57:F58"/>
    <mergeCell ref="H57:H58"/>
    <mergeCell ref="C59:C60"/>
    <mergeCell ref="D59:D60"/>
    <mergeCell ref="E59:E60"/>
    <mergeCell ref="F59:F60"/>
    <mergeCell ref="H59:H60"/>
    <mergeCell ref="T53:T54"/>
    <mergeCell ref="C55:C56"/>
    <mergeCell ref="D55:D56"/>
    <mergeCell ref="E55:E56"/>
    <mergeCell ref="F55:F56"/>
    <mergeCell ref="H55:H56"/>
    <mergeCell ref="I55:I56"/>
    <mergeCell ref="T55:T76"/>
    <mergeCell ref="C57:C58"/>
    <mergeCell ref="D57:D58"/>
    <mergeCell ref="C65:C66"/>
    <mergeCell ref="D65:D66"/>
    <mergeCell ref="E65:E66"/>
    <mergeCell ref="F65:F66"/>
    <mergeCell ref="H65:H66"/>
    <mergeCell ref="C61:C62"/>
    <mergeCell ref="B47:B48"/>
    <mergeCell ref="C47:C48"/>
    <mergeCell ref="D47:D48"/>
    <mergeCell ref="E47:E48"/>
    <mergeCell ref="H47:H48"/>
    <mergeCell ref="E49:E50"/>
    <mergeCell ref="B53:B54"/>
    <mergeCell ref="C53:C54"/>
    <mergeCell ref="D53:D54"/>
    <mergeCell ref="E53:E54"/>
    <mergeCell ref="G53:G54"/>
    <mergeCell ref="H53:H54"/>
    <mergeCell ref="H49:H50"/>
    <mergeCell ref="B51:B52"/>
    <mergeCell ref="C51:C52"/>
    <mergeCell ref="D51:D52"/>
    <mergeCell ref="E51:E52"/>
    <mergeCell ref="H51:H52"/>
    <mergeCell ref="F41:F42"/>
    <mergeCell ref="H41:H42"/>
    <mergeCell ref="I41:I42"/>
    <mergeCell ref="E43:E44"/>
    <mergeCell ref="H43:H44"/>
    <mergeCell ref="H37:H38"/>
    <mergeCell ref="I37:I38"/>
    <mergeCell ref="T37:T42"/>
    <mergeCell ref="T43:T52"/>
    <mergeCell ref="E45:E46"/>
    <mergeCell ref="H45:H46"/>
    <mergeCell ref="I45:I46"/>
    <mergeCell ref="I49:I50"/>
    <mergeCell ref="V37:V38"/>
    <mergeCell ref="B39:B40"/>
    <mergeCell ref="C39:C40"/>
    <mergeCell ref="D39:D40"/>
    <mergeCell ref="E39:E40"/>
    <mergeCell ref="F39:F40"/>
    <mergeCell ref="H39:H40"/>
    <mergeCell ref="N35:N36"/>
    <mergeCell ref="O35:Q35"/>
    <mergeCell ref="R35:R36"/>
    <mergeCell ref="S35:S36"/>
    <mergeCell ref="T35:T36"/>
    <mergeCell ref="B37:B38"/>
    <mergeCell ref="C37:C38"/>
    <mergeCell ref="D37:D38"/>
    <mergeCell ref="E37:E38"/>
    <mergeCell ref="F37:F38"/>
    <mergeCell ref="I39:I40"/>
    <mergeCell ref="G34:T34"/>
    <mergeCell ref="B35:B36"/>
    <mergeCell ref="C35:C36"/>
    <mergeCell ref="D35:D36"/>
    <mergeCell ref="E35:E36"/>
    <mergeCell ref="G35:G36"/>
    <mergeCell ref="H35:H36"/>
    <mergeCell ref="I35:I36"/>
    <mergeCell ref="J35:J36"/>
    <mergeCell ref="K35:M35"/>
    <mergeCell ref="G2:L2"/>
    <mergeCell ref="H3:L3"/>
    <mergeCell ref="S3:T3"/>
    <mergeCell ref="W3:Y3"/>
    <mergeCell ref="V31:V32"/>
    <mergeCell ref="H32:J32"/>
    <mergeCell ref="H26:I26"/>
    <mergeCell ref="O26:P26"/>
    <mergeCell ref="H27:J27"/>
    <mergeCell ref="L27:L28"/>
    <mergeCell ref="N27:T27"/>
    <mergeCell ref="H28:K28"/>
    <mergeCell ref="N28:N32"/>
    <mergeCell ref="S28:S29"/>
    <mergeCell ref="T28:T32"/>
    <mergeCell ref="H29:J29"/>
    <mergeCell ref="N19:N26"/>
    <mergeCell ref="O19:O21"/>
    <mergeCell ref="R19:R24"/>
    <mergeCell ref="S19:T24"/>
    <mergeCell ref="G8:G15"/>
    <mergeCell ref="H14:I15"/>
    <mergeCell ref="J14:J15"/>
    <mergeCell ref="K14:K15"/>
    <mergeCell ref="L14:L15"/>
    <mergeCell ref="S15:T15"/>
    <mergeCell ref="N18:T18"/>
    <mergeCell ref="L29:L30"/>
    <mergeCell ref="H30:K30"/>
    <mergeCell ref="S30:S32"/>
    <mergeCell ref="H31:K31"/>
    <mergeCell ref="H7:L7"/>
    <mergeCell ref="S7:T7"/>
    <mergeCell ref="H8:I8"/>
    <mergeCell ref="O8:O14"/>
    <mergeCell ref="S8:T8"/>
    <mergeCell ref="H9:H13"/>
    <mergeCell ref="S9:T9"/>
    <mergeCell ref="S12:T12"/>
    <mergeCell ref="S14:T14"/>
    <mergeCell ref="P8:P10"/>
    <mergeCell ref="AF3:AH3"/>
    <mergeCell ref="H4:L4"/>
    <mergeCell ref="O4:Q4"/>
    <mergeCell ref="H5:L5"/>
    <mergeCell ref="O5:Q5"/>
    <mergeCell ref="O6:P6"/>
    <mergeCell ref="S6:T6"/>
    <mergeCell ref="G16:G25"/>
    <mergeCell ref="H16:I16"/>
    <mergeCell ref="J16:K16"/>
    <mergeCell ref="O16:P16"/>
    <mergeCell ref="S16:T16"/>
    <mergeCell ref="H17:H19"/>
    <mergeCell ref="L17:L19"/>
    <mergeCell ref="O17:P17"/>
    <mergeCell ref="H20:H22"/>
    <mergeCell ref="L20:L22"/>
    <mergeCell ref="O22:O24"/>
    <mergeCell ref="H23:H25"/>
    <mergeCell ref="L23:L25"/>
    <mergeCell ref="S25:T25"/>
    <mergeCell ref="S17:T17"/>
    <mergeCell ref="Z3:AB3"/>
    <mergeCell ref="AC3:AE3"/>
    <mergeCell ref="V65:V66"/>
    <mergeCell ref="V67:V68"/>
    <mergeCell ref="V69:V70"/>
    <mergeCell ref="V71:V72"/>
    <mergeCell ref="V73:V74"/>
    <mergeCell ref="V75:V76"/>
    <mergeCell ref="V77:V78"/>
    <mergeCell ref="V79:V80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</mergeCells>
  <phoneticPr fontId="2" type="noConversion"/>
  <printOptions horizontalCentered="1"/>
  <pageMargins left="0.7" right="0.7" top="0.75" bottom="0.75" header="0.3" footer="0.3"/>
  <pageSetup paperSize="8" scale="73" orientation="landscape" r:id="rId1"/>
  <headerFooter alignWithMargins="0"/>
  <rowBreaks count="1" manualBreakCount="1">
    <brk id="87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4F81BD"/>
    <pageSetUpPr autoPageBreaks="0" fitToPage="1"/>
  </sheetPr>
  <dimension ref="B1:AU128"/>
  <sheetViews>
    <sheetView view="pageBreakPreview" topLeftCell="A24" zoomScale="85" zoomScaleNormal="100" zoomScaleSheetLayoutView="85" workbookViewId="0">
      <selection activeCell="S25" sqref="S25:T25"/>
    </sheetView>
  </sheetViews>
  <sheetFormatPr defaultColWidth="8.77734375" defaultRowHeight="14.1" customHeight="1"/>
  <cols>
    <col min="1" max="2" width="8.77734375" style="2"/>
    <col min="3" max="3" width="10.21875" style="2" bestFit="1" customWidth="1"/>
    <col min="4" max="4" width="7.6640625" style="2" customWidth="1"/>
    <col min="5" max="5" width="9.77734375" style="2" bestFit="1" customWidth="1"/>
    <col min="6" max="6" width="8.77734375" style="2"/>
    <col min="7" max="7" width="13.21875" style="2" customWidth="1"/>
    <col min="8" max="9" width="9.21875" style="2" customWidth="1"/>
    <col min="10" max="11" width="12.77734375" style="2" customWidth="1"/>
    <col min="12" max="13" width="11.6640625" style="2" customWidth="1"/>
    <col min="14" max="14" width="12.21875" style="2" bestFit="1" customWidth="1"/>
    <col min="15" max="15" width="14.44140625" style="2" customWidth="1"/>
    <col min="16" max="16" width="18.44140625" style="2" bestFit="1" customWidth="1"/>
    <col min="17" max="17" width="13.5546875" style="2" customWidth="1"/>
    <col min="18" max="18" width="12.33203125" style="2" customWidth="1"/>
    <col min="19" max="20" width="14.109375" style="2" customWidth="1"/>
    <col min="21" max="21" width="4.5546875" style="2" customWidth="1"/>
    <col min="22" max="26" width="10.77734375" style="2" customWidth="1"/>
    <col min="27" max="27" width="5.21875" style="2" customWidth="1"/>
    <col min="28" max="28" width="24.77734375" style="2" customWidth="1"/>
    <col min="29" max="29" width="7.5546875" style="2" customWidth="1"/>
    <col min="30" max="30" width="5.109375" style="2" customWidth="1"/>
    <col min="31" max="31" width="28" style="2" customWidth="1"/>
    <col min="32" max="32" width="6.21875" style="2" customWidth="1"/>
    <col min="33" max="33" width="5.21875" style="2" customWidth="1"/>
    <col min="34" max="34" width="26.77734375" style="2" customWidth="1"/>
    <col min="35" max="35" width="6.77734375" style="2" customWidth="1"/>
    <col min="36" max="36" width="6" style="2" customWidth="1"/>
    <col min="37" max="37" width="28.6640625" style="2" customWidth="1"/>
    <col min="38" max="38" width="7.109375" style="2" customWidth="1"/>
    <col min="39" max="39" width="10.5546875" style="2" bestFit="1" customWidth="1"/>
    <col min="40" max="16384" width="8.77734375" style="2"/>
  </cols>
  <sheetData>
    <row r="1" spans="3:38" ht="14.1" customHeight="1"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AA1" s="1448" t="s">
        <v>371</v>
      </c>
      <c r="AB1" s="1448"/>
      <c r="AC1" s="1448"/>
      <c r="AD1" s="1448"/>
      <c r="AE1" s="1448"/>
      <c r="AF1" s="1448"/>
      <c r="AG1" s="1448"/>
      <c r="AH1" s="1448"/>
      <c r="AI1" s="1448"/>
      <c r="AJ1" s="1448"/>
      <c r="AK1" s="1448"/>
      <c r="AL1" s="1448"/>
    </row>
    <row r="2" spans="3:38" ht="18" customHeight="1" thickBot="1">
      <c r="F2" s="77"/>
      <c r="G2" s="839" t="s">
        <v>357</v>
      </c>
      <c r="H2" s="839"/>
      <c r="I2" s="839"/>
      <c r="J2" s="839"/>
      <c r="K2" s="839"/>
      <c r="L2" s="840"/>
      <c r="M2" s="70"/>
      <c r="N2" s="418" t="s">
        <v>33</v>
      </c>
      <c r="O2" s="419"/>
      <c r="P2" s="419"/>
      <c r="Q2" s="419"/>
      <c r="R2" s="419"/>
      <c r="AA2" s="1449"/>
      <c r="AB2" s="1449"/>
      <c r="AC2" s="1449"/>
      <c r="AD2" s="1449"/>
      <c r="AE2" s="1449"/>
      <c r="AF2" s="1449"/>
      <c r="AG2" s="1449"/>
      <c r="AH2" s="1449"/>
      <c r="AI2" s="1449"/>
      <c r="AJ2" s="1449"/>
      <c r="AK2" s="1449"/>
      <c r="AL2" s="1449"/>
    </row>
    <row r="3" spans="3:38" ht="17.100000000000001" customHeight="1" thickBot="1">
      <c r="E3" s="310">
        <v>0.91</v>
      </c>
      <c r="F3" s="77"/>
      <c r="G3" s="72" t="s">
        <v>52</v>
      </c>
      <c r="H3" s="844" t="s">
        <v>254</v>
      </c>
      <c r="I3" s="845"/>
      <c r="J3" s="845"/>
      <c r="K3" s="845"/>
      <c r="L3" s="846"/>
      <c r="M3" s="415"/>
      <c r="N3" s="420" t="s">
        <v>65</v>
      </c>
      <c r="O3" s="421"/>
      <c r="P3" s="422" t="s">
        <v>61</v>
      </c>
      <c r="Q3" s="423"/>
      <c r="R3" s="424" t="s">
        <v>10</v>
      </c>
      <c r="S3" s="1346" t="s">
        <v>51</v>
      </c>
      <c r="T3" s="1347"/>
      <c r="AA3" s="1445" t="s">
        <v>268</v>
      </c>
      <c r="AB3" s="1446"/>
      <c r="AC3" s="1447"/>
      <c r="AD3" s="1445" t="s">
        <v>269</v>
      </c>
      <c r="AE3" s="1446"/>
      <c r="AF3" s="1447"/>
      <c r="AG3" s="1445" t="s">
        <v>282</v>
      </c>
      <c r="AH3" s="1446"/>
      <c r="AI3" s="1447"/>
      <c r="AJ3" s="1445" t="s">
        <v>290</v>
      </c>
      <c r="AK3" s="1446"/>
      <c r="AL3" s="1447"/>
    </row>
    <row r="4" spans="3:38" ht="17.100000000000001" customHeight="1" thickBot="1">
      <c r="E4" s="311">
        <f>J24/(J14*E3)</f>
        <v>2.965707299198336</v>
      </c>
      <c r="F4" s="77"/>
      <c r="G4" s="73" t="s">
        <v>11</v>
      </c>
      <c r="H4" s="849" t="s">
        <v>390</v>
      </c>
      <c r="I4" s="850"/>
      <c r="J4" s="850"/>
      <c r="K4" s="850"/>
      <c r="L4" s="851"/>
      <c r="M4" s="415"/>
      <c r="N4" s="425" t="s">
        <v>4</v>
      </c>
      <c r="O4" s="852" t="str">
        <f>INDEX($N$104:$R$104,MATCH($H$79,$N$103:$R$103,1))</f>
        <v>1000~2000세대 미만</v>
      </c>
      <c r="P4" s="852"/>
      <c r="Q4" s="853"/>
      <c r="R4" s="388">
        <f>INDEX($N$105:$R$105,MATCH($H$79,$N$103:$R$103,1))</f>
        <v>15</v>
      </c>
      <c r="S4" s="21"/>
      <c r="T4" s="426"/>
      <c r="AA4" s="462"/>
      <c r="AB4" s="463"/>
      <c r="AC4" s="462"/>
      <c r="AD4" s="462"/>
      <c r="AE4" s="463"/>
      <c r="AF4" s="462"/>
      <c r="AG4" s="462"/>
      <c r="AH4" s="463"/>
      <c r="AI4" s="462"/>
      <c r="AJ4" s="462"/>
      <c r="AK4" s="463"/>
      <c r="AL4" s="462"/>
    </row>
    <row r="5" spans="3:38" ht="17.100000000000001" customHeight="1">
      <c r="F5" s="77"/>
      <c r="G5" s="73" t="s">
        <v>27</v>
      </c>
      <c r="H5" s="849" t="s">
        <v>231</v>
      </c>
      <c r="I5" s="850"/>
      <c r="J5" s="850"/>
      <c r="K5" s="850"/>
      <c r="L5" s="851"/>
      <c r="M5" s="415"/>
      <c r="N5" s="427" t="s">
        <v>5</v>
      </c>
      <c r="O5" s="857" t="s">
        <v>25</v>
      </c>
      <c r="P5" s="857"/>
      <c r="Q5" s="861"/>
      <c r="R5" s="389" t="s">
        <v>12</v>
      </c>
      <c r="S5" s="22"/>
      <c r="T5" s="428"/>
      <c r="AA5" s="464" t="s">
        <v>255</v>
      </c>
      <c r="AB5" s="465" t="s">
        <v>331</v>
      </c>
      <c r="AC5" s="468" t="s">
        <v>271</v>
      </c>
      <c r="AD5" s="464" t="s">
        <v>275</v>
      </c>
      <c r="AE5" s="465" t="s">
        <v>335</v>
      </c>
      <c r="AF5" s="468" t="s">
        <v>271</v>
      </c>
      <c r="AG5" s="464" t="s">
        <v>298</v>
      </c>
      <c r="AH5" s="465" t="s">
        <v>353</v>
      </c>
      <c r="AI5" s="468" t="s">
        <v>302</v>
      </c>
      <c r="AJ5" s="464" t="s">
        <v>292</v>
      </c>
      <c r="AK5" s="465" t="s">
        <v>359</v>
      </c>
      <c r="AL5" s="470" t="s">
        <v>272</v>
      </c>
    </row>
    <row r="6" spans="3:38" ht="17.100000000000001" customHeight="1">
      <c r="F6" s="77"/>
      <c r="G6" s="73" t="s">
        <v>39</v>
      </c>
      <c r="H6" s="50" t="s">
        <v>388</v>
      </c>
      <c r="I6" s="185">
        <f>ROUNDUP(E4,0)</f>
        <v>3</v>
      </c>
      <c r="J6" s="186"/>
      <c r="K6" s="186"/>
      <c r="L6" s="186"/>
      <c r="M6" s="415"/>
      <c r="N6" s="427" t="s">
        <v>6</v>
      </c>
      <c r="O6" s="862">
        <f>H79</f>
        <v>1542</v>
      </c>
      <c r="P6" s="862"/>
      <c r="Q6" s="23">
        <f>IF(H79&gt;=50, ROUNDUP((10+(H79-50)*0.05),2), "해당없음")</f>
        <v>84.6</v>
      </c>
      <c r="R6" s="762">
        <v>200</v>
      </c>
      <c r="S6" s="1143" t="s">
        <v>13</v>
      </c>
      <c r="T6" s="1366"/>
      <c r="AA6" s="464" t="s">
        <v>257</v>
      </c>
      <c r="AB6" s="465" t="s">
        <v>327</v>
      </c>
      <c r="AC6" s="468" t="s">
        <v>270</v>
      </c>
      <c r="AD6" s="464" t="s">
        <v>276</v>
      </c>
      <c r="AE6" s="465" t="s">
        <v>335</v>
      </c>
      <c r="AF6" s="468" t="s">
        <v>271</v>
      </c>
      <c r="AG6" s="464" t="s">
        <v>283</v>
      </c>
      <c r="AH6" s="465" t="s">
        <v>353</v>
      </c>
      <c r="AI6" s="468" t="s">
        <v>302</v>
      </c>
      <c r="AJ6" s="464" t="s">
        <v>293</v>
      </c>
      <c r="AK6" s="465" t="s">
        <v>359</v>
      </c>
      <c r="AL6" s="470" t="s">
        <v>272</v>
      </c>
    </row>
    <row r="7" spans="3:38" ht="17.100000000000001" customHeight="1">
      <c r="F7" s="77"/>
      <c r="G7" s="74" t="s">
        <v>40</v>
      </c>
      <c r="H7" s="863" t="s">
        <v>78</v>
      </c>
      <c r="I7" s="864"/>
      <c r="J7" s="864"/>
      <c r="K7" s="864"/>
      <c r="L7" s="865"/>
      <c r="M7" s="415"/>
      <c r="N7" s="429" t="s">
        <v>66</v>
      </c>
      <c r="O7" s="24"/>
      <c r="P7" s="63"/>
      <c r="Q7" s="25"/>
      <c r="R7" s="763">
        <v>150</v>
      </c>
      <c r="S7" s="859"/>
      <c r="T7" s="1348"/>
      <c r="AA7" s="464" t="s">
        <v>259</v>
      </c>
      <c r="AB7" s="465" t="s">
        <v>328</v>
      </c>
      <c r="AC7" s="468" t="s">
        <v>270</v>
      </c>
      <c r="AD7" s="464" t="s">
        <v>277</v>
      </c>
      <c r="AE7" s="465" t="s">
        <v>336</v>
      </c>
      <c r="AF7" s="468" t="s">
        <v>280</v>
      </c>
      <c r="AG7" s="464" t="s">
        <v>284</v>
      </c>
      <c r="AH7" s="465" t="s">
        <v>353</v>
      </c>
      <c r="AI7" s="468" t="s">
        <v>302</v>
      </c>
      <c r="AJ7" s="464" t="s">
        <v>294</v>
      </c>
      <c r="AK7" s="465" t="s">
        <v>360</v>
      </c>
      <c r="AL7" s="470" t="s">
        <v>280</v>
      </c>
    </row>
    <row r="8" spans="3:38" ht="17.100000000000001" customHeight="1">
      <c r="F8" s="77"/>
      <c r="G8" s="1134" t="s">
        <v>41</v>
      </c>
      <c r="H8" s="884" t="s">
        <v>3</v>
      </c>
      <c r="I8" s="885"/>
      <c r="J8" s="325">
        <f>'설계개요(통합개요-1)'!J8</f>
        <v>250722.1</v>
      </c>
      <c r="K8" s="331">
        <f t="shared" ref="K8" si="0">ROUNDDOWN(J8*0.3025,2)</f>
        <v>75843.429999999993</v>
      </c>
      <c r="L8" s="105">
        <f t="shared" ref="L8:L14" si="1">J8/$J$8</f>
        <v>1</v>
      </c>
      <c r="M8" s="416"/>
      <c r="N8" s="425" t="s">
        <v>67</v>
      </c>
      <c r="O8" s="1093" t="s">
        <v>75</v>
      </c>
      <c r="P8" s="1356" t="s">
        <v>469</v>
      </c>
      <c r="Q8" s="768">
        <f>580+(H79*0.2)</f>
        <v>888.40000000000009</v>
      </c>
      <c r="R8" s="761">
        <v>900</v>
      </c>
      <c r="S8" s="1349" t="s">
        <v>247</v>
      </c>
      <c r="T8" s="1350"/>
      <c r="AA8" s="464" t="s">
        <v>260</v>
      </c>
      <c r="AB8" s="465" t="s">
        <v>329</v>
      </c>
      <c r="AC8" s="468" t="s">
        <v>272</v>
      </c>
      <c r="AD8" s="464" t="s">
        <v>278</v>
      </c>
      <c r="AE8" s="465" t="s">
        <v>336</v>
      </c>
      <c r="AF8" s="468" t="s">
        <v>280</v>
      </c>
      <c r="AG8" s="464" t="s">
        <v>285</v>
      </c>
      <c r="AH8" s="465" t="s">
        <v>335</v>
      </c>
      <c r="AI8" s="468" t="s">
        <v>271</v>
      </c>
      <c r="AJ8" s="464" t="s">
        <v>295</v>
      </c>
      <c r="AK8" s="465" t="s">
        <v>360</v>
      </c>
      <c r="AL8" s="470" t="s">
        <v>280</v>
      </c>
    </row>
    <row r="9" spans="3:38" ht="17.100000000000001" customHeight="1">
      <c r="F9" s="77"/>
      <c r="G9" s="1135"/>
      <c r="H9" s="1137" t="s">
        <v>14</v>
      </c>
      <c r="I9" s="65" t="s">
        <v>349</v>
      </c>
      <c r="J9" s="326">
        <v>69445.7</v>
      </c>
      <c r="K9" s="332">
        <f t="shared" ref="K9:K14" si="2">ROUNDDOWN(J9*0.3025,2)</f>
        <v>21007.32</v>
      </c>
      <c r="L9" s="15">
        <f t="shared" si="1"/>
        <v>0.27698276298738722</v>
      </c>
      <c r="M9" s="415"/>
      <c r="N9" s="427" t="s">
        <v>24</v>
      </c>
      <c r="O9" s="1093"/>
      <c r="P9" s="1356"/>
      <c r="Q9" s="768">
        <f>580+(H79*0.2)</f>
        <v>888.40000000000009</v>
      </c>
      <c r="R9" s="762">
        <v>900</v>
      </c>
      <c r="S9" s="1241" t="s">
        <v>247</v>
      </c>
      <c r="T9" s="1351"/>
      <c r="AA9" s="464" t="s">
        <v>261</v>
      </c>
      <c r="AB9" s="465" t="s">
        <v>329</v>
      </c>
      <c r="AC9" s="468" t="s">
        <v>272</v>
      </c>
      <c r="AD9" s="464" t="s">
        <v>279</v>
      </c>
      <c r="AE9" s="465" t="s">
        <v>336</v>
      </c>
      <c r="AF9" s="468" t="s">
        <v>280</v>
      </c>
      <c r="AG9" s="464" t="s">
        <v>286</v>
      </c>
      <c r="AH9" s="465" t="s">
        <v>335</v>
      </c>
      <c r="AI9" s="468" t="s">
        <v>271</v>
      </c>
      <c r="AJ9" s="464" t="s">
        <v>296</v>
      </c>
      <c r="AK9" s="465" t="s">
        <v>359</v>
      </c>
      <c r="AL9" s="470" t="s">
        <v>272</v>
      </c>
    </row>
    <row r="10" spans="3:38" ht="17.100000000000001" customHeight="1">
      <c r="C10" s="130" t="s">
        <v>158</v>
      </c>
      <c r="D10" s="289">
        <v>3</v>
      </c>
      <c r="E10" s="312">
        <f>$H$79*D10</f>
        <v>4626</v>
      </c>
      <c r="F10" s="77"/>
      <c r="G10" s="1135"/>
      <c r="H10" s="1138"/>
      <c r="I10" s="65" t="s">
        <v>350</v>
      </c>
      <c r="J10" s="326">
        <v>36512.699999999997</v>
      </c>
      <c r="K10" s="332">
        <f t="shared" si="2"/>
        <v>11045.09</v>
      </c>
      <c r="L10" s="15">
        <f t="shared" si="1"/>
        <v>0.14563016184053976</v>
      </c>
      <c r="M10" s="415"/>
      <c r="N10" s="427" t="s">
        <v>35</v>
      </c>
      <c r="O10" s="1093"/>
      <c r="P10" s="1357"/>
      <c r="Q10" s="768">
        <f>203+(H79*0.2)</f>
        <v>511.40000000000003</v>
      </c>
      <c r="R10" s="762">
        <v>700</v>
      </c>
      <c r="S10" s="773"/>
      <c r="T10" s="428"/>
      <c r="AA10" s="464" t="s">
        <v>262</v>
      </c>
      <c r="AB10" s="465" t="s">
        <v>329</v>
      </c>
      <c r="AC10" s="468" t="s">
        <v>272</v>
      </c>
      <c r="AD10" s="464"/>
      <c r="AE10" s="465"/>
      <c r="AF10" s="464"/>
      <c r="AG10" s="464" t="s">
        <v>287</v>
      </c>
      <c r="AH10" s="465" t="s">
        <v>336</v>
      </c>
      <c r="AI10" s="468" t="s">
        <v>280</v>
      </c>
      <c r="AJ10" s="464" t="s">
        <v>297</v>
      </c>
      <c r="AK10" s="465" t="s">
        <v>360</v>
      </c>
      <c r="AL10" s="470" t="s">
        <v>280</v>
      </c>
    </row>
    <row r="11" spans="3:38" ht="17.100000000000001" customHeight="1">
      <c r="F11" s="77"/>
      <c r="G11" s="1135"/>
      <c r="H11" s="1138"/>
      <c r="I11" s="65" t="s">
        <v>358</v>
      </c>
      <c r="J11" s="326">
        <v>41680.400000000001</v>
      </c>
      <c r="K11" s="332">
        <f t="shared" si="2"/>
        <v>12608.32</v>
      </c>
      <c r="L11" s="15">
        <f t="shared" si="1"/>
        <v>0.16624142825861782</v>
      </c>
      <c r="M11" s="415"/>
      <c r="N11" s="430" t="s">
        <v>88</v>
      </c>
      <c r="O11" s="1093"/>
      <c r="P11" s="147" t="s">
        <v>479</v>
      </c>
      <c r="Q11" s="768">
        <v>66</v>
      </c>
      <c r="R11" s="762">
        <v>400</v>
      </c>
      <c r="S11" s="773"/>
      <c r="T11" s="428"/>
      <c r="AA11" s="464" t="s">
        <v>263</v>
      </c>
      <c r="AB11" s="465" t="s">
        <v>329</v>
      </c>
      <c r="AC11" s="468" t="s">
        <v>272</v>
      </c>
      <c r="AD11" s="464"/>
      <c r="AE11" s="465"/>
      <c r="AF11" s="464"/>
      <c r="AG11" s="464" t="s">
        <v>288</v>
      </c>
      <c r="AH11" s="465" t="s">
        <v>336</v>
      </c>
      <c r="AI11" s="468" t="s">
        <v>280</v>
      </c>
      <c r="AJ11" s="464" t="s">
        <v>291</v>
      </c>
      <c r="AK11" s="465" t="s">
        <v>359</v>
      </c>
      <c r="AL11" s="470" t="s">
        <v>272</v>
      </c>
    </row>
    <row r="12" spans="3:38" ht="17.100000000000001" customHeight="1">
      <c r="F12" s="77"/>
      <c r="G12" s="1135"/>
      <c r="H12" s="1138"/>
      <c r="I12" s="65" t="s">
        <v>348</v>
      </c>
      <c r="J12" s="326">
        <v>41998.6</v>
      </c>
      <c r="K12" s="332">
        <f t="shared" si="2"/>
        <v>12704.57</v>
      </c>
      <c r="L12" s="15">
        <f t="shared" si="1"/>
        <v>0.16751056249130011</v>
      </c>
      <c r="M12" s="415"/>
      <c r="N12" s="430" t="s">
        <v>34</v>
      </c>
      <c r="O12" s="1093"/>
      <c r="P12" s="759" t="s">
        <v>466</v>
      </c>
      <c r="Q12" s="770" t="s">
        <v>480</v>
      </c>
      <c r="R12" s="762">
        <v>8295</v>
      </c>
      <c r="S12" s="1352"/>
      <c r="T12" s="1353"/>
      <c r="AA12" s="464" t="s">
        <v>264</v>
      </c>
      <c r="AB12" s="465" t="s">
        <v>328</v>
      </c>
      <c r="AC12" s="468" t="s">
        <v>270</v>
      </c>
      <c r="AD12" s="464"/>
      <c r="AE12" s="465"/>
      <c r="AF12" s="464"/>
      <c r="AG12" s="464" t="s">
        <v>289</v>
      </c>
      <c r="AH12" s="465" t="s">
        <v>335</v>
      </c>
      <c r="AI12" s="468" t="s">
        <v>271</v>
      </c>
      <c r="AJ12" s="464" t="s">
        <v>299</v>
      </c>
      <c r="AK12" s="465" t="s">
        <v>359</v>
      </c>
      <c r="AL12" s="470" t="s">
        <v>272</v>
      </c>
    </row>
    <row r="13" spans="3:38" ht="16.5" customHeight="1">
      <c r="F13" s="77"/>
      <c r="G13" s="1135"/>
      <c r="H13" s="1139"/>
      <c r="I13" s="65" t="s">
        <v>47</v>
      </c>
      <c r="J13" s="327">
        <f>J9+J10+J11+J12</f>
        <v>189637.4</v>
      </c>
      <c r="K13" s="333">
        <f t="shared" si="2"/>
        <v>57365.31</v>
      </c>
      <c r="L13" s="102">
        <f t="shared" si="1"/>
        <v>0.75636491557784491</v>
      </c>
      <c r="M13" s="415"/>
      <c r="N13" s="430" t="s">
        <v>76</v>
      </c>
      <c r="O13" s="1093"/>
      <c r="P13" s="758" t="s">
        <v>483</v>
      </c>
      <c r="Q13" s="770" t="s">
        <v>480</v>
      </c>
      <c r="R13" s="762">
        <v>1000</v>
      </c>
      <c r="S13" s="22"/>
      <c r="T13" s="428"/>
      <c r="AA13" s="464" t="s">
        <v>265</v>
      </c>
      <c r="AB13" s="465" t="s">
        <v>328</v>
      </c>
      <c r="AC13" s="468" t="s">
        <v>270</v>
      </c>
      <c r="AD13" s="464"/>
      <c r="AE13" s="465"/>
      <c r="AF13" s="464"/>
      <c r="AG13" s="464"/>
      <c r="AH13" s="465"/>
      <c r="AI13" s="468"/>
      <c r="AJ13" s="464" t="s">
        <v>300</v>
      </c>
      <c r="AK13" s="465" t="s">
        <v>361</v>
      </c>
      <c r="AL13" s="470" t="s">
        <v>302</v>
      </c>
    </row>
    <row r="14" spans="3:38" ht="17.100000000000001" customHeight="1">
      <c r="F14" s="77"/>
      <c r="G14" s="1135"/>
      <c r="H14" s="1137" t="s">
        <v>42</v>
      </c>
      <c r="I14" s="1329"/>
      <c r="J14" s="1332">
        <f>J8-J9-J10-J11-J12</f>
        <v>61084.700000000019</v>
      </c>
      <c r="K14" s="1334">
        <f t="shared" si="2"/>
        <v>18478.12</v>
      </c>
      <c r="L14" s="1336">
        <f t="shared" si="1"/>
        <v>0.24363508442215512</v>
      </c>
      <c r="M14" s="415"/>
      <c r="N14" s="774" t="s">
        <v>77</v>
      </c>
      <c r="O14" s="1093"/>
      <c r="P14" s="818" t="s">
        <v>484</v>
      </c>
      <c r="Q14" s="775">
        <f>500+(H79*0.7)</f>
        <v>1579.3999999999999</v>
      </c>
      <c r="R14" s="812">
        <v>1900</v>
      </c>
      <c r="S14" s="1354" t="s">
        <v>467</v>
      </c>
      <c r="T14" s="1355"/>
      <c r="AA14" s="464" t="s">
        <v>266</v>
      </c>
      <c r="AB14" s="465" t="s">
        <v>329</v>
      </c>
      <c r="AC14" s="468" t="s">
        <v>272</v>
      </c>
      <c r="AD14" s="464"/>
      <c r="AE14" s="465"/>
      <c r="AF14" s="464"/>
      <c r="AG14" s="464"/>
      <c r="AH14" s="465"/>
      <c r="AI14" s="464"/>
      <c r="AJ14" s="464" t="s">
        <v>301</v>
      </c>
      <c r="AK14" s="465" t="s">
        <v>361</v>
      </c>
      <c r="AL14" s="470" t="s">
        <v>302</v>
      </c>
    </row>
    <row r="15" spans="3:38" ht="17.100000000000001" customHeight="1">
      <c r="F15" s="77"/>
      <c r="G15" s="1136"/>
      <c r="H15" s="1330"/>
      <c r="I15" s="1331"/>
      <c r="J15" s="1333"/>
      <c r="K15" s="1335"/>
      <c r="L15" s="1337"/>
      <c r="M15" s="415"/>
      <c r="N15" s="420" t="s">
        <v>470</v>
      </c>
      <c r="O15" s="820"/>
      <c r="P15" s="821"/>
      <c r="Q15" s="822"/>
      <c r="R15" s="829">
        <v>1575</v>
      </c>
      <c r="S15" s="1338" t="s">
        <v>474</v>
      </c>
      <c r="T15" s="1339"/>
      <c r="AA15" s="464"/>
      <c r="AB15" s="465"/>
      <c r="AC15" s="468"/>
      <c r="AD15" s="464"/>
      <c r="AE15" s="465"/>
      <c r="AF15" s="464"/>
      <c r="AG15" s="464"/>
      <c r="AH15" s="465"/>
      <c r="AI15" s="464"/>
      <c r="AJ15" s="464"/>
      <c r="AK15" s="465"/>
      <c r="AL15" s="470"/>
    </row>
    <row r="16" spans="3:38" ht="17.100000000000001" customHeight="1" thickBot="1">
      <c r="C16" s="2">
        <v>120698</v>
      </c>
      <c r="F16" s="77"/>
      <c r="G16" s="881" t="s">
        <v>43</v>
      </c>
      <c r="H16" s="1145" t="s">
        <v>70</v>
      </c>
      <c r="I16" s="1082"/>
      <c r="J16" s="1146" t="s">
        <v>71</v>
      </c>
      <c r="K16" s="1147"/>
      <c r="L16" s="335" t="s">
        <v>72</v>
      </c>
      <c r="M16" s="415"/>
      <c r="N16" s="815" t="s">
        <v>26</v>
      </c>
      <c r="O16" s="1340" t="s">
        <v>238</v>
      </c>
      <c r="P16" s="1341"/>
      <c r="Q16" s="816">
        <f>500+($H$79*2)*1.25</f>
        <v>4355</v>
      </c>
      <c r="R16" s="817">
        <f>R8+R9+R10+R11+R12+R13+R14</f>
        <v>14095</v>
      </c>
      <c r="S16" s="1342" t="s">
        <v>485</v>
      </c>
      <c r="T16" s="1343"/>
      <c r="AA16" s="466" t="s">
        <v>267</v>
      </c>
      <c r="AB16" s="467" t="s">
        <v>330</v>
      </c>
      <c r="AC16" s="469" t="s">
        <v>272</v>
      </c>
      <c r="AD16" s="466"/>
      <c r="AE16" s="467"/>
      <c r="AF16" s="466"/>
      <c r="AG16" s="466"/>
      <c r="AH16" s="467"/>
      <c r="AI16" s="466"/>
      <c r="AJ16" s="466"/>
      <c r="AK16" s="467"/>
      <c r="AL16" s="461"/>
    </row>
    <row r="17" spans="3:38" ht="17.100000000000001" customHeight="1" thickBot="1">
      <c r="C17" s="2">
        <v>93504.3</v>
      </c>
      <c r="D17" s="145">
        <f>C17/C16</f>
        <v>0.77469634956668709</v>
      </c>
      <c r="F17" s="77"/>
      <c r="G17" s="882"/>
      <c r="H17" s="1112" t="s">
        <v>44</v>
      </c>
      <c r="I17" s="66" t="s">
        <v>45</v>
      </c>
      <c r="J17" s="329">
        <f>N79+R8+R9+R7+R11+R15</f>
        <v>183643.30000000002</v>
      </c>
      <c r="K17" s="332">
        <f t="shared" ref="K17:K25" si="3">ROUNDDOWN(J17*0.3025,2)</f>
        <v>55552.09</v>
      </c>
      <c r="L17" s="1148">
        <f>J17/$J$23</f>
        <v>0.99029352907330703</v>
      </c>
      <c r="M17" s="51"/>
      <c r="N17" s="434" t="s">
        <v>36</v>
      </c>
      <c r="O17" s="1097" t="s">
        <v>85</v>
      </c>
      <c r="P17" s="1098"/>
      <c r="Q17" s="771">
        <f>J14*0.15</f>
        <v>9162.7050000000017</v>
      </c>
      <c r="R17" s="772">
        <f>ROUNDUP(Q17,-2)+100</f>
        <v>9300</v>
      </c>
      <c r="S17" s="1419"/>
      <c r="T17" s="1420"/>
      <c r="V17" s="337" t="s">
        <v>188</v>
      </c>
      <c r="W17" s="337"/>
      <c r="X17" s="337"/>
      <c r="Y17" s="337"/>
      <c r="Z17" s="337"/>
      <c r="AA17" s="455" t="s">
        <v>1</v>
      </c>
      <c r="AB17" s="456"/>
      <c r="AC17" s="457" t="s">
        <v>274</v>
      </c>
      <c r="AD17" s="458"/>
      <c r="AE17" s="459"/>
      <c r="AF17" s="460" t="s">
        <v>281</v>
      </c>
      <c r="AG17" s="458"/>
      <c r="AH17" s="459"/>
      <c r="AI17" s="460" t="s">
        <v>304</v>
      </c>
      <c r="AJ17" s="458"/>
      <c r="AK17" s="459"/>
      <c r="AL17" s="460" t="s">
        <v>303</v>
      </c>
    </row>
    <row r="18" spans="3:38" ht="17.100000000000001" customHeight="1">
      <c r="F18" s="77"/>
      <c r="G18" s="882"/>
      <c r="H18" s="1113"/>
      <c r="I18" s="66" t="s">
        <v>46</v>
      </c>
      <c r="J18" s="329">
        <f>O79+Q79+R6+R10+R12</f>
        <v>163795</v>
      </c>
      <c r="K18" s="332">
        <f t="shared" si="3"/>
        <v>49547.98</v>
      </c>
      <c r="L18" s="1149"/>
      <c r="M18" s="415"/>
      <c r="N18" s="1422"/>
      <c r="O18" s="1362"/>
      <c r="P18" s="1362"/>
      <c r="Q18" s="1362"/>
      <c r="R18" s="1362"/>
      <c r="S18" s="1362"/>
      <c r="T18" s="1423"/>
      <c r="V18" s="338">
        <v>40</v>
      </c>
      <c r="W18" s="338"/>
      <c r="X18" s="338"/>
      <c r="Y18" s="338"/>
      <c r="Z18" s="338"/>
      <c r="AA18" s="438"/>
      <c r="AB18" s="439"/>
      <c r="AC18" s="440"/>
      <c r="AD18" s="453"/>
      <c r="AE18" s="454"/>
      <c r="AF18" s="444"/>
      <c r="AG18" s="453"/>
      <c r="AH18" s="454"/>
      <c r="AI18" s="444"/>
      <c r="AJ18" s="453"/>
      <c r="AK18" s="454"/>
      <c r="AL18" s="444"/>
    </row>
    <row r="19" spans="3:38" ht="17.100000000000001" customHeight="1">
      <c r="F19" s="77"/>
      <c r="G19" s="882"/>
      <c r="H19" s="1114"/>
      <c r="I19" s="66" t="s">
        <v>47</v>
      </c>
      <c r="J19" s="329">
        <f>SUM(J17:J18)</f>
        <v>347438.30000000005</v>
      </c>
      <c r="K19" s="332">
        <f t="shared" si="3"/>
        <v>105100.08</v>
      </c>
      <c r="L19" s="1150"/>
      <c r="M19" s="415"/>
      <c r="N19" s="1363" t="s">
        <v>37</v>
      </c>
      <c r="O19" s="874" t="s">
        <v>81</v>
      </c>
      <c r="P19" s="197" t="s">
        <v>122</v>
      </c>
      <c r="Q19" s="284">
        <f>ROUNDUP((SUMPRODUCT(H39:H52,J39:J52)+SUMPRODUCT(H59:H64,J59:J64))/75,0)</f>
        <v>1075</v>
      </c>
      <c r="R19" s="1158">
        <f>H79*S19</f>
        <v>3855</v>
      </c>
      <c r="S19" s="968">
        <v>2.5</v>
      </c>
      <c r="T19" s="1407"/>
      <c r="AA19" s="435"/>
      <c r="AB19" s="436"/>
      <c r="AC19" s="437"/>
      <c r="AD19" s="441"/>
      <c r="AE19" s="442"/>
      <c r="AF19" s="443"/>
      <c r="AG19" s="441"/>
      <c r="AH19" s="1450" t="s">
        <v>382</v>
      </c>
      <c r="AI19" s="1451"/>
      <c r="AJ19" s="441"/>
      <c r="AK19" s="442"/>
      <c r="AL19" s="443"/>
    </row>
    <row r="20" spans="3:38" ht="17.100000000000001" customHeight="1">
      <c r="F20" s="77"/>
      <c r="G20" s="882"/>
      <c r="H20" s="1421" t="s">
        <v>38</v>
      </c>
      <c r="I20" s="65" t="s">
        <v>45</v>
      </c>
      <c r="J20" s="329">
        <f>M86+M88</f>
        <v>1800</v>
      </c>
      <c r="K20" s="332">
        <f t="shared" si="3"/>
        <v>544.5</v>
      </c>
      <c r="L20" s="1148">
        <f>J20/$J$23</f>
        <v>9.7064709266929568E-3</v>
      </c>
      <c r="M20" s="415"/>
      <c r="N20" s="1364"/>
      <c r="O20" s="875"/>
      <c r="P20" s="150" t="s">
        <v>123</v>
      </c>
      <c r="Q20" s="286">
        <f>ROUNDUP((SUMPRODUCT(H65:H76,J65:J76))/65,0)</f>
        <v>832</v>
      </c>
      <c r="R20" s="1159"/>
      <c r="S20" s="970"/>
      <c r="T20" s="1408"/>
      <c r="AA20" s="445"/>
      <c r="AB20" s="446" t="s">
        <v>372</v>
      </c>
      <c r="AC20" s="447" t="s">
        <v>319</v>
      </c>
      <c r="AD20" s="448"/>
      <c r="AE20" s="446" t="s">
        <v>377</v>
      </c>
      <c r="AF20" s="447" t="s">
        <v>346</v>
      </c>
      <c r="AG20" s="448"/>
      <c r="AH20" s="446" t="s">
        <v>377</v>
      </c>
      <c r="AI20" s="447" t="s">
        <v>341</v>
      </c>
      <c r="AJ20" s="448"/>
      <c r="AK20" s="446" t="s">
        <v>386</v>
      </c>
      <c r="AL20" s="447" t="s">
        <v>363</v>
      </c>
    </row>
    <row r="21" spans="3:38" ht="17.100000000000001" customHeight="1">
      <c r="F21" s="77"/>
      <c r="G21" s="882"/>
      <c r="H21" s="1162"/>
      <c r="I21" s="65" t="s">
        <v>46</v>
      </c>
      <c r="J21" s="329">
        <f>O90+P90</f>
        <v>1060</v>
      </c>
      <c r="K21" s="332">
        <f t="shared" si="3"/>
        <v>320.64999999999998</v>
      </c>
      <c r="L21" s="1149"/>
      <c r="M21" s="415"/>
      <c r="N21" s="1364"/>
      <c r="O21" s="876"/>
      <c r="P21" s="151" t="s">
        <v>82</v>
      </c>
      <c r="Q21" s="285">
        <f>SUM(Q19:Q20)</f>
        <v>1907</v>
      </c>
      <c r="R21" s="1159"/>
      <c r="S21" s="970"/>
      <c r="T21" s="1408"/>
      <c r="AA21" s="445"/>
      <c r="AB21" s="446" t="s">
        <v>373</v>
      </c>
      <c r="AC21" s="447" t="s">
        <v>332</v>
      </c>
      <c r="AD21" s="448"/>
      <c r="AE21" s="446" t="s">
        <v>378</v>
      </c>
      <c r="AF21" s="447" t="s">
        <v>340</v>
      </c>
      <c r="AG21" s="448"/>
      <c r="AH21" s="446" t="s">
        <v>378</v>
      </c>
      <c r="AI21" s="447" t="s">
        <v>355</v>
      </c>
      <c r="AJ21" s="448"/>
      <c r="AK21" s="446" t="s">
        <v>385</v>
      </c>
      <c r="AL21" s="447" t="s">
        <v>366</v>
      </c>
    </row>
    <row r="22" spans="3:38" ht="17.100000000000001" customHeight="1">
      <c r="F22" s="77"/>
      <c r="G22" s="882"/>
      <c r="H22" s="1163"/>
      <c r="I22" s="65" t="s">
        <v>47</v>
      </c>
      <c r="J22" s="329">
        <f>J20+J21</f>
        <v>2860</v>
      </c>
      <c r="K22" s="332">
        <f t="shared" si="3"/>
        <v>865.15</v>
      </c>
      <c r="L22" s="1150"/>
      <c r="M22" s="417"/>
      <c r="N22" s="1364"/>
      <c r="O22" s="874" t="s">
        <v>86</v>
      </c>
      <c r="P22" s="159" t="s">
        <v>240</v>
      </c>
      <c r="Q22" s="284">
        <f>(SUM(H39)+SUM(H59)+SUM(H47:H50))*0.8</f>
        <v>200</v>
      </c>
      <c r="R22" s="1159"/>
      <c r="S22" s="970"/>
      <c r="T22" s="1408"/>
      <c r="U22"/>
      <c r="V22"/>
      <c r="W22"/>
      <c r="X22"/>
      <c r="Y22"/>
      <c r="Z22"/>
      <c r="AA22" s="445"/>
      <c r="AB22" s="446" t="s">
        <v>374</v>
      </c>
      <c r="AC22" s="447" t="s">
        <v>333</v>
      </c>
      <c r="AD22" s="448"/>
      <c r="AE22" s="446" t="s">
        <v>379</v>
      </c>
      <c r="AF22" s="447" t="s">
        <v>340</v>
      </c>
      <c r="AG22" s="448"/>
      <c r="AH22" s="446" t="s">
        <v>379</v>
      </c>
      <c r="AI22" s="447" t="s">
        <v>343</v>
      </c>
      <c r="AJ22" s="448"/>
      <c r="AK22" s="446" t="s">
        <v>384</v>
      </c>
      <c r="AL22" s="447" t="s">
        <v>364</v>
      </c>
    </row>
    <row r="23" spans="3:38" ht="17.100000000000001" customHeight="1">
      <c r="F23" s="77"/>
      <c r="G23" s="882"/>
      <c r="H23" s="1161" t="s">
        <v>1</v>
      </c>
      <c r="I23" s="65" t="s">
        <v>45</v>
      </c>
      <c r="J23" s="326">
        <f>J17+J20</f>
        <v>185443.30000000002</v>
      </c>
      <c r="K23" s="332">
        <f t="shared" si="3"/>
        <v>56096.59</v>
      </c>
      <c r="L23" s="1148">
        <f>J23/$J$23</f>
        <v>1</v>
      </c>
      <c r="M23" s="415"/>
      <c r="N23" s="1364"/>
      <c r="O23" s="875"/>
      <c r="P23" s="160" t="s">
        <v>241</v>
      </c>
      <c r="Q23" s="286">
        <f>(SUM(H51)+SUM(H61:H76)+SUM(H41:H44))*1</f>
        <v>1292</v>
      </c>
      <c r="R23" s="1159"/>
      <c r="S23" s="970"/>
      <c r="T23" s="1408"/>
      <c r="U23"/>
      <c r="V23"/>
      <c r="W23"/>
      <c r="X23"/>
      <c r="Y23"/>
      <c r="Z23"/>
      <c r="AA23" s="445"/>
      <c r="AB23" s="446" t="s">
        <v>376</v>
      </c>
      <c r="AC23" s="447" t="s">
        <v>334</v>
      </c>
      <c r="AD23" s="448"/>
      <c r="AE23" s="446" t="s">
        <v>380</v>
      </c>
      <c r="AF23" s="447" t="s">
        <v>343</v>
      </c>
      <c r="AG23" s="448"/>
      <c r="AH23" s="446" t="s">
        <v>380</v>
      </c>
      <c r="AI23" s="447" t="s">
        <v>356</v>
      </c>
      <c r="AJ23" s="448"/>
      <c r="AK23" s="446" t="s">
        <v>383</v>
      </c>
      <c r="AL23" s="447" t="s">
        <v>365</v>
      </c>
    </row>
    <row r="24" spans="3:38" ht="17.100000000000001" customHeight="1" thickBot="1">
      <c r="F24" s="77"/>
      <c r="G24" s="882"/>
      <c r="H24" s="1162"/>
      <c r="I24" s="65" t="s">
        <v>46</v>
      </c>
      <c r="J24" s="326">
        <f>J18+J21</f>
        <v>164855</v>
      </c>
      <c r="K24" s="332">
        <f t="shared" si="3"/>
        <v>49868.63</v>
      </c>
      <c r="L24" s="1149"/>
      <c r="M24" s="415"/>
      <c r="N24" s="1364"/>
      <c r="O24" s="876"/>
      <c r="P24" s="152" t="s">
        <v>82</v>
      </c>
      <c r="Q24" s="285">
        <f>SUM(Q22:Q23)</f>
        <v>1492</v>
      </c>
      <c r="R24" s="1160"/>
      <c r="S24" s="972"/>
      <c r="T24" s="1409"/>
      <c r="U24"/>
      <c r="V24"/>
      <c r="W24"/>
      <c r="X24"/>
      <c r="Y24"/>
      <c r="Z24"/>
      <c r="AA24" s="449"/>
      <c r="AB24" s="450" t="s">
        <v>375</v>
      </c>
      <c r="AC24" s="451" t="s">
        <v>272</v>
      </c>
      <c r="AD24" s="452"/>
      <c r="AE24" s="450" t="s">
        <v>381</v>
      </c>
      <c r="AF24" s="451" t="s">
        <v>345</v>
      </c>
      <c r="AG24" s="452"/>
      <c r="AH24" s="450" t="s">
        <v>381</v>
      </c>
      <c r="AI24" s="451" t="s">
        <v>354</v>
      </c>
      <c r="AJ24" s="452"/>
      <c r="AK24" s="450" t="s">
        <v>373</v>
      </c>
      <c r="AL24" s="451" t="s">
        <v>362</v>
      </c>
    </row>
    <row r="25" spans="3:38" ht="17.100000000000001" customHeight="1">
      <c r="F25" s="77"/>
      <c r="G25" s="1144"/>
      <c r="H25" s="1164"/>
      <c r="I25" s="263" t="s">
        <v>1</v>
      </c>
      <c r="J25" s="330">
        <f>J19+J22</f>
        <v>350298.30000000005</v>
      </c>
      <c r="K25" s="334">
        <f t="shared" si="3"/>
        <v>105965.23</v>
      </c>
      <c r="L25" s="1165"/>
      <c r="M25" s="415"/>
      <c r="N25" s="1364"/>
      <c r="O25" s="153" t="s">
        <v>38</v>
      </c>
      <c r="P25" s="154">
        <v>134</v>
      </c>
      <c r="Q25" s="287">
        <f>(M90+O90)/P25</f>
        <v>15.671641791044776</v>
      </c>
      <c r="R25" s="290">
        <f>ROUNDUP(Q25*S25,0)</f>
        <v>19</v>
      </c>
      <c r="S25" s="1358">
        <v>1.2</v>
      </c>
      <c r="T25" s="1359"/>
      <c r="U25"/>
      <c r="V25"/>
      <c r="W25"/>
      <c r="X25"/>
      <c r="Y25"/>
      <c r="Z25"/>
      <c r="AB25" s="384"/>
      <c r="AC25" s="384"/>
      <c r="AD25" s="384"/>
      <c r="AE25" s="384"/>
      <c r="AF25" s="384"/>
      <c r="AG25" s="384"/>
      <c r="AH25" s="384"/>
      <c r="AI25" s="384"/>
      <c r="AJ25" s="384"/>
      <c r="AK25" s="384"/>
      <c r="AL25" s="384"/>
    </row>
    <row r="26" spans="3:38" ht="17.100000000000001" customHeight="1">
      <c r="F26" s="77"/>
      <c r="G26" s="309"/>
      <c r="H26" s="1168"/>
      <c r="I26" s="1169"/>
      <c r="J26" s="303"/>
      <c r="K26" s="304"/>
      <c r="M26" s="51"/>
      <c r="N26" s="1365"/>
      <c r="O26" s="912" t="s">
        <v>69</v>
      </c>
      <c r="P26" s="913"/>
      <c r="Q26" s="288">
        <f>Q21+Q25</f>
        <v>1922.6716417910447</v>
      </c>
      <c r="R26" s="291">
        <f>SUM(R19+R25)</f>
        <v>3874</v>
      </c>
      <c r="S26" s="306"/>
      <c r="T26" s="431"/>
      <c r="U26"/>
      <c r="V26" s="313"/>
      <c r="W26"/>
      <c r="X26"/>
      <c r="Y26"/>
      <c r="Z26"/>
      <c r="AB26" s="384"/>
      <c r="AC26" s="384"/>
      <c r="AD26" s="384"/>
      <c r="AE26" s="384"/>
      <c r="AF26" s="384"/>
      <c r="AG26" s="384"/>
      <c r="AH26" s="384"/>
      <c r="AI26" s="384"/>
      <c r="AJ26" s="384"/>
      <c r="AK26" s="384"/>
      <c r="AL26" s="384"/>
    </row>
    <row r="27" spans="3:38" ht="17.100000000000001" customHeight="1">
      <c r="F27" s="77"/>
      <c r="G27" s="72" t="s">
        <v>48</v>
      </c>
      <c r="H27" s="1105">
        <f>7809.473+R7+R8+R9+(M86/2)</f>
        <v>10659.473</v>
      </c>
      <c r="I27" s="1106"/>
      <c r="J27" s="1107"/>
      <c r="K27" s="12">
        <f>ROUNDDOWN(H27*0.3025,2)</f>
        <v>3224.49</v>
      </c>
      <c r="L27" s="1170">
        <v>50</v>
      </c>
      <c r="M27" s="415"/>
      <c r="N27" s="1172"/>
      <c r="O27" s="1173"/>
      <c r="P27" s="1173"/>
      <c r="Q27" s="1173"/>
      <c r="R27" s="1173"/>
      <c r="S27" s="1173"/>
      <c r="T27" s="1173"/>
      <c r="U27"/>
      <c r="V27" s="313"/>
      <c r="W27"/>
      <c r="X27"/>
      <c r="Y27"/>
      <c r="Z27"/>
      <c r="AB27" s="384"/>
      <c r="AC27" s="384"/>
      <c r="AD27" s="384"/>
      <c r="AE27" s="384"/>
      <c r="AF27" s="384"/>
      <c r="AG27" s="384"/>
      <c r="AH27" s="384"/>
      <c r="AI27" s="384"/>
      <c r="AJ27" s="384"/>
      <c r="AK27" s="384"/>
      <c r="AL27" s="384"/>
    </row>
    <row r="28" spans="3:38" ht="17.100000000000001" customHeight="1">
      <c r="E28" s="321">
        <f>I47+I51+I59+I61+I63</f>
        <v>0.66147859922178986</v>
      </c>
      <c r="F28" s="77"/>
      <c r="G28" s="74" t="s">
        <v>0</v>
      </c>
      <c r="H28" s="1108">
        <f>H27/J14</f>
        <v>0.1745031570917103</v>
      </c>
      <c r="I28" s="1109"/>
      <c r="J28" s="1109"/>
      <c r="K28" s="1110"/>
      <c r="L28" s="1171"/>
      <c r="M28" s="415"/>
      <c r="N28" s="1372" t="s">
        <v>236</v>
      </c>
      <c r="O28" s="339">
        <v>3</v>
      </c>
      <c r="P28" s="340">
        <f>'설계개요(1단지)'!P31</f>
        <v>2.484</v>
      </c>
      <c r="Q28" s="341">
        <v>2</v>
      </c>
      <c r="R28" s="342">
        <f>(O28-P28)/Q28</f>
        <v>0.25800000000000001</v>
      </c>
      <c r="S28" s="1175">
        <f>R29</f>
        <v>15759.852600000006</v>
      </c>
      <c r="T28" s="1375">
        <f>P30+P31+P32</f>
        <v>184</v>
      </c>
      <c r="U28"/>
      <c r="V28" s="313"/>
      <c r="W28"/>
      <c r="X28"/>
      <c r="Y28"/>
      <c r="Z28"/>
      <c r="AB28" s="384"/>
      <c r="AC28" s="384"/>
      <c r="AD28" s="384"/>
      <c r="AE28" s="384"/>
      <c r="AF28" s="384"/>
      <c r="AG28" s="384"/>
      <c r="AH28" s="384"/>
      <c r="AI28" s="384"/>
      <c r="AJ28" s="384"/>
      <c r="AK28" s="384"/>
      <c r="AL28" s="384"/>
    </row>
    <row r="29" spans="3:38" ht="17.100000000000001" customHeight="1">
      <c r="E29" s="321">
        <f>I67+I75</f>
        <v>0.12386511024643321</v>
      </c>
      <c r="F29" s="77"/>
      <c r="G29" s="75" t="s">
        <v>64</v>
      </c>
      <c r="H29" s="1105">
        <f>J23-R8-R9-R11</f>
        <v>183243.30000000002</v>
      </c>
      <c r="I29" s="1106"/>
      <c r="J29" s="1107"/>
      <c r="K29" s="12">
        <f>ROUNDDOWN(H29*0.3025,2)</f>
        <v>55431.09</v>
      </c>
      <c r="L29" s="1180" t="s">
        <v>201</v>
      </c>
      <c r="M29" s="415"/>
      <c r="N29" s="1373"/>
      <c r="O29" s="343"/>
      <c r="P29" s="344">
        <f>J14</f>
        <v>61084.700000000019</v>
      </c>
      <c r="Q29" s="345">
        <f>R28</f>
        <v>0.25800000000000001</v>
      </c>
      <c r="R29" s="346">
        <f>P29*Q29</f>
        <v>15759.852600000006</v>
      </c>
      <c r="S29" s="1176"/>
      <c r="T29" s="1376"/>
      <c r="U29" s="274"/>
      <c r="V29" s="275"/>
      <c r="W29" s="727"/>
      <c r="X29" s="727"/>
      <c r="Y29" s="727"/>
      <c r="Z29" s="727"/>
      <c r="AB29" s="384"/>
      <c r="AC29" s="384"/>
      <c r="AD29" s="384"/>
      <c r="AE29" s="384"/>
      <c r="AF29" s="384"/>
      <c r="AG29" s="384"/>
      <c r="AH29" s="384"/>
      <c r="AI29" s="384"/>
      <c r="AJ29" s="384"/>
      <c r="AK29" s="384"/>
      <c r="AL29" s="384"/>
    </row>
    <row r="30" spans="3:38" ht="17.100000000000001" customHeight="1">
      <c r="F30" s="77"/>
      <c r="G30" s="74" t="s">
        <v>62</v>
      </c>
      <c r="H30" s="854">
        <f>H29/J14</f>
        <v>2.9998231963159343</v>
      </c>
      <c r="I30" s="855"/>
      <c r="J30" s="855"/>
      <c r="K30" s="856"/>
      <c r="L30" s="1181"/>
      <c r="M30" s="415"/>
      <c r="N30" s="1373"/>
      <c r="O30" s="347"/>
      <c r="P30" s="348"/>
      <c r="Q30" s="349"/>
      <c r="R30" s="350"/>
      <c r="S30" s="1182">
        <f>R30+R31+R32</f>
        <v>15774.36</v>
      </c>
      <c r="T30" s="1376"/>
      <c r="U30" s="274"/>
      <c r="V30" s="378">
        <f>S30-S28</f>
        <v>14.507399999994959</v>
      </c>
      <c r="W30" s="728"/>
      <c r="X30" s="728"/>
      <c r="Y30" s="728"/>
      <c r="Z30" s="728"/>
      <c r="AB30" s="384"/>
      <c r="AC30" s="384"/>
      <c r="AD30" s="384"/>
      <c r="AE30" s="384"/>
      <c r="AF30" s="384"/>
      <c r="AG30" s="384"/>
      <c r="AH30" s="384"/>
      <c r="AI30" s="384"/>
      <c r="AJ30" s="384"/>
      <c r="AK30" s="384"/>
      <c r="AL30" s="384"/>
    </row>
    <row r="31" spans="3:38" ht="17.100000000000001" customHeight="1">
      <c r="E31" s="11">
        <f>H47+H59</f>
        <v>223</v>
      </c>
      <c r="F31" s="77"/>
      <c r="G31" s="72" t="s">
        <v>63</v>
      </c>
      <c r="H31" s="1088">
        <f>H79</f>
        <v>1542</v>
      </c>
      <c r="I31" s="1089"/>
      <c r="J31" s="1089"/>
      <c r="K31" s="1090"/>
      <c r="L31" s="20"/>
      <c r="M31" s="415"/>
      <c r="N31" s="1373"/>
      <c r="O31" s="351">
        <f>G48</f>
        <v>59</v>
      </c>
      <c r="P31" s="352">
        <f>H47</f>
        <v>166</v>
      </c>
      <c r="Q31" s="353">
        <f>N47</f>
        <v>82.59</v>
      </c>
      <c r="R31" s="354">
        <f>P31*Q31</f>
        <v>13709.94</v>
      </c>
      <c r="S31" s="1183"/>
      <c r="T31" s="1376"/>
      <c r="U31"/>
      <c r="V31" s="1185"/>
      <c r="W31" s="729"/>
      <c r="X31" s="729"/>
      <c r="Y31" s="729"/>
      <c r="Z31" s="729"/>
      <c r="AB31" s="384"/>
      <c r="AC31" s="384"/>
      <c r="AD31" s="384"/>
      <c r="AE31" s="384"/>
      <c r="AF31" s="384"/>
      <c r="AG31" s="384"/>
      <c r="AH31" s="384"/>
      <c r="AI31" s="384"/>
      <c r="AJ31" s="384"/>
      <c r="AK31" s="384"/>
      <c r="AL31" s="384"/>
    </row>
    <row r="32" spans="3:38" ht="17.100000000000001" customHeight="1">
      <c r="E32" s="11">
        <f>H63+H51</f>
        <v>557</v>
      </c>
      <c r="F32" s="77"/>
      <c r="G32" s="74" t="s">
        <v>37</v>
      </c>
      <c r="H32" s="1370">
        <f>R26</f>
        <v>3874</v>
      </c>
      <c r="I32" s="1371"/>
      <c r="J32" s="1371"/>
      <c r="K32" s="164"/>
      <c r="L32" s="62">
        <f>$R$19/$H$79</f>
        <v>2.5</v>
      </c>
      <c r="N32" s="1374"/>
      <c r="O32" s="355">
        <f>G52</f>
        <v>84</v>
      </c>
      <c r="P32" s="356">
        <f>H51</f>
        <v>18</v>
      </c>
      <c r="Q32" s="357">
        <f>N51</f>
        <v>114.69</v>
      </c>
      <c r="R32" s="346">
        <f>P32*Q32</f>
        <v>2064.42</v>
      </c>
      <c r="S32" s="1184"/>
      <c r="T32" s="1377"/>
      <c r="U32"/>
      <c r="V32" s="1186"/>
      <c r="W32" s="718"/>
      <c r="X32" s="718"/>
      <c r="Y32" s="718"/>
      <c r="Z32" s="718"/>
      <c r="AB32" s="384"/>
      <c r="AC32" s="384"/>
      <c r="AD32" s="384"/>
      <c r="AE32" s="384"/>
      <c r="AF32" s="384"/>
      <c r="AG32" s="384"/>
      <c r="AH32" s="384"/>
      <c r="AI32" s="384"/>
      <c r="AJ32" s="384"/>
      <c r="AK32" s="384"/>
      <c r="AL32" s="384"/>
    </row>
    <row r="33" spans="2:33" ht="6.75" customHeight="1">
      <c r="F33" s="77"/>
      <c r="G33" s="76"/>
      <c r="H33" s="57"/>
      <c r="I33" s="57"/>
      <c r="J33" s="57"/>
      <c r="K33" s="57"/>
      <c r="L33" s="57"/>
      <c r="M33" s="52"/>
      <c r="N33" s="57"/>
      <c r="O33" s="57"/>
      <c r="P33" s="57"/>
      <c r="Q33" s="57"/>
      <c r="R33" s="57"/>
      <c r="S33" s="57"/>
      <c r="T33" s="57"/>
      <c r="U33"/>
      <c r="V33" s="10"/>
      <c r="W33" s="10"/>
      <c r="X33" s="10"/>
      <c r="Y33" s="10"/>
      <c r="Z33" s="10"/>
      <c r="AC33" s="130"/>
      <c r="AD33" s="130"/>
      <c r="AE33" s="130"/>
      <c r="AF33" s="130"/>
      <c r="AG33" s="130"/>
    </row>
    <row r="34" spans="2:33" ht="18" thickBot="1">
      <c r="F34" s="77"/>
      <c r="G34" s="951" t="s">
        <v>31</v>
      </c>
      <c r="H34" s="951"/>
      <c r="I34" s="951"/>
      <c r="J34" s="951"/>
      <c r="K34" s="951"/>
      <c r="L34" s="951"/>
      <c r="M34" s="951"/>
      <c r="N34" s="951"/>
      <c r="O34" s="951"/>
      <c r="P34" s="951"/>
      <c r="Q34" s="951"/>
      <c r="R34" s="951"/>
      <c r="S34" s="951"/>
      <c r="T34" s="952"/>
      <c r="AC34" s="130"/>
      <c r="AD34" s="130"/>
      <c r="AE34" s="130"/>
      <c r="AF34" s="130"/>
      <c r="AG34" s="130"/>
    </row>
    <row r="35" spans="2:33" s="4" customFormat="1" ht="15.75" customHeight="1">
      <c r="B35" s="1122"/>
      <c r="C35" s="1122"/>
      <c r="D35" s="1122"/>
      <c r="E35" s="1122"/>
      <c r="F35" s="78"/>
      <c r="G35" s="957" t="s">
        <v>16</v>
      </c>
      <c r="H35" s="877" t="s">
        <v>2</v>
      </c>
      <c r="I35" s="877" t="s">
        <v>17</v>
      </c>
      <c r="J35" s="877" t="s">
        <v>18</v>
      </c>
      <c r="K35" s="877" t="s">
        <v>19</v>
      </c>
      <c r="L35" s="877"/>
      <c r="M35" s="877"/>
      <c r="N35" s="877" t="s">
        <v>8</v>
      </c>
      <c r="O35" s="877" t="s">
        <v>30</v>
      </c>
      <c r="P35" s="877"/>
      <c r="Q35" s="877"/>
      <c r="R35" s="877" t="s">
        <v>23</v>
      </c>
      <c r="S35" s="877" t="s">
        <v>20</v>
      </c>
      <c r="T35" s="956" t="s">
        <v>68</v>
      </c>
      <c r="V35" s="1275" t="s">
        <v>463</v>
      </c>
      <c r="W35" s="1277" t="s">
        <v>460</v>
      </c>
      <c r="AC35" s="382"/>
      <c r="AD35" s="382"/>
      <c r="AE35" s="382"/>
      <c r="AF35" s="382"/>
      <c r="AG35" s="382"/>
    </row>
    <row r="36" spans="2:33" s="4" customFormat="1" ht="15.75" customHeight="1" thickBot="1">
      <c r="B36" s="1122"/>
      <c r="C36" s="1122"/>
      <c r="D36" s="1122"/>
      <c r="E36" s="1122"/>
      <c r="F36" s="78"/>
      <c r="G36" s="958"/>
      <c r="H36" s="878"/>
      <c r="I36" s="878"/>
      <c r="J36" s="878"/>
      <c r="K36" s="80" t="s">
        <v>21</v>
      </c>
      <c r="L36" s="80" t="s">
        <v>142</v>
      </c>
      <c r="M36" s="80" t="s">
        <v>22</v>
      </c>
      <c r="N36" s="878"/>
      <c r="O36" s="80" t="s">
        <v>28</v>
      </c>
      <c r="P36" s="80" t="s">
        <v>15</v>
      </c>
      <c r="Q36" s="80" t="s">
        <v>32</v>
      </c>
      <c r="R36" s="878"/>
      <c r="S36" s="878"/>
      <c r="T36" s="878"/>
      <c r="V36" s="1276"/>
      <c r="W36" s="1278"/>
      <c r="AA36" s="2"/>
      <c r="AC36" s="382"/>
      <c r="AD36" s="382"/>
      <c r="AE36" s="382"/>
      <c r="AF36" s="382"/>
      <c r="AG36" s="382"/>
    </row>
    <row r="37" spans="2:33" ht="11.25" hidden="1" customHeight="1">
      <c r="B37" s="1127"/>
      <c r="C37" s="1121"/>
      <c r="D37" s="1121"/>
      <c r="E37" s="1121">
        <f>ROUNDUP(H79*0.05,0)</f>
        <v>78</v>
      </c>
      <c r="F37" s="1187" t="e">
        <f>H37/#REF!</f>
        <v>#REF!</v>
      </c>
      <c r="G37" s="297">
        <f>ROUNDDOWN(N38,0)</f>
        <v>17</v>
      </c>
      <c r="H37" s="1194"/>
      <c r="I37" s="1195">
        <f>H37/$H$79</f>
        <v>0</v>
      </c>
      <c r="J37" s="299">
        <f>J55</f>
        <v>39.96</v>
      </c>
      <c r="K37" s="299">
        <f>K55</f>
        <v>3.65</v>
      </c>
      <c r="L37" s="299">
        <f>L55</f>
        <v>14.8</v>
      </c>
      <c r="M37" s="299">
        <f>K37+L37</f>
        <v>18.45</v>
      </c>
      <c r="N37" s="299">
        <f>J37+M37</f>
        <v>58.41</v>
      </c>
      <c r="O37" s="299">
        <f>$O$79/$J$79*J37</f>
        <v>0.11874689045324478</v>
      </c>
      <c r="P37" s="299">
        <f>$P$79/$J$79*J37</f>
        <v>3.8948980068664287</v>
      </c>
      <c r="Q37" s="299">
        <f>$Q$79/$J$79*J37</f>
        <v>45.776926269725863</v>
      </c>
      <c r="R37" s="299">
        <f>O37+P37+Q37</f>
        <v>49.790571167045535</v>
      </c>
      <c r="S37" s="299">
        <f>N37+R37</f>
        <v>108.20057116704552</v>
      </c>
      <c r="T37" s="1196" t="s">
        <v>216</v>
      </c>
      <c r="V37" s="1285"/>
      <c r="W37" s="740"/>
      <c r="X37" s="716"/>
      <c r="Y37" s="716"/>
      <c r="Z37" s="716"/>
    </row>
    <row r="38" spans="2:33" ht="11.25" hidden="1" customHeight="1">
      <c r="B38" s="1076"/>
      <c r="C38" s="1121"/>
      <c r="D38" s="1121"/>
      <c r="E38" s="1121"/>
      <c r="F38" s="1187"/>
      <c r="G38" s="296">
        <v>39</v>
      </c>
      <c r="H38" s="1189"/>
      <c r="I38" s="1191"/>
      <c r="J38" s="298">
        <f t="shared" ref="J38:S38" si="4">ROUNDDOWN(J37*0.3025,2)</f>
        <v>12.08</v>
      </c>
      <c r="K38" s="298">
        <f t="shared" si="4"/>
        <v>1.1000000000000001</v>
      </c>
      <c r="L38" s="298">
        <f t="shared" si="4"/>
        <v>4.47</v>
      </c>
      <c r="M38" s="298">
        <f t="shared" si="4"/>
        <v>5.58</v>
      </c>
      <c r="N38" s="298">
        <f t="shared" si="4"/>
        <v>17.66</v>
      </c>
      <c r="O38" s="298">
        <f t="shared" si="4"/>
        <v>0.03</v>
      </c>
      <c r="P38" s="298">
        <f t="shared" si="4"/>
        <v>1.17</v>
      </c>
      <c r="Q38" s="298">
        <f t="shared" si="4"/>
        <v>13.84</v>
      </c>
      <c r="R38" s="298">
        <f t="shared" si="4"/>
        <v>15.06</v>
      </c>
      <c r="S38" s="298">
        <f t="shared" si="4"/>
        <v>32.729999999999997</v>
      </c>
      <c r="T38" s="1197"/>
      <c r="V38" s="1286"/>
      <c r="W38" s="740"/>
      <c r="X38" s="717"/>
      <c r="Y38" s="717"/>
      <c r="Z38" s="717"/>
    </row>
    <row r="39" spans="2:33" ht="12" customHeight="1">
      <c r="B39" s="1127"/>
      <c r="C39" s="1121"/>
      <c r="D39" s="1121"/>
      <c r="E39" s="1121"/>
      <c r="F39" s="1187" t="e">
        <f>H39/#REF!</f>
        <v>#REF!</v>
      </c>
      <c r="G39" s="300">
        <f>ROUNDDOWN(N40,0)</f>
        <v>24</v>
      </c>
      <c r="H39" s="1188">
        <v>27</v>
      </c>
      <c r="I39" s="1190">
        <f>H39/$H$79</f>
        <v>1.7509727626459144E-2</v>
      </c>
      <c r="J39" s="802">
        <v>59.99</v>
      </c>
      <c r="K39" s="802">
        <f>K47</f>
        <v>6.1</v>
      </c>
      <c r="L39" s="802">
        <v>16.5</v>
      </c>
      <c r="M39" s="802">
        <f>K39+L39</f>
        <v>22.6</v>
      </c>
      <c r="N39" s="802">
        <f>M39+J39</f>
        <v>82.59</v>
      </c>
      <c r="O39" s="802">
        <f>$O$79/$J$79*J39</f>
        <v>0.178268917875129</v>
      </c>
      <c r="P39" s="802">
        <f>$P$79/$J$79*J39</f>
        <v>5.8472205063042306</v>
      </c>
      <c r="Q39" s="802">
        <f>$Q$79/$J$79*J39</f>
        <v>68.722667840862229</v>
      </c>
      <c r="R39" s="802">
        <f>O39+P39+Q39</f>
        <v>74.748157265041584</v>
      </c>
      <c r="S39" s="802">
        <f>N39+R39</f>
        <v>157.33815726504159</v>
      </c>
      <c r="T39" s="1197"/>
      <c r="V39" s="751"/>
      <c r="W39" s="740"/>
      <c r="X39" s="130"/>
      <c r="Y39" s="130"/>
      <c r="Z39" s="130"/>
    </row>
    <row r="40" spans="2:33" ht="12" customHeight="1">
      <c r="B40" s="1076"/>
      <c r="C40" s="1121"/>
      <c r="D40" s="1121"/>
      <c r="E40" s="1121"/>
      <c r="F40" s="1187"/>
      <c r="G40" s="296">
        <f>ROUNDDOWN(J39,0)</f>
        <v>59</v>
      </c>
      <c r="H40" s="1189"/>
      <c r="I40" s="1191"/>
      <c r="J40" s="298">
        <f t="shared" ref="J40:S40" si="5">ROUNDDOWN(J39*0.3025,2)</f>
        <v>18.14</v>
      </c>
      <c r="K40" s="298">
        <f t="shared" si="5"/>
        <v>1.84</v>
      </c>
      <c r="L40" s="298">
        <f t="shared" si="5"/>
        <v>4.99</v>
      </c>
      <c r="M40" s="298">
        <f t="shared" si="5"/>
        <v>6.83</v>
      </c>
      <c r="N40" s="298">
        <f t="shared" si="5"/>
        <v>24.98</v>
      </c>
      <c r="O40" s="298">
        <f t="shared" si="5"/>
        <v>0.05</v>
      </c>
      <c r="P40" s="298">
        <f t="shared" si="5"/>
        <v>1.76</v>
      </c>
      <c r="Q40" s="301">
        <f t="shared" si="5"/>
        <v>20.78</v>
      </c>
      <c r="R40" s="301">
        <f t="shared" si="5"/>
        <v>22.61</v>
      </c>
      <c r="S40" s="301">
        <f t="shared" si="5"/>
        <v>47.59</v>
      </c>
      <c r="T40" s="1197"/>
      <c r="V40" s="752"/>
      <c r="W40" s="740"/>
      <c r="X40" s="193"/>
      <c r="Y40" s="193"/>
      <c r="Z40" s="193"/>
    </row>
    <row r="41" spans="2:33" ht="12" customHeight="1">
      <c r="B41" s="130"/>
      <c r="C41" s="308"/>
      <c r="D41" s="308"/>
      <c r="E41" s="308"/>
      <c r="F41" s="1187" t="e">
        <f>H41/#REF!</f>
        <v>#REF!</v>
      </c>
      <c r="G41" s="300">
        <f>ROUNDDOWN(N42,0)</f>
        <v>34</v>
      </c>
      <c r="H41" s="1188">
        <v>3</v>
      </c>
      <c r="I41" s="1190">
        <f>H41/$H$79</f>
        <v>1.9455252918287938E-3</v>
      </c>
      <c r="J41" s="802">
        <v>84.99</v>
      </c>
      <c r="K41" s="802">
        <v>8.1999999999999993</v>
      </c>
      <c r="L41" s="802">
        <v>21.5</v>
      </c>
      <c r="M41" s="802">
        <f>K41+L41</f>
        <v>29.7</v>
      </c>
      <c r="N41" s="802">
        <f>M41+J41</f>
        <v>114.69</v>
      </c>
      <c r="O41" s="802">
        <f>$O$79/$J$79*J41</f>
        <v>0.25256001550603785</v>
      </c>
      <c r="P41" s="802">
        <f>$P$79/$J$79*J41</f>
        <v>8.2839685085980417</v>
      </c>
      <c r="Q41" s="802">
        <f>$Q$79/$J$79*J41</f>
        <v>97.361885977577586</v>
      </c>
      <c r="R41" s="802">
        <f>O41+P41+Q41</f>
        <v>105.89841450168167</v>
      </c>
      <c r="S41" s="802">
        <f>N41+R41</f>
        <v>220.58841450168165</v>
      </c>
      <c r="T41" s="1197"/>
      <c r="V41" s="753"/>
      <c r="W41" s="740"/>
      <c r="X41" s="193"/>
      <c r="Y41" s="193"/>
      <c r="Z41" s="193"/>
    </row>
    <row r="42" spans="2:33" ht="12" customHeight="1">
      <c r="B42" s="130"/>
      <c r="C42" s="308"/>
      <c r="D42" s="308"/>
      <c r="E42" s="308"/>
      <c r="F42" s="1187"/>
      <c r="G42" s="296">
        <f>ROUNDDOWN(J41,0)</f>
        <v>84</v>
      </c>
      <c r="H42" s="1189"/>
      <c r="I42" s="1191"/>
      <c r="J42" s="298">
        <f t="shared" ref="J42:S42" si="6">ROUNDDOWN(J41*0.3025,2)</f>
        <v>25.7</v>
      </c>
      <c r="K42" s="298">
        <f t="shared" si="6"/>
        <v>2.48</v>
      </c>
      <c r="L42" s="298">
        <f t="shared" si="6"/>
        <v>6.5</v>
      </c>
      <c r="M42" s="298">
        <f t="shared" si="6"/>
        <v>8.98</v>
      </c>
      <c r="N42" s="298">
        <f t="shared" si="6"/>
        <v>34.69</v>
      </c>
      <c r="O42" s="298">
        <f t="shared" si="6"/>
        <v>7.0000000000000007E-2</v>
      </c>
      <c r="P42" s="298">
        <f t="shared" si="6"/>
        <v>2.5</v>
      </c>
      <c r="Q42" s="301">
        <f t="shared" si="6"/>
        <v>29.45</v>
      </c>
      <c r="R42" s="301">
        <f t="shared" si="6"/>
        <v>32.03</v>
      </c>
      <c r="S42" s="301">
        <f t="shared" si="6"/>
        <v>66.72</v>
      </c>
      <c r="T42" s="1197"/>
      <c r="V42" s="753"/>
      <c r="W42" s="740"/>
      <c r="X42" s="193"/>
      <c r="Y42" s="193"/>
      <c r="Z42" s="193"/>
    </row>
    <row r="43" spans="2:33" ht="12" hidden="1" customHeight="1">
      <c r="B43" s="130"/>
      <c r="C43" s="308"/>
      <c r="D43" s="308"/>
      <c r="E43" s="1128"/>
      <c r="F43" s="336"/>
      <c r="G43" s="316">
        <f>ROUNDDOWN(N44,0)</f>
        <v>20</v>
      </c>
      <c r="H43" s="1192">
        <v>0</v>
      </c>
      <c r="I43" s="369">
        <f>H43/$H$79</f>
        <v>0</v>
      </c>
      <c r="J43" s="364">
        <v>49.8</v>
      </c>
      <c r="K43" s="364">
        <v>3.7</v>
      </c>
      <c r="L43" s="364">
        <v>14.2</v>
      </c>
      <c r="M43" s="364">
        <f>K43+L43</f>
        <v>17.899999999999999</v>
      </c>
      <c r="N43" s="364">
        <f>M43+J43</f>
        <v>67.699999999999989</v>
      </c>
      <c r="O43" s="364">
        <f>$O$79/$J$79*J43</f>
        <v>0.1479878664807705</v>
      </c>
      <c r="P43" s="364">
        <f>$P$79/$J$79*J43</f>
        <v>4.8540020205692729</v>
      </c>
      <c r="Q43" s="364">
        <f>$Q$79/$J$79*J43</f>
        <v>57.049322528337029</v>
      </c>
      <c r="R43" s="364">
        <f>O43+P43+Q43</f>
        <v>62.051312415387073</v>
      </c>
      <c r="S43" s="364">
        <f>N43+R43</f>
        <v>129.75131241538708</v>
      </c>
      <c r="T43" s="1198" t="s">
        <v>159</v>
      </c>
      <c r="U43" s="173">
        <f>J43/N43</f>
        <v>0.73559822747415071</v>
      </c>
      <c r="V43" s="753"/>
      <c r="W43" s="740"/>
      <c r="X43" s="193"/>
      <c r="Y43" s="193"/>
      <c r="Z43" s="193"/>
    </row>
    <row r="44" spans="2:33" ht="12" hidden="1" customHeight="1">
      <c r="B44" s="130"/>
      <c r="C44" s="308"/>
      <c r="D44" s="308"/>
      <c r="E44" s="1129"/>
      <c r="F44" s="336"/>
      <c r="G44" s="318">
        <f>ROUNDDOWN(J43,0)</f>
        <v>49</v>
      </c>
      <c r="H44" s="1193"/>
      <c r="I44" s="373">
        <f>H43/$H$53</f>
        <v>0</v>
      </c>
      <c r="J44" s="319">
        <f t="shared" ref="J44:S44" si="7">ROUNDDOWN(J43*0.3025,2)</f>
        <v>15.06</v>
      </c>
      <c r="K44" s="319">
        <f t="shared" si="7"/>
        <v>1.1100000000000001</v>
      </c>
      <c r="L44" s="319">
        <f t="shared" si="7"/>
        <v>4.29</v>
      </c>
      <c r="M44" s="319">
        <f t="shared" si="7"/>
        <v>5.41</v>
      </c>
      <c r="N44" s="319">
        <f t="shared" si="7"/>
        <v>20.47</v>
      </c>
      <c r="O44" s="319">
        <f t="shared" si="7"/>
        <v>0.04</v>
      </c>
      <c r="P44" s="319">
        <f t="shared" si="7"/>
        <v>1.46</v>
      </c>
      <c r="Q44" s="320">
        <f t="shared" si="7"/>
        <v>17.25</v>
      </c>
      <c r="R44" s="320">
        <f t="shared" si="7"/>
        <v>18.77</v>
      </c>
      <c r="S44" s="320">
        <f t="shared" si="7"/>
        <v>39.24</v>
      </c>
      <c r="T44" s="1198"/>
      <c r="U44" s="173"/>
      <c r="V44" s="753"/>
      <c r="W44" s="740"/>
      <c r="X44" s="193"/>
      <c r="Y44" s="193"/>
      <c r="Z44" s="193"/>
    </row>
    <row r="45" spans="2:33" ht="12" hidden="1" customHeight="1">
      <c r="B45" s="130"/>
      <c r="C45" s="308"/>
      <c r="D45" s="308"/>
      <c r="E45" s="1130"/>
      <c r="F45" s="336"/>
      <c r="G45" s="316">
        <f>ROUNDDOWN(N44,0)</f>
        <v>20</v>
      </c>
      <c r="H45" s="1192"/>
      <c r="I45" s="1130">
        <f>H45/$H$79</f>
        <v>0</v>
      </c>
      <c r="T45" s="1198"/>
      <c r="U45" s="173"/>
      <c r="V45" s="753"/>
      <c r="W45" s="740"/>
      <c r="X45" s="193"/>
      <c r="Y45" s="193"/>
      <c r="Z45" s="193"/>
    </row>
    <row r="46" spans="2:33" ht="12" hidden="1" customHeight="1">
      <c r="B46" s="130"/>
      <c r="C46" s="308"/>
      <c r="D46" s="308"/>
      <c r="E46" s="1129"/>
      <c r="F46" s="336"/>
      <c r="G46" s="318">
        <f>ROUNDDOWN(J43,0)</f>
        <v>49</v>
      </c>
      <c r="H46" s="1193"/>
      <c r="I46" s="1129"/>
      <c r="T46" s="1198"/>
      <c r="U46" s="173"/>
      <c r="V46" s="753"/>
      <c r="W46" s="740"/>
      <c r="X46" s="193"/>
      <c r="Y46" s="193"/>
      <c r="Z46" s="193"/>
    </row>
    <row r="47" spans="2:33" ht="12" customHeight="1">
      <c r="B47" s="1127"/>
      <c r="C47" s="1121"/>
      <c r="D47" s="1121"/>
      <c r="E47" s="1307">
        <f>(H39+H47)/$H$53</f>
        <v>0.90186915887850472</v>
      </c>
      <c r="F47" s="130"/>
      <c r="G47" s="316">
        <f>ROUNDDOWN(N48,0)</f>
        <v>24</v>
      </c>
      <c r="H47" s="1200">
        <v>166</v>
      </c>
      <c r="I47" s="393">
        <f>H47/$H$79</f>
        <v>0.10765239948119326</v>
      </c>
      <c r="J47" s="364">
        <v>59.99</v>
      </c>
      <c r="K47" s="364">
        <f>K59</f>
        <v>6.1</v>
      </c>
      <c r="L47" s="364">
        <v>16.5</v>
      </c>
      <c r="M47" s="364">
        <f>K47+L47</f>
        <v>22.6</v>
      </c>
      <c r="N47" s="364">
        <f>M47+J47</f>
        <v>82.59</v>
      </c>
      <c r="O47" s="364">
        <f>$O$79/$J$79*J47</f>
        <v>0.178268917875129</v>
      </c>
      <c r="P47" s="364">
        <f>$P$79/$J$79*J47</f>
        <v>5.8472205063042306</v>
      </c>
      <c r="Q47" s="364">
        <f>$Q$79/$J$79*J47</f>
        <v>68.722667840862229</v>
      </c>
      <c r="R47" s="364">
        <f>O47+P47+Q47</f>
        <v>74.748157265041584</v>
      </c>
      <c r="S47" s="364">
        <f>N47+R47</f>
        <v>157.33815726504159</v>
      </c>
      <c r="T47" s="1198"/>
      <c r="U47" s="173">
        <f>J47/N47</f>
        <v>0.72635912338055453</v>
      </c>
      <c r="V47" s="1200">
        <f>57+43-1</f>
        <v>99</v>
      </c>
      <c r="W47" s="741">
        <f>V47/$V$79</f>
        <v>6.4705882352941183E-2</v>
      </c>
      <c r="X47" s="1279">
        <f>H47-V47</f>
        <v>67</v>
      </c>
      <c r="Y47" s="760">
        <v>20</v>
      </c>
      <c r="Z47" s="193"/>
      <c r="AC47" s="130" t="s">
        <v>305</v>
      </c>
      <c r="AD47" s="130" t="s">
        <v>314</v>
      </c>
      <c r="AE47" s="130"/>
      <c r="AF47" s="130" t="s">
        <v>325</v>
      </c>
      <c r="AG47" s="130">
        <v>720</v>
      </c>
    </row>
    <row r="48" spans="2:33" ht="12" customHeight="1">
      <c r="B48" s="1076"/>
      <c r="C48" s="1121"/>
      <c r="D48" s="1121"/>
      <c r="E48" s="1308"/>
      <c r="F48" s="130"/>
      <c r="G48" s="318">
        <f>ROUNDDOWN(J47,0)</f>
        <v>59</v>
      </c>
      <c r="H48" s="1193"/>
      <c r="I48" s="394">
        <f>H47/$H$53</f>
        <v>0.77570093457943923</v>
      </c>
      <c r="J48" s="395">
        <f t="shared" ref="J48:S48" si="8">ROUNDDOWN(J47*0.3025,2)</f>
        <v>18.14</v>
      </c>
      <c r="K48" s="395">
        <f t="shared" si="8"/>
        <v>1.84</v>
      </c>
      <c r="L48" s="395">
        <f t="shared" si="8"/>
        <v>4.99</v>
      </c>
      <c r="M48" s="395">
        <f t="shared" si="8"/>
        <v>6.83</v>
      </c>
      <c r="N48" s="395">
        <f t="shared" si="8"/>
        <v>24.98</v>
      </c>
      <c r="O48" s="395">
        <f t="shared" si="8"/>
        <v>0.05</v>
      </c>
      <c r="P48" s="395">
        <f t="shared" si="8"/>
        <v>1.76</v>
      </c>
      <c r="Q48" s="395">
        <f t="shared" si="8"/>
        <v>20.78</v>
      </c>
      <c r="R48" s="395">
        <f t="shared" si="8"/>
        <v>22.61</v>
      </c>
      <c r="S48" s="395">
        <f t="shared" si="8"/>
        <v>47.59</v>
      </c>
      <c r="T48" s="1198"/>
      <c r="U48" s="173"/>
      <c r="V48" s="1193"/>
      <c r="W48" s="742">
        <f>V47/$V$53</f>
        <v>0.6073619631901841</v>
      </c>
      <c r="X48" s="1280"/>
      <c r="Y48" s="193"/>
      <c r="Z48" s="193"/>
      <c r="AC48" s="130" t="s">
        <v>306</v>
      </c>
      <c r="AD48" s="130" t="s">
        <v>315</v>
      </c>
      <c r="AE48" s="130"/>
      <c r="AF48" s="130" t="s">
        <v>307</v>
      </c>
      <c r="AG48" s="130">
        <v>860</v>
      </c>
    </row>
    <row r="49" spans="2:33" ht="12" hidden="1" customHeight="1">
      <c r="B49" s="130"/>
      <c r="C49" s="308"/>
      <c r="D49" s="308"/>
      <c r="E49" s="1307"/>
      <c r="F49" s="130"/>
      <c r="G49" s="316">
        <f>ROUNDDOWN(N50,0)</f>
        <v>30</v>
      </c>
      <c r="H49" s="1200"/>
      <c r="I49" s="1303">
        <f>H49/$H$79</f>
        <v>0</v>
      </c>
      <c r="J49" s="396">
        <f>J61</f>
        <v>74.989999999999995</v>
      </c>
      <c r="K49" s="396">
        <f>K61</f>
        <v>7.03</v>
      </c>
      <c r="L49" s="396">
        <f>L61</f>
        <v>18.5</v>
      </c>
      <c r="M49" s="396">
        <f>K49+L49</f>
        <v>25.53</v>
      </c>
      <c r="N49" s="396">
        <f>M49+J49</f>
        <v>100.52</v>
      </c>
      <c r="O49" s="396">
        <f>$O$79/$J$79*J49</f>
        <v>0.22284357645367431</v>
      </c>
      <c r="P49" s="396">
        <f>$P$79/$J$79*J49</f>
        <v>7.3092693076805171</v>
      </c>
      <c r="Q49" s="396">
        <f>$Q$79/$J$79*J49</f>
        <v>85.906198722891446</v>
      </c>
      <c r="R49" s="396">
        <f>O49+P49+Q49</f>
        <v>93.438311607025639</v>
      </c>
      <c r="S49" s="396">
        <f>N49+R49</f>
        <v>193.95831160702562</v>
      </c>
      <c r="T49" s="1198"/>
      <c r="U49" s="173"/>
      <c r="V49" s="1200"/>
      <c r="W49" s="1283">
        <f>V49/$H$79</f>
        <v>0</v>
      </c>
      <c r="X49" s="1281"/>
      <c r="Y49" s="193"/>
      <c r="Z49" s="193"/>
      <c r="AC49" s="130" t="s">
        <v>307</v>
      </c>
      <c r="AD49" s="130" t="s">
        <v>316</v>
      </c>
      <c r="AE49" s="130"/>
      <c r="AF49" s="130" t="s">
        <v>309</v>
      </c>
      <c r="AG49" s="130">
        <v>410</v>
      </c>
    </row>
    <row r="50" spans="2:33" ht="12" hidden="1" customHeight="1">
      <c r="B50" s="130"/>
      <c r="C50" s="308"/>
      <c r="D50" s="308"/>
      <c r="E50" s="1308"/>
      <c r="F50" s="130"/>
      <c r="G50" s="318">
        <f>ROUNDDOWN(J49,0)</f>
        <v>74</v>
      </c>
      <c r="H50" s="1193"/>
      <c r="I50" s="1304"/>
      <c r="J50" s="395">
        <f t="shared" ref="J50:S50" si="9">ROUNDDOWN(J49*0.3025,2)</f>
        <v>22.68</v>
      </c>
      <c r="K50" s="395">
        <f t="shared" si="9"/>
        <v>2.12</v>
      </c>
      <c r="L50" s="395">
        <f t="shared" si="9"/>
        <v>5.59</v>
      </c>
      <c r="M50" s="395">
        <f t="shared" si="9"/>
        <v>7.72</v>
      </c>
      <c r="N50" s="395">
        <f t="shared" si="9"/>
        <v>30.4</v>
      </c>
      <c r="O50" s="395">
        <f t="shared" si="9"/>
        <v>0.06</v>
      </c>
      <c r="P50" s="395">
        <f t="shared" si="9"/>
        <v>2.21</v>
      </c>
      <c r="Q50" s="395">
        <f t="shared" si="9"/>
        <v>25.98</v>
      </c>
      <c r="R50" s="395">
        <f t="shared" si="9"/>
        <v>28.26</v>
      </c>
      <c r="S50" s="395">
        <f t="shared" si="9"/>
        <v>58.67</v>
      </c>
      <c r="T50" s="1198"/>
      <c r="U50" s="173"/>
      <c r="V50" s="1193"/>
      <c r="W50" s="1284"/>
      <c r="X50" s="1282"/>
      <c r="Y50" s="193"/>
      <c r="Z50" s="193"/>
      <c r="AC50" s="130" t="s">
        <v>308</v>
      </c>
      <c r="AD50" s="130" t="s">
        <v>317</v>
      </c>
      <c r="AE50" s="130"/>
      <c r="AF50" s="130" t="s">
        <v>326</v>
      </c>
      <c r="AG50" s="130">
        <v>30</v>
      </c>
    </row>
    <row r="51" spans="2:33" ht="12" customHeight="1">
      <c r="B51" s="1127"/>
      <c r="C51" s="1121"/>
      <c r="D51" s="1121"/>
      <c r="E51" s="1307">
        <f>(H41+H51)/$H$53</f>
        <v>9.8130841121495324E-2</v>
      </c>
      <c r="F51" s="130">
        <f>H51/H53*100</f>
        <v>8.4112149532710276</v>
      </c>
      <c r="G51" s="316">
        <f>ROUNDDOWN(N52,0)</f>
        <v>34</v>
      </c>
      <c r="H51" s="1200">
        <v>18</v>
      </c>
      <c r="I51" s="393">
        <f>H51/$H$79</f>
        <v>1.1673151750972763E-2</v>
      </c>
      <c r="J51" s="364">
        <v>84.99</v>
      </c>
      <c r="K51" s="364">
        <v>8.1999999999999993</v>
      </c>
      <c r="L51" s="364">
        <v>21.5</v>
      </c>
      <c r="M51" s="364">
        <f>K51+L51</f>
        <v>29.7</v>
      </c>
      <c r="N51" s="364">
        <f>M51+J51</f>
        <v>114.69</v>
      </c>
      <c r="O51" s="364">
        <f>$O$79/$J$79*J51</f>
        <v>0.25256001550603785</v>
      </c>
      <c r="P51" s="364">
        <f>$P$79/$J$79*J51</f>
        <v>8.2839685085980417</v>
      </c>
      <c r="Q51" s="364">
        <f>$Q$79/$J$79*J51</f>
        <v>97.361885977577586</v>
      </c>
      <c r="R51" s="364">
        <f>O51+P51+Q51</f>
        <v>105.89841450168167</v>
      </c>
      <c r="S51" s="364">
        <f>N51+R51</f>
        <v>220.58841450168165</v>
      </c>
      <c r="T51" s="1198"/>
      <c r="U51" s="173">
        <f>J51/N51</f>
        <v>0.74104106722469265</v>
      </c>
      <c r="V51" s="1200">
        <f>100-31-5</f>
        <v>64</v>
      </c>
      <c r="W51" s="741">
        <f>V51/$V$79</f>
        <v>4.1830065359477121E-2</v>
      </c>
      <c r="X51" s="1279">
        <f t="shared" ref="X51" si="10">H51-V51</f>
        <v>-46</v>
      </c>
      <c r="Y51" s="760">
        <v>10</v>
      </c>
      <c r="Z51" s="193"/>
      <c r="AC51" s="130" t="s">
        <v>307</v>
      </c>
      <c r="AD51" s="130" t="s">
        <v>316</v>
      </c>
      <c r="AE51" s="130"/>
      <c r="AF51" s="130" t="s">
        <v>311</v>
      </c>
      <c r="AG51" s="130">
        <v>875</v>
      </c>
    </row>
    <row r="52" spans="2:33" ht="12" customHeight="1">
      <c r="B52" s="1076"/>
      <c r="C52" s="1121"/>
      <c r="D52" s="1121"/>
      <c r="E52" s="1308"/>
      <c r="G52" s="318">
        <f>ROUNDDOWN(J51,0)</f>
        <v>84</v>
      </c>
      <c r="H52" s="1193"/>
      <c r="I52" s="394">
        <f>H51/$H$53</f>
        <v>8.4112149532710276E-2</v>
      </c>
      <c r="J52" s="395">
        <f t="shared" ref="J52:S52" si="11">ROUNDDOWN(J51*0.3025,2)</f>
        <v>25.7</v>
      </c>
      <c r="K52" s="395">
        <f t="shared" si="11"/>
        <v>2.48</v>
      </c>
      <c r="L52" s="395">
        <f t="shared" si="11"/>
        <v>6.5</v>
      </c>
      <c r="M52" s="395">
        <f t="shared" si="11"/>
        <v>8.98</v>
      </c>
      <c r="N52" s="395">
        <f t="shared" si="11"/>
        <v>34.69</v>
      </c>
      <c r="O52" s="395">
        <f t="shared" si="11"/>
        <v>7.0000000000000007E-2</v>
      </c>
      <c r="P52" s="395">
        <f t="shared" si="11"/>
        <v>2.5</v>
      </c>
      <c r="Q52" s="395">
        <f t="shared" si="11"/>
        <v>29.45</v>
      </c>
      <c r="R52" s="395">
        <f t="shared" si="11"/>
        <v>32.03</v>
      </c>
      <c r="S52" s="395">
        <f t="shared" si="11"/>
        <v>66.72</v>
      </c>
      <c r="T52" s="1199"/>
      <c r="U52" s="173"/>
      <c r="V52" s="1193"/>
      <c r="W52" s="742">
        <f>V51/$V$53</f>
        <v>0.39263803680981596</v>
      </c>
      <c r="X52" s="1280"/>
      <c r="Y52" s="193"/>
      <c r="Z52" s="193"/>
      <c r="AC52" s="130" t="s">
        <v>308</v>
      </c>
      <c r="AD52" s="130" t="s">
        <v>317</v>
      </c>
      <c r="AE52" s="130"/>
      <c r="AF52" s="130" t="s">
        <v>258</v>
      </c>
      <c r="AG52" s="130">
        <v>145</v>
      </c>
    </row>
    <row r="53" spans="2:33" ht="12" customHeight="1">
      <c r="B53" s="1127"/>
      <c r="C53" s="1121"/>
      <c r="D53" s="1121"/>
      <c r="E53" s="1402">
        <f>E47+E51</f>
        <v>1</v>
      </c>
      <c r="G53" s="1202" t="s">
        <v>82</v>
      </c>
      <c r="H53" s="1257">
        <f>SUM(H37:H52)</f>
        <v>214</v>
      </c>
      <c r="I53" s="397">
        <f>I43+I47+I51</f>
        <v>0.11932555123216602</v>
      </c>
      <c r="J53" s="398">
        <f>SUMPRODUCT(H37:H52,J37:J52)</f>
        <v>13362.86</v>
      </c>
      <c r="K53" s="398">
        <f>SUMPRODUCT(H37:H52,K37:K52)</f>
        <v>1349.4999999999998</v>
      </c>
      <c r="L53" s="398">
        <f>SUMPRODUCT(H37:H52,L37:L52)</f>
        <v>3636</v>
      </c>
      <c r="M53" s="398">
        <f>K53+L53</f>
        <v>4985.5</v>
      </c>
      <c r="N53" s="398">
        <f>J53+M53</f>
        <v>18348.36</v>
      </c>
      <c r="O53" s="398">
        <f>SUMPRODUCT(H37:H52,O37:O52)</f>
        <v>39.709661475526687</v>
      </c>
      <c r="P53" s="398">
        <f>SUMPRODUCT(H37:H52,P37:P52)</f>
        <v>1302.4768963972754</v>
      </c>
      <c r="Q53" s="398">
        <f>SUMPRODUCT(H37:H52,Q37:Q52)</f>
        <v>15308.07449881554</v>
      </c>
      <c r="R53" s="398">
        <f>O53+P53+Q53</f>
        <v>16650.261056688341</v>
      </c>
      <c r="S53" s="398">
        <f>N53+R53</f>
        <v>34998.621056688338</v>
      </c>
      <c r="T53" s="1206"/>
      <c r="U53" s="173"/>
      <c r="V53" s="1257">
        <f>SUM(V37:V52)</f>
        <v>163</v>
      </c>
      <c r="W53" s="743">
        <f>W43+W47+W51</f>
        <v>0.10653594771241831</v>
      </c>
      <c r="X53" s="1272">
        <f t="shared" ref="X53" si="12">H53-V53</f>
        <v>51</v>
      </c>
      <c r="Y53" s="1272">
        <f>SUM(Y47:Y52)</f>
        <v>30</v>
      </c>
      <c r="AC53" s="130" t="s">
        <v>309</v>
      </c>
      <c r="AD53" s="130" t="s">
        <v>318</v>
      </c>
      <c r="AE53" s="130"/>
      <c r="AF53" s="130" t="s">
        <v>312</v>
      </c>
      <c r="AG53" s="130">
        <v>2</v>
      </c>
    </row>
    <row r="54" spans="2:33" ht="12" customHeight="1">
      <c r="B54" s="1076"/>
      <c r="C54" s="1121"/>
      <c r="D54" s="1121"/>
      <c r="E54" s="1403"/>
      <c r="G54" s="1203"/>
      <c r="H54" s="1254"/>
      <c r="I54" s="399">
        <f>I44+I48+I52</f>
        <v>0.85981308411214952</v>
      </c>
      <c r="J54" s="400">
        <f t="shared" ref="J54:S54" si="13">ROUNDDOWN(J53*0.3025,2)</f>
        <v>4042.26</v>
      </c>
      <c r="K54" s="400">
        <f t="shared" si="13"/>
        <v>408.22</v>
      </c>
      <c r="L54" s="400">
        <f t="shared" si="13"/>
        <v>1099.8900000000001</v>
      </c>
      <c r="M54" s="400">
        <f t="shared" si="13"/>
        <v>1508.11</v>
      </c>
      <c r="N54" s="400">
        <f t="shared" si="13"/>
        <v>5550.37</v>
      </c>
      <c r="O54" s="400">
        <f t="shared" si="13"/>
        <v>12.01</v>
      </c>
      <c r="P54" s="400">
        <f t="shared" si="13"/>
        <v>393.99</v>
      </c>
      <c r="Q54" s="400">
        <f t="shared" si="13"/>
        <v>4630.6899999999996</v>
      </c>
      <c r="R54" s="400">
        <f t="shared" si="13"/>
        <v>5036.7</v>
      </c>
      <c r="S54" s="400">
        <f t="shared" si="13"/>
        <v>10587.08</v>
      </c>
      <c r="T54" s="1207"/>
      <c r="U54" s="173"/>
      <c r="V54" s="1254"/>
      <c r="W54" s="744">
        <f>W48+W52</f>
        <v>1</v>
      </c>
      <c r="X54" s="1271"/>
      <c r="Y54" s="1271"/>
      <c r="AC54" s="130" t="s">
        <v>310</v>
      </c>
      <c r="AD54" s="130" t="s">
        <v>319</v>
      </c>
      <c r="AE54" s="130"/>
      <c r="AF54" s="130" t="s">
        <v>313</v>
      </c>
      <c r="AG54" s="130">
        <v>58</v>
      </c>
    </row>
    <row r="55" spans="2:33" ht="12" hidden="1" customHeight="1">
      <c r="B55" s="86"/>
      <c r="C55" s="1121"/>
      <c r="D55" s="937"/>
      <c r="E55" s="937">
        <f>C55/$H$79</f>
        <v>0</v>
      </c>
      <c r="F55" s="1075"/>
      <c r="G55" s="86">
        <f>ROUNDDOWN(N56,0)</f>
        <v>17</v>
      </c>
      <c r="H55" s="935"/>
      <c r="I55" s="1401">
        <f>H55/$H$79</f>
        <v>0</v>
      </c>
      <c r="J55" s="401">
        <v>39.96</v>
      </c>
      <c r="K55" s="401">
        <v>3.65</v>
      </c>
      <c r="L55" s="401">
        <v>14.8</v>
      </c>
      <c r="M55" s="401">
        <f>K55+L55</f>
        <v>18.45</v>
      </c>
      <c r="N55" s="401">
        <f>J55+M55</f>
        <v>58.41</v>
      </c>
      <c r="O55" s="401">
        <f>$O$79/$J$79*J55</f>
        <v>0.11874689045324478</v>
      </c>
      <c r="P55" s="401">
        <f>$P$79/$J$79*J55</f>
        <v>3.8948980068664287</v>
      </c>
      <c r="Q55" s="401">
        <f>$Q$79/$J$79*J55</f>
        <v>45.776926269725863</v>
      </c>
      <c r="R55" s="401">
        <f>O55+P55+Q55</f>
        <v>49.790571167045535</v>
      </c>
      <c r="S55" s="401">
        <f>N55+R55</f>
        <v>108.20057116704552</v>
      </c>
      <c r="T55" s="898" t="s">
        <v>137</v>
      </c>
      <c r="U55" s="173"/>
      <c r="V55" s="935"/>
      <c r="W55" s="1274">
        <f>V55/$H$79</f>
        <v>0</v>
      </c>
      <c r="X55" s="1273">
        <f t="shared" ref="X55" si="14">H55-V55</f>
        <v>0</v>
      </c>
      <c r="AC55" s="130" t="s">
        <v>258</v>
      </c>
      <c r="AD55" s="130" t="s">
        <v>322</v>
      </c>
      <c r="AE55" s="130"/>
      <c r="AF55" s="130"/>
      <c r="AG55" s="130"/>
    </row>
    <row r="56" spans="2:33" ht="12" hidden="1" customHeight="1">
      <c r="B56" s="87"/>
      <c r="C56" s="1121"/>
      <c r="D56" s="938"/>
      <c r="E56" s="938"/>
      <c r="F56" s="1076"/>
      <c r="G56" s="87">
        <v>39</v>
      </c>
      <c r="H56" s="936"/>
      <c r="I56" s="1298"/>
      <c r="J56" s="402">
        <f t="shared" ref="J56:S56" si="15">ROUNDDOWN(J55*0.3025,2)</f>
        <v>12.08</v>
      </c>
      <c r="K56" s="402">
        <f t="shared" si="15"/>
        <v>1.1000000000000001</v>
      </c>
      <c r="L56" s="402">
        <f t="shared" si="15"/>
        <v>4.47</v>
      </c>
      <c r="M56" s="402">
        <f t="shared" si="15"/>
        <v>5.58</v>
      </c>
      <c r="N56" s="402">
        <f t="shared" si="15"/>
        <v>17.66</v>
      </c>
      <c r="O56" s="402">
        <f t="shared" si="15"/>
        <v>0.03</v>
      </c>
      <c r="P56" s="402">
        <f t="shared" si="15"/>
        <v>1.17</v>
      </c>
      <c r="Q56" s="402">
        <f t="shared" si="15"/>
        <v>13.84</v>
      </c>
      <c r="R56" s="402">
        <f t="shared" si="15"/>
        <v>15.06</v>
      </c>
      <c r="S56" s="402">
        <f t="shared" si="15"/>
        <v>32.729999999999997</v>
      </c>
      <c r="T56" s="899"/>
      <c r="U56" s="173"/>
      <c r="V56" s="936"/>
      <c r="W56" s="1265"/>
      <c r="X56" s="1263"/>
      <c r="AC56" s="130"/>
      <c r="AD56" s="130"/>
      <c r="AE56" s="130"/>
      <c r="AF56" s="130"/>
      <c r="AG56" s="130"/>
    </row>
    <row r="57" spans="2:33" ht="12" hidden="1" customHeight="1">
      <c r="B57" s="88"/>
      <c r="C57" s="1121"/>
      <c r="D57" s="940"/>
      <c r="E57" s="940">
        <f>H57/$H$77</f>
        <v>0</v>
      </c>
      <c r="F57" s="1075"/>
      <c r="G57" s="88">
        <f>ROUNDDOWN(N58,0)</f>
        <v>20</v>
      </c>
      <c r="H57" s="1085">
        <v>0</v>
      </c>
      <c r="I57" s="403">
        <f>H57/$H$79</f>
        <v>0</v>
      </c>
      <c r="J57" s="366">
        <v>49.8</v>
      </c>
      <c r="K57" s="366">
        <v>3.7</v>
      </c>
      <c r="L57" s="366">
        <v>14.2</v>
      </c>
      <c r="M57" s="366">
        <f>K57+L57</f>
        <v>17.899999999999999</v>
      </c>
      <c r="N57" s="366">
        <f>M57+J57</f>
        <v>67.699999999999989</v>
      </c>
      <c r="O57" s="366">
        <f>$O$79/$J$79*J57</f>
        <v>0.1479878664807705</v>
      </c>
      <c r="P57" s="366">
        <f>$P$79/$J$79*J57</f>
        <v>4.8540020205692729</v>
      </c>
      <c r="Q57" s="366">
        <f>$Q$79/$J$79*J57</f>
        <v>57.049322528337029</v>
      </c>
      <c r="R57" s="366">
        <f>O57+P57+Q57</f>
        <v>62.051312415387073</v>
      </c>
      <c r="S57" s="366">
        <f>N57+R57</f>
        <v>129.75131241538708</v>
      </c>
      <c r="T57" s="899"/>
      <c r="U57" s="173">
        <f>J57/N57</f>
        <v>0.73559822747415071</v>
      </c>
      <c r="V57" s="1085">
        <v>0</v>
      </c>
      <c r="W57" s="745">
        <f>V57/$H$79</f>
        <v>0</v>
      </c>
      <c r="X57" s="1262">
        <f t="shared" ref="X57" si="16">H57-V57</f>
        <v>0</v>
      </c>
      <c r="AC57" s="130" t="s">
        <v>312</v>
      </c>
      <c r="AD57" s="130" t="s">
        <v>323</v>
      </c>
      <c r="AE57" s="130"/>
      <c r="AF57" s="130"/>
      <c r="AG57" s="130"/>
    </row>
    <row r="58" spans="2:33" ht="12" hidden="1" customHeight="1">
      <c r="B58" s="87"/>
      <c r="C58" s="1121"/>
      <c r="D58" s="938"/>
      <c r="E58" s="938"/>
      <c r="F58" s="1076"/>
      <c r="G58" s="87">
        <f>ROUNDDOWN(J57,0)</f>
        <v>49</v>
      </c>
      <c r="H58" s="936"/>
      <c r="I58" s="404">
        <f>H57/$H$77</f>
        <v>0</v>
      </c>
      <c r="J58" s="402">
        <f t="shared" ref="J58:S58" si="17">ROUNDDOWN(J57*0.3025,2)</f>
        <v>15.06</v>
      </c>
      <c r="K58" s="402">
        <f t="shared" si="17"/>
        <v>1.1100000000000001</v>
      </c>
      <c r="L58" s="402">
        <f t="shared" si="17"/>
        <v>4.29</v>
      </c>
      <c r="M58" s="402">
        <f t="shared" si="17"/>
        <v>5.41</v>
      </c>
      <c r="N58" s="402">
        <f t="shared" si="17"/>
        <v>20.47</v>
      </c>
      <c r="O58" s="402">
        <f t="shared" si="17"/>
        <v>0.04</v>
      </c>
      <c r="P58" s="402">
        <f t="shared" si="17"/>
        <v>1.46</v>
      </c>
      <c r="Q58" s="402">
        <f t="shared" si="17"/>
        <v>17.25</v>
      </c>
      <c r="R58" s="402">
        <f t="shared" si="17"/>
        <v>18.77</v>
      </c>
      <c r="S58" s="402">
        <f t="shared" si="17"/>
        <v>39.24</v>
      </c>
      <c r="T58" s="899"/>
      <c r="U58" s="173"/>
      <c r="V58" s="936"/>
      <c r="W58" s="746">
        <f>V57/$H$77</f>
        <v>0</v>
      </c>
      <c r="X58" s="1263"/>
      <c r="AC58" s="382" t="s">
        <v>313</v>
      </c>
      <c r="AD58" s="382" t="s">
        <v>324</v>
      </c>
      <c r="AE58" s="382"/>
      <c r="AF58" s="382"/>
      <c r="AG58" s="382"/>
    </row>
    <row r="59" spans="2:33" ht="12" customHeight="1">
      <c r="B59" s="88"/>
      <c r="C59" s="1121"/>
      <c r="D59" s="940"/>
      <c r="E59" s="940">
        <f>H59/$H$77</f>
        <v>4.2921686746987951E-2</v>
      </c>
      <c r="F59" s="939">
        <v>102</v>
      </c>
      <c r="G59" s="88">
        <f>ROUNDDOWN(N60,0)</f>
        <v>24</v>
      </c>
      <c r="H59" s="939">
        <v>57</v>
      </c>
      <c r="I59" s="403">
        <f>H59/$H$79</f>
        <v>3.6964980544747082E-2</v>
      </c>
      <c r="J59" s="366">
        <v>59.99</v>
      </c>
      <c r="K59" s="366">
        <v>6.1</v>
      </c>
      <c r="L59" s="366">
        <v>16.5</v>
      </c>
      <c r="M59" s="366">
        <f>K59+L59</f>
        <v>22.6</v>
      </c>
      <c r="N59" s="366">
        <f>M59+J59</f>
        <v>82.59</v>
      </c>
      <c r="O59" s="366">
        <f>$O$79/$J$79*J59</f>
        <v>0.178268917875129</v>
      </c>
      <c r="P59" s="366">
        <f>$P$79/$J$79*J59</f>
        <v>5.8472205063042306</v>
      </c>
      <c r="Q59" s="366">
        <f>$Q$79/$J$79*J59</f>
        <v>68.722667840862229</v>
      </c>
      <c r="R59" s="366">
        <f>O59+P59+Q59</f>
        <v>74.748157265041584</v>
      </c>
      <c r="S59" s="367">
        <f>N59+R59</f>
        <v>157.33815726504159</v>
      </c>
      <c r="T59" s="899"/>
      <c r="U59" s="173">
        <f>J59/N59</f>
        <v>0.72635912338055453</v>
      </c>
      <c r="V59" s="939">
        <f>81+(64-43)+1</f>
        <v>103</v>
      </c>
      <c r="W59" s="745">
        <f>V59/$V$79</f>
        <v>6.7320261437908493E-2</v>
      </c>
      <c r="X59" s="1267">
        <f t="shared" ref="X59" si="18">H59-V59</f>
        <v>-46</v>
      </c>
      <c r="Y59" s="760">
        <v>3</v>
      </c>
      <c r="AC59" s="2" t="s">
        <v>256</v>
      </c>
      <c r="AD59" s="2" t="s">
        <v>320</v>
      </c>
    </row>
    <row r="60" spans="2:33" ht="12" customHeight="1">
      <c r="B60" s="87"/>
      <c r="C60" s="1121"/>
      <c r="D60" s="938"/>
      <c r="E60" s="938"/>
      <c r="F60" s="936"/>
      <c r="G60" s="87">
        <f>ROUNDDOWN(J59,0)</f>
        <v>59</v>
      </c>
      <c r="H60" s="936"/>
      <c r="I60" s="404">
        <f>H59/$H$77</f>
        <v>4.2921686746987951E-2</v>
      </c>
      <c r="J60" s="402">
        <f t="shared" ref="J60:S60" si="19">ROUNDDOWN(J59*0.3025,2)</f>
        <v>18.14</v>
      </c>
      <c r="K60" s="402">
        <f t="shared" si="19"/>
        <v>1.84</v>
      </c>
      <c r="L60" s="402">
        <f t="shared" si="19"/>
        <v>4.99</v>
      </c>
      <c r="M60" s="402">
        <f t="shared" si="19"/>
        <v>6.83</v>
      </c>
      <c r="N60" s="402">
        <f t="shared" si="19"/>
        <v>24.98</v>
      </c>
      <c r="O60" s="402">
        <f t="shared" si="19"/>
        <v>0.05</v>
      </c>
      <c r="P60" s="402">
        <f t="shared" si="19"/>
        <v>1.76</v>
      </c>
      <c r="Q60" s="402">
        <f t="shared" si="19"/>
        <v>20.78</v>
      </c>
      <c r="R60" s="402">
        <f t="shared" si="19"/>
        <v>22.61</v>
      </c>
      <c r="S60" s="402">
        <f t="shared" si="19"/>
        <v>47.59</v>
      </c>
      <c r="T60" s="899"/>
      <c r="U60" s="173"/>
      <c r="V60" s="936"/>
      <c r="W60" s="746">
        <f>V59/$V$77</f>
        <v>7.5347476225310905E-2</v>
      </c>
      <c r="X60" s="1268"/>
      <c r="AC60" s="2" t="s">
        <v>311</v>
      </c>
      <c r="AD60" s="2" t="s">
        <v>321</v>
      </c>
    </row>
    <row r="61" spans="2:33" ht="12" customHeight="1">
      <c r="B61" s="88"/>
      <c r="C61" s="1121"/>
      <c r="D61" s="940"/>
      <c r="E61" s="940">
        <f>H61/$H$77</f>
        <v>0.18072289156626506</v>
      </c>
      <c r="F61" s="939">
        <v>242</v>
      </c>
      <c r="G61" s="88">
        <f>ROUNDDOWN(N62,0)</f>
        <v>30</v>
      </c>
      <c r="H61" s="939">
        <v>240</v>
      </c>
      <c r="I61" s="405">
        <f>H61/$H$79</f>
        <v>0.1556420233463035</v>
      </c>
      <c r="J61" s="366">
        <v>74.989999999999995</v>
      </c>
      <c r="K61" s="366">
        <v>7.03</v>
      </c>
      <c r="L61" s="366">
        <v>18.5</v>
      </c>
      <c r="M61" s="366">
        <f>K61+L61</f>
        <v>25.53</v>
      </c>
      <c r="N61" s="366">
        <f>J61+M61</f>
        <v>100.52</v>
      </c>
      <c r="O61" s="366">
        <f>$O$79/$J$79*J61</f>
        <v>0.22284357645367431</v>
      </c>
      <c r="P61" s="366">
        <f>$P$79/$J$79*J61</f>
        <v>7.3092693076805171</v>
      </c>
      <c r="Q61" s="366">
        <f>$Q$79/$J$79*J61</f>
        <v>85.906198722891446</v>
      </c>
      <c r="R61" s="366">
        <f>O61+P61+Q61</f>
        <v>93.438311607025639</v>
      </c>
      <c r="S61" s="366">
        <f>N61+R61</f>
        <v>193.95831160702562</v>
      </c>
      <c r="T61" s="899"/>
      <c r="U61" s="173">
        <f>J61/N61</f>
        <v>0.74602069239952251</v>
      </c>
      <c r="V61" s="939">
        <f>239+5</f>
        <v>244</v>
      </c>
      <c r="W61" s="745">
        <f>V61/$V$79</f>
        <v>0.15947712418300652</v>
      </c>
      <c r="X61" s="1267">
        <f t="shared" ref="X61" si="20">H61-V61</f>
        <v>-4</v>
      </c>
      <c r="Y61" s="760">
        <v>64</v>
      </c>
      <c r="AC61" s="2" t="s">
        <v>258</v>
      </c>
      <c r="AD61" s="2" t="s">
        <v>322</v>
      </c>
    </row>
    <row r="62" spans="2:33" ht="12" customHeight="1">
      <c r="B62" s="87"/>
      <c r="C62" s="1121"/>
      <c r="D62" s="938"/>
      <c r="E62" s="938"/>
      <c r="F62" s="936"/>
      <c r="G62" s="87">
        <f>ROUNDDOWN(J61,0)</f>
        <v>74</v>
      </c>
      <c r="H62" s="936"/>
      <c r="I62" s="404">
        <f>H61/$H$77</f>
        <v>0.18072289156626506</v>
      </c>
      <c r="J62" s="402">
        <f t="shared" ref="J62:S62" si="21">ROUNDDOWN(J61*0.3025,2)</f>
        <v>22.68</v>
      </c>
      <c r="K62" s="402">
        <f t="shared" si="21"/>
        <v>2.12</v>
      </c>
      <c r="L62" s="402">
        <f t="shared" si="21"/>
        <v>5.59</v>
      </c>
      <c r="M62" s="402">
        <f t="shared" si="21"/>
        <v>7.72</v>
      </c>
      <c r="N62" s="402">
        <f t="shared" si="21"/>
        <v>30.4</v>
      </c>
      <c r="O62" s="402">
        <f t="shared" si="21"/>
        <v>0.06</v>
      </c>
      <c r="P62" s="402">
        <f t="shared" si="21"/>
        <v>2.21</v>
      </c>
      <c r="Q62" s="402">
        <f t="shared" si="21"/>
        <v>25.98</v>
      </c>
      <c r="R62" s="402">
        <f t="shared" si="21"/>
        <v>28.26</v>
      </c>
      <c r="S62" s="402">
        <f t="shared" si="21"/>
        <v>58.67</v>
      </c>
      <c r="T62" s="899"/>
      <c r="U62" s="173"/>
      <c r="V62" s="936"/>
      <c r="W62" s="746">
        <f>V61/$V$77</f>
        <v>0.17849305047549377</v>
      </c>
      <c r="X62" s="1268"/>
      <c r="AC62" s="2" t="s">
        <v>312</v>
      </c>
      <c r="AD62" s="2" t="s">
        <v>323</v>
      </c>
    </row>
    <row r="63" spans="2:33" ht="12" customHeight="1">
      <c r="B63" s="88"/>
      <c r="C63" s="1121"/>
      <c r="D63" s="940"/>
      <c r="E63" s="940">
        <f>H63/$H$77</f>
        <v>0.40587349397590361</v>
      </c>
      <c r="F63" s="939">
        <v>566</v>
      </c>
      <c r="G63" s="88">
        <f>ROUNDDOWN(N64,0)</f>
        <v>34</v>
      </c>
      <c r="H63" s="939">
        <v>539</v>
      </c>
      <c r="I63" s="403">
        <f>H63/$H$79</f>
        <v>0.34954604409857326</v>
      </c>
      <c r="J63" s="366">
        <v>84.99</v>
      </c>
      <c r="K63" s="366">
        <v>8.1999999999999993</v>
      </c>
      <c r="L63" s="366">
        <v>21.5</v>
      </c>
      <c r="M63" s="366">
        <f>K63+L63</f>
        <v>29.7</v>
      </c>
      <c r="N63" s="366">
        <f>J63+M63</f>
        <v>114.69</v>
      </c>
      <c r="O63" s="366">
        <f>$O$79/$J$79*J63</f>
        <v>0.25256001550603785</v>
      </c>
      <c r="P63" s="366">
        <f>$P$79/$J$79*J63</f>
        <v>8.2839685085980417</v>
      </c>
      <c r="Q63" s="366">
        <f>$Q$79/$J$79*J63</f>
        <v>97.361885977577586</v>
      </c>
      <c r="R63" s="366">
        <f>O63+P63+Q63</f>
        <v>105.89841450168167</v>
      </c>
      <c r="S63" s="366">
        <f>N63+R63</f>
        <v>220.58841450168165</v>
      </c>
      <c r="T63" s="899"/>
      <c r="U63" s="173">
        <f>J63/N63</f>
        <v>0.74104106722469265</v>
      </c>
      <c r="V63" s="939">
        <f>156+243+(131+31)+5</f>
        <v>566</v>
      </c>
      <c r="W63" s="745">
        <f>V63/$V$79</f>
        <v>0.36993464052287583</v>
      </c>
      <c r="X63" s="1267">
        <f t="shared" ref="X63" si="22">H63-V63</f>
        <v>-27</v>
      </c>
      <c r="Y63" s="760">
        <v>37</v>
      </c>
      <c r="Z63" s="2">
        <f>Y63+Y64</f>
        <v>190</v>
      </c>
      <c r="AC63" s="2" t="s">
        <v>313</v>
      </c>
      <c r="AD63" s="2" t="s">
        <v>324</v>
      </c>
    </row>
    <row r="64" spans="2:33" ht="12" customHeight="1">
      <c r="B64" s="87"/>
      <c r="C64" s="1121"/>
      <c r="D64" s="938"/>
      <c r="E64" s="938"/>
      <c r="F64" s="936"/>
      <c r="G64" s="87">
        <f>ROUNDDOWN(J63,0)</f>
        <v>84</v>
      </c>
      <c r="H64" s="936"/>
      <c r="I64" s="404">
        <f>H63/$H$77</f>
        <v>0.40587349397590361</v>
      </c>
      <c r="J64" s="402">
        <f t="shared" ref="J64:S64" si="23">ROUNDDOWN(J63*0.3025,2)</f>
        <v>25.7</v>
      </c>
      <c r="K64" s="402">
        <f t="shared" si="23"/>
        <v>2.48</v>
      </c>
      <c r="L64" s="402">
        <f t="shared" si="23"/>
        <v>6.5</v>
      </c>
      <c r="M64" s="402">
        <f t="shared" si="23"/>
        <v>8.98</v>
      </c>
      <c r="N64" s="402">
        <f t="shared" si="23"/>
        <v>34.69</v>
      </c>
      <c r="O64" s="402">
        <f t="shared" si="23"/>
        <v>7.0000000000000007E-2</v>
      </c>
      <c r="P64" s="402">
        <f t="shared" si="23"/>
        <v>2.5</v>
      </c>
      <c r="Q64" s="402">
        <f t="shared" si="23"/>
        <v>29.45</v>
      </c>
      <c r="R64" s="402">
        <f t="shared" si="23"/>
        <v>32.03</v>
      </c>
      <c r="S64" s="402">
        <f t="shared" si="23"/>
        <v>66.72</v>
      </c>
      <c r="T64" s="899"/>
      <c r="U64" s="173"/>
      <c r="V64" s="936"/>
      <c r="W64" s="746">
        <f>V63/$V$77</f>
        <v>0.41404535479151428</v>
      </c>
      <c r="X64" s="1268"/>
      <c r="Y64" s="760">
        <v>153</v>
      </c>
    </row>
    <row r="65" spans="2:26" ht="12" customHeight="1">
      <c r="B65" s="88"/>
      <c r="C65" s="1121"/>
      <c r="D65" s="940"/>
      <c r="E65" s="940">
        <f>C65/$H$79</f>
        <v>0</v>
      </c>
      <c r="F65" s="939">
        <v>218</v>
      </c>
      <c r="G65" s="88">
        <f>ROUNDDOWN(N66,0)</f>
        <v>40</v>
      </c>
      <c r="H65" s="939">
        <v>255</v>
      </c>
      <c r="I65" s="403">
        <f>H65/$H$79</f>
        <v>0.16536964980544747</v>
      </c>
      <c r="J65" s="366">
        <v>99.99</v>
      </c>
      <c r="K65" s="366">
        <v>8.7200000000000006</v>
      </c>
      <c r="L65" s="366">
        <v>23.8</v>
      </c>
      <c r="M65" s="366">
        <f>K65+L65</f>
        <v>32.520000000000003</v>
      </c>
      <c r="N65" s="366">
        <f>J65+M65</f>
        <v>132.51</v>
      </c>
      <c r="O65" s="366">
        <f>$O$79/$J$79*J65</f>
        <v>0.29713467408458322</v>
      </c>
      <c r="P65" s="366">
        <f>$P$79/$J$79*J65</f>
        <v>9.746017309974329</v>
      </c>
      <c r="Q65" s="366">
        <f>$Q$79/$J$79*J65</f>
        <v>114.54541685960682</v>
      </c>
      <c r="R65" s="366">
        <f>O65+P65+Q65</f>
        <v>124.58856884366573</v>
      </c>
      <c r="S65" s="366">
        <f>N65+R65</f>
        <v>257.0985688436657</v>
      </c>
      <c r="T65" s="899"/>
      <c r="U65" s="173"/>
      <c r="V65" s="939">
        <f>140+78</f>
        <v>218</v>
      </c>
      <c r="W65" s="745">
        <f>V65/$V$79</f>
        <v>0.14248366013071895</v>
      </c>
      <c r="X65" s="1267">
        <f t="shared" ref="X65" si="24">H65-V65</f>
        <v>37</v>
      </c>
      <c r="Y65" s="760">
        <v>8</v>
      </c>
    </row>
    <row r="66" spans="2:26" ht="12" customHeight="1">
      <c r="B66" s="272"/>
      <c r="C66" s="1121"/>
      <c r="D66" s="938"/>
      <c r="E66" s="938"/>
      <c r="F66" s="936"/>
      <c r="G66" s="87">
        <f>ROUNDDOWN(J65,0)</f>
        <v>99</v>
      </c>
      <c r="H66" s="936"/>
      <c r="I66" s="404">
        <f>H65/$H$77</f>
        <v>0.19201807228915663</v>
      </c>
      <c r="J66" s="402">
        <f t="shared" ref="J66:S66" si="25">ROUNDDOWN(J65*0.3025,2)</f>
        <v>30.24</v>
      </c>
      <c r="K66" s="402">
        <f t="shared" si="25"/>
        <v>2.63</v>
      </c>
      <c r="L66" s="402">
        <f t="shared" si="25"/>
        <v>7.19</v>
      </c>
      <c r="M66" s="402">
        <f t="shared" si="25"/>
        <v>9.83</v>
      </c>
      <c r="N66" s="402">
        <f t="shared" si="25"/>
        <v>40.08</v>
      </c>
      <c r="O66" s="402">
        <f t="shared" si="25"/>
        <v>0.08</v>
      </c>
      <c r="P66" s="402">
        <f t="shared" si="25"/>
        <v>2.94</v>
      </c>
      <c r="Q66" s="402">
        <f t="shared" si="25"/>
        <v>34.64</v>
      </c>
      <c r="R66" s="402">
        <f t="shared" si="25"/>
        <v>37.68</v>
      </c>
      <c r="S66" s="402">
        <f t="shared" si="25"/>
        <v>77.77</v>
      </c>
      <c r="T66" s="899"/>
      <c r="U66" s="173"/>
      <c r="V66" s="936"/>
      <c r="W66" s="746">
        <f>V65/$V$77</f>
        <v>0.15947329919531822</v>
      </c>
      <c r="X66" s="1268"/>
    </row>
    <row r="67" spans="2:26" ht="12" customHeight="1">
      <c r="B67" s="323"/>
      <c r="C67" s="308"/>
      <c r="D67" s="305"/>
      <c r="E67" s="940">
        <f>H67/$H$77</f>
        <v>0.14006024096385541</v>
      </c>
      <c r="F67" s="939">
        <v>174</v>
      </c>
      <c r="G67" s="88">
        <f>ROUNDDOWN(N68,0)</f>
        <v>45</v>
      </c>
      <c r="H67" s="939">
        <v>186</v>
      </c>
      <c r="I67" s="403">
        <f>H67/$H$79</f>
        <v>0.12062256809338522</v>
      </c>
      <c r="J67" s="366">
        <v>114.99</v>
      </c>
      <c r="K67" s="366">
        <v>9.1999999999999993</v>
      </c>
      <c r="L67" s="366">
        <v>25.5</v>
      </c>
      <c r="M67" s="366">
        <f>K67+L67</f>
        <v>34.700000000000003</v>
      </c>
      <c r="N67" s="366">
        <f>J67+M67</f>
        <v>149.69</v>
      </c>
      <c r="O67" s="366">
        <f>$O$79/$J$79*J67</f>
        <v>0.34170933266312853</v>
      </c>
      <c r="P67" s="366">
        <f>$P$79/$J$79*J67</f>
        <v>11.208066111350616</v>
      </c>
      <c r="Q67" s="366">
        <f>$Q$79/$J$79*J67</f>
        <v>131.72894774163603</v>
      </c>
      <c r="R67" s="366">
        <f>O67+P67+Q67</f>
        <v>143.27872318564977</v>
      </c>
      <c r="S67" s="366">
        <f>N67+R67</f>
        <v>292.96872318564976</v>
      </c>
      <c r="T67" s="899"/>
      <c r="U67" s="173">
        <f>J67/N67</f>
        <v>0.76818758768120776</v>
      </c>
      <c r="V67" s="1431">
        <f>150+24</f>
        <v>174</v>
      </c>
      <c r="W67" s="745">
        <f>V67/$V$79</f>
        <v>0.11372549019607843</v>
      </c>
      <c r="X67" s="1267">
        <f t="shared" ref="X67" si="26">H67-V67</f>
        <v>12</v>
      </c>
      <c r="Y67" s="2">
        <v>4</v>
      </c>
    </row>
    <row r="68" spans="2:26" ht="12" customHeight="1">
      <c r="B68" s="323"/>
      <c r="C68" s="308"/>
      <c r="D68" s="305"/>
      <c r="E68" s="938"/>
      <c r="F68" s="936"/>
      <c r="G68" s="87">
        <f>ROUNDDOWN(J67,0)</f>
        <v>114</v>
      </c>
      <c r="H68" s="936"/>
      <c r="I68" s="404">
        <f>H67/$H$77</f>
        <v>0.14006024096385541</v>
      </c>
      <c r="J68" s="402">
        <f t="shared" ref="J68:S68" si="27">ROUNDDOWN(J67*0.3025,2)</f>
        <v>34.78</v>
      </c>
      <c r="K68" s="402">
        <f t="shared" si="27"/>
        <v>2.78</v>
      </c>
      <c r="L68" s="402">
        <f t="shared" si="27"/>
        <v>7.71</v>
      </c>
      <c r="M68" s="402">
        <f t="shared" si="27"/>
        <v>10.49</v>
      </c>
      <c r="N68" s="402">
        <f t="shared" si="27"/>
        <v>45.28</v>
      </c>
      <c r="O68" s="402">
        <f t="shared" si="27"/>
        <v>0.1</v>
      </c>
      <c r="P68" s="402">
        <f t="shared" si="27"/>
        <v>3.39</v>
      </c>
      <c r="Q68" s="402">
        <f t="shared" si="27"/>
        <v>39.840000000000003</v>
      </c>
      <c r="R68" s="402">
        <f t="shared" si="27"/>
        <v>43.34</v>
      </c>
      <c r="S68" s="402">
        <f t="shared" si="27"/>
        <v>88.62</v>
      </c>
      <c r="T68" s="899"/>
      <c r="U68" s="173"/>
      <c r="V68" s="1432"/>
      <c r="W68" s="746">
        <f>V67/$V$77</f>
        <v>0.12728602779809803</v>
      </c>
      <c r="X68" s="1268"/>
    </row>
    <row r="69" spans="2:26" ht="12" customHeight="1">
      <c r="B69" s="323"/>
      <c r="C69" s="308"/>
      <c r="D69" s="305"/>
      <c r="E69" s="1084">
        <f>C69/$H$79</f>
        <v>0</v>
      </c>
      <c r="F69" s="1085">
        <v>58</v>
      </c>
      <c r="G69" s="88">
        <f>ROUNDDOWN(N70,0)</f>
        <v>52</v>
      </c>
      <c r="H69" s="1085">
        <v>46</v>
      </c>
      <c r="I69" s="408">
        <f>H69/$H$79</f>
        <v>2.9831387808041506E-2</v>
      </c>
      <c r="J69" s="366">
        <v>135.99</v>
      </c>
      <c r="K69" s="366">
        <v>10.72</v>
      </c>
      <c r="L69" s="366">
        <v>26.8</v>
      </c>
      <c r="M69" s="366">
        <f>K69+L69</f>
        <v>37.520000000000003</v>
      </c>
      <c r="N69" s="366">
        <f>J69+M69</f>
        <v>173.51000000000002</v>
      </c>
      <c r="O69" s="366">
        <f>$O$79/$J$79*J69</f>
        <v>0.40411385467309208</v>
      </c>
      <c r="P69" s="366">
        <f>$P$79/$J$79*J69</f>
        <v>13.25493443327742</v>
      </c>
      <c r="Q69" s="366">
        <f>$Q$79/$J$79*J69</f>
        <v>155.78589097647699</v>
      </c>
      <c r="R69" s="366">
        <f>O69+P69+Q69</f>
        <v>169.44493926442749</v>
      </c>
      <c r="S69" s="366">
        <f>N69+R69</f>
        <v>342.95493926442748</v>
      </c>
      <c r="T69" s="899"/>
      <c r="U69" s="173"/>
      <c r="V69" s="1085">
        <v>58</v>
      </c>
      <c r="W69" s="748">
        <f>V69/$V$79</f>
        <v>3.7908496732026141E-2</v>
      </c>
      <c r="X69" s="1262">
        <f t="shared" ref="X69" si="28">H69-V69</f>
        <v>-12</v>
      </c>
    </row>
    <row r="70" spans="2:26" ht="12" customHeight="1">
      <c r="B70" s="323"/>
      <c r="C70" s="308"/>
      <c r="D70" s="305"/>
      <c r="E70" s="938"/>
      <c r="F70" s="936"/>
      <c r="G70" s="87">
        <f>ROUNDDOWN(J69,0)</f>
        <v>135</v>
      </c>
      <c r="H70" s="936"/>
      <c r="I70" s="404">
        <f>H69/$H$77</f>
        <v>3.463855421686747E-2</v>
      </c>
      <c r="J70" s="402">
        <f t="shared" ref="J70:S70" si="29">ROUNDDOWN(J69*0.3025,2)</f>
        <v>41.13</v>
      </c>
      <c r="K70" s="402">
        <f t="shared" si="29"/>
        <v>3.24</v>
      </c>
      <c r="L70" s="402">
        <f t="shared" si="29"/>
        <v>8.1</v>
      </c>
      <c r="M70" s="402">
        <f t="shared" si="29"/>
        <v>11.34</v>
      </c>
      <c r="N70" s="402">
        <f t="shared" si="29"/>
        <v>52.48</v>
      </c>
      <c r="O70" s="402">
        <f t="shared" si="29"/>
        <v>0.12</v>
      </c>
      <c r="P70" s="402">
        <f t="shared" si="29"/>
        <v>4</v>
      </c>
      <c r="Q70" s="402">
        <f t="shared" si="29"/>
        <v>47.12</v>
      </c>
      <c r="R70" s="402">
        <f t="shared" si="29"/>
        <v>51.25</v>
      </c>
      <c r="S70" s="402">
        <f t="shared" si="29"/>
        <v>103.74</v>
      </c>
      <c r="T70" s="899"/>
      <c r="U70" s="173"/>
      <c r="V70" s="936"/>
      <c r="W70" s="746">
        <f>V69/$H$77</f>
        <v>4.3674698795180725E-2</v>
      </c>
      <c r="X70" s="1263"/>
    </row>
    <row r="71" spans="2:26" ht="12" hidden="1" customHeight="1">
      <c r="B71" s="88"/>
      <c r="C71" s="1121"/>
      <c r="D71" s="1084"/>
      <c r="E71" s="1084">
        <f>C71/$H$79</f>
        <v>0</v>
      </c>
      <c r="F71" s="1085"/>
      <c r="G71" s="88">
        <f>ROUNDDOWN(N72,0)</f>
        <v>59</v>
      </c>
      <c r="H71" s="1085"/>
      <c r="I71" s="408">
        <f>H71/$H$79</f>
        <v>0</v>
      </c>
      <c r="J71" s="409">
        <v>158.97999999999999</v>
      </c>
      <c r="K71" s="409">
        <v>11.28</v>
      </c>
      <c r="L71" s="409">
        <v>25.54</v>
      </c>
      <c r="M71" s="409">
        <f>K71+L71</f>
        <v>36.82</v>
      </c>
      <c r="N71" s="409">
        <f>J71+M71</f>
        <v>195.79999999999998</v>
      </c>
      <c r="O71" s="409">
        <f>$O$79/$J$79*J71</f>
        <v>0.4724319480544758</v>
      </c>
      <c r="P71" s="409">
        <f>$P$79/$J$79*J71</f>
        <v>15.495767896186807</v>
      </c>
      <c r="Q71" s="409">
        <f>$Q$79/$J$79*J71</f>
        <v>182.12251597500043</v>
      </c>
      <c r="R71" s="409">
        <f>O71+P71+Q71</f>
        <v>198.09071581924172</v>
      </c>
      <c r="S71" s="409">
        <f>N71+R71</f>
        <v>393.89071581924168</v>
      </c>
      <c r="T71" s="899"/>
      <c r="U71" s="173"/>
      <c r="V71" s="1085"/>
      <c r="W71" s="1264">
        <f>V71/$H$79</f>
        <v>0</v>
      </c>
      <c r="X71" s="1262">
        <f t="shared" ref="X71" si="30">H71-V71</f>
        <v>0</v>
      </c>
    </row>
    <row r="72" spans="2:26" ht="12" hidden="1" customHeight="1">
      <c r="B72" s="87"/>
      <c r="C72" s="1121"/>
      <c r="D72" s="938"/>
      <c r="E72" s="938"/>
      <c r="F72" s="936"/>
      <c r="G72" s="87">
        <f>ROUNDDOWN(J71,0)</f>
        <v>158</v>
      </c>
      <c r="H72" s="936"/>
      <c r="I72" s="414"/>
      <c r="J72" s="402">
        <f t="shared" ref="J72:S72" si="31">ROUNDDOWN(J71*0.3025,2)</f>
        <v>48.09</v>
      </c>
      <c r="K72" s="402">
        <f t="shared" si="31"/>
        <v>3.41</v>
      </c>
      <c r="L72" s="402">
        <f t="shared" si="31"/>
        <v>7.72</v>
      </c>
      <c r="M72" s="402">
        <f t="shared" si="31"/>
        <v>11.13</v>
      </c>
      <c r="N72" s="402">
        <f t="shared" si="31"/>
        <v>59.22</v>
      </c>
      <c r="O72" s="402">
        <f t="shared" si="31"/>
        <v>0.14000000000000001</v>
      </c>
      <c r="P72" s="402">
        <f t="shared" si="31"/>
        <v>4.68</v>
      </c>
      <c r="Q72" s="402">
        <f t="shared" si="31"/>
        <v>55.09</v>
      </c>
      <c r="R72" s="402">
        <f t="shared" si="31"/>
        <v>59.92</v>
      </c>
      <c r="S72" s="402">
        <f t="shared" si="31"/>
        <v>119.15</v>
      </c>
      <c r="T72" s="899"/>
      <c r="U72" s="173"/>
      <c r="V72" s="936"/>
      <c r="W72" s="1265"/>
      <c r="X72" s="1263"/>
    </row>
    <row r="73" spans="2:26" ht="12" customHeight="1">
      <c r="B73" s="324"/>
      <c r="C73" s="308"/>
      <c r="D73" s="305"/>
      <c r="E73" s="940" t="e">
        <f>C73/$H$76</f>
        <v>#DIV/0!</v>
      </c>
      <c r="F73" s="939">
        <v>0</v>
      </c>
      <c r="G73" s="88">
        <f>ROUNDDOWN(N74,0)</f>
        <v>62</v>
      </c>
      <c r="H73" s="939">
        <v>0</v>
      </c>
      <c r="I73" s="403">
        <f>H73/$H$79</f>
        <v>0</v>
      </c>
      <c r="J73" s="409">
        <v>165.89</v>
      </c>
      <c r="K73" s="409">
        <v>13.45</v>
      </c>
      <c r="L73" s="409">
        <v>26.42</v>
      </c>
      <c r="M73" s="409">
        <f>K73+L73</f>
        <v>39.870000000000005</v>
      </c>
      <c r="N73" s="409">
        <f>J73+M73</f>
        <v>205.76</v>
      </c>
      <c r="O73" s="409">
        <f>$O$76/$J$76*J73</f>
        <v>0.47012091441526538</v>
      </c>
      <c r="P73" s="409">
        <f>$P$76/$J$76*J73</f>
        <v>16.140818061590782</v>
      </c>
      <c r="Q73" s="409">
        <f>$Q$76/$J$76*J73</f>
        <v>190.05421500094462</v>
      </c>
      <c r="R73" s="409">
        <f>O73+P73+Q73</f>
        <v>206.66515397695068</v>
      </c>
      <c r="S73" s="409">
        <f>N73+R73</f>
        <v>412.4251539769507</v>
      </c>
      <c r="T73" s="899"/>
      <c r="U73" s="173"/>
      <c r="V73" s="939"/>
      <c r="W73" s="1264">
        <f>V73/$H$79</f>
        <v>0</v>
      </c>
      <c r="X73" s="1266">
        <f t="shared" ref="X73" si="32">H73-V73</f>
        <v>0</v>
      </c>
    </row>
    <row r="74" spans="2:26" ht="12" customHeight="1">
      <c r="B74" s="324"/>
      <c r="C74" s="308"/>
      <c r="D74" s="305"/>
      <c r="E74" s="938"/>
      <c r="F74" s="936"/>
      <c r="G74" s="87">
        <f>ROUNDDOWN(J73,0)</f>
        <v>165</v>
      </c>
      <c r="H74" s="936"/>
      <c r="I74" s="404">
        <f>H73/$H$77</f>
        <v>0</v>
      </c>
      <c r="J74" s="402">
        <f t="shared" ref="J74:S74" si="33">ROUNDDOWN(J73*0.3025,2)</f>
        <v>50.18</v>
      </c>
      <c r="K74" s="402">
        <f t="shared" si="33"/>
        <v>4.0599999999999996</v>
      </c>
      <c r="L74" s="402">
        <f t="shared" si="33"/>
        <v>7.99</v>
      </c>
      <c r="M74" s="402">
        <f t="shared" si="33"/>
        <v>12.06</v>
      </c>
      <c r="N74" s="402">
        <f t="shared" si="33"/>
        <v>62.24</v>
      </c>
      <c r="O74" s="402">
        <f t="shared" si="33"/>
        <v>0.14000000000000001</v>
      </c>
      <c r="P74" s="402">
        <f t="shared" si="33"/>
        <v>4.88</v>
      </c>
      <c r="Q74" s="402">
        <f t="shared" si="33"/>
        <v>57.49</v>
      </c>
      <c r="R74" s="402">
        <f t="shared" si="33"/>
        <v>62.51</v>
      </c>
      <c r="S74" s="402">
        <f t="shared" si="33"/>
        <v>124.75</v>
      </c>
      <c r="T74" s="899"/>
      <c r="U74" s="173"/>
      <c r="V74" s="936"/>
      <c r="W74" s="1265"/>
      <c r="X74" s="1263"/>
    </row>
    <row r="75" spans="2:26" ht="12" customHeight="1">
      <c r="B75" s="88"/>
      <c r="C75" s="1121"/>
      <c r="D75" s="940"/>
      <c r="E75" s="940">
        <f>C75/$H$79</f>
        <v>0</v>
      </c>
      <c r="F75" s="939">
        <v>4</v>
      </c>
      <c r="G75" s="88">
        <f>ROUNDDOWN(N76,0)</f>
        <v>66</v>
      </c>
      <c r="H75" s="939">
        <v>5</v>
      </c>
      <c r="I75" s="410">
        <f>H75/$H$79</f>
        <v>3.2425421530479898E-3</v>
      </c>
      <c r="J75" s="366">
        <v>175</v>
      </c>
      <c r="K75" s="366">
        <v>15.3</v>
      </c>
      <c r="L75" s="366">
        <v>30.85</v>
      </c>
      <c r="M75" s="366">
        <f>K75+L75</f>
        <v>46.150000000000006</v>
      </c>
      <c r="N75" s="366">
        <f>J75+M75</f>
        <v>221.15</v>
      </c>
      <c r="O75" s="366">
        <f>$O$79/$J$79*J75</f>
        <v>0.52003768341636225</v>
      </c>
      <c r="P75" s="366">
        <f>$P$79/$J$79*J75</f>
        <v>17.057236016056681</v>
      </c>
      <c r="Q75" s="366">
        <f>$Q$79/$J$79*J75</f>
        <v>200.47452695700764</v>
      </c>
      <c r="R75" s="366">
        <f>O75+P75+Q75</f>
        <v>218.05180065648068</v>
      </c>
      <c r="S75" s="366">
        <f>N75+R75</f>
        <v>439.20180065648071</v>
      </c>
      <c r="T75" s="899"/>
      <c r="U75" s="173"/>
      <c r="V75" s="939">
        <v>4</v>
      </c>
      <c r="W75" s="745">
        <f>V75/$V$79</f>
        <v>2.6143790849673201E-3</v>
      </c>
      <c r="X75" s="1267">
        <f t="shared" ref="X75" si="34">H75-V75</f>
        <v>1</v>
      </c>
      <c r="Z75" s="173">
        <f>N53+N77</f>
        <v>179718.3</v>
      </c>
    </row>
    <row r="76" spans="2:26" ht="12" customHeight="1">
      <c r="B76" s="87"/>
      <c r="C76" s="1121"/>
      <c r="D76" s="938"/>
      <c r="E76" s="938"/>
      <c r="F76" s="936"/>
      <c r="G76" s="273">
        <f>ROUNDDOWN(J75,0)</f>
        <v>175</v>
      </c>
      <c r="H76" s="936"/>
      <c r="I76" s="404">
        <f>H75/$H$77</f>
        <v>3.7650602409638554E-3</v>
      </c>
      <c r="J76" s="402">
        <f t="shared" ref="J76:S76" si="35">ROUNDDOWN(J75*0.3025,2)</f>
        <v>52.93</v>
      </c>
      <c r="K76" s="402">
        <f t="shared" si="35"/>
        <v>4.62</v>
      </c>
      <c r="L76" s="402">
        <f t="shared" si="35"/>
        <v>9.33</v>
      </c>
      <c r="M76" s="402">
        <f t="shared" si="35"/>
        <v>13.96</v>
      </c>
      <c r="N76" s="402">
        <f t="shared" si="35"/>
        <v>66.89</v>
      </c>
      <c r="O76" s="402">
        <f t="shared" si="35"/>
        <v>0.15</v>
      </c>
      <c r="P76" s="402">
        <f t="shared" si="35"/>
        <v>5.15</v>
      </c>
      <c r="Q76" s="402">
        <f t="shared" si="35"/>
        <v>60.64</v>
      </c>
      <c r="R76" s="402">
        <f t="shared" si="35"/>
        <v>65.959999999999994</v>
      </c>
      <c r="S76" s="402">
        <f t="shared" si="35"/>
        <v>132.85</v>
      </c>
      <c r="T76" s="899"/>
      <c r="U76" s="173"/>
      <c r="V76" s="936"/>
      <c r="W76" s="746">
        <f>V75/$V$77</f>
        <v>2.926115581565472E-3</v>
      </c>
      <c r="X76" s="1268"/>
      <c r="Y76" s="144"/>
      <c r="Z76" s="144">
        <f>R53+R77</f>
        <v>167720</v>
      </c>
    </row>
    <row r="77" spans="2:26" ht="12" customHeight="1">
      <c r="B77" s="130"/>
      <c r="C77" s="130"/>
      <c r="D77" s="1131"/>
      <c r="E77" s="1131">
        <f>E57+E59+E61+E63+E67</f>
        <v>0.76957831325301207</v>
      </c>
      <c r="F77" s="130">
        <f>H53/H77*100</f>
        <v>16.114457831325304</v>
      </c>
      <c r="G77" s="1202" t="s">
        <v>82</v>
      </c>
      <c r="H77" s="1253">
        <f>SUM(H55:H76)</f>
        <v>1328</v>
      </c>
      <c r="I77" s="411">
        <f>I57+I59+I61+I63+I67+I65+I69+I75</f>
        <v>0.86121919584954598</v>
      </c>
      <c r="J77" s="398">
        <f>SUMPRODUCT(H55:H76,J55:J76)</f>
        <v>121242.76999999999</v>
      </c>
      <c r="K77" s="398">
        <f>SUMPRODUCT(H55:H76,K55:K76)</f>
        <v>10959.12</v>
      </c>
      <c r="L77" s="398">
        <f>SUMPRODUCT(H55:H76,L55:L76)</f>
        <v>29168.05</v>
      </c>
      <c r="M77" s="398">
        <f>K77+L77</f>
        <v>40127.17</v>
      </c>
      <c r="N77" s="398">
        <f>J77+M77</f>
        <v>161369.94</v>
      </c>
      <c r="O77" s="398">
        <f>SUMPRODUCT(H55:H76,O55:O76)</f>
        <v>360.29033852447333</v>
      </c>
      <c r="P77" s="398">
        <f>SUMPRODUCT(H55:H76,P55:P76)</f>
        <v>11817.523103602723</v>
      </c>
      <c r="Q77" s="398">
        <f>SUMPRODUCT(H55:H76,Q55:Q76)</f>
        <v>138891.92550118445</v>
      </c>
      <c r="R77" s="398">
        <f>O77+P77+Q77</f>
        <v>151069.73894331165</v>
      </c>
      <c r="S77" s="398">
        <f>N77+R77</f>
        <v>312439.67894331168</v>
      </c>
      <c r="T77" s="1220"/>
      <c r="U77" s="173"/>
      <c r="V77" s="1253">
        <f>SUM(V55:V76)</f>
        <v>1367</v>
      </c>
      <c r="W77" s="749">
        <f>W57+W59+W61+W63+W67+W65+W69+W75</f>
        <v>0.89346405228758174</v>
      </c>
      <c r="X77" s="1270">
        <f t="shared" ref="X77" si="36">H77-V77</f>
        <v>-39</v>
      </c>
      <c r="Y77" s="1253">
        <f>SUM(Y55:Y76)</f>
        <v>269</v>
      </c>
      <c r="Z77" s="173">
        <f>S53+S77</f>
        <v>347438.30000000005</v>
      </c>
    </row>
    <row r="78" spans="2:26" ht="12" customHeight="1">
      <c r="D78" s="1132"/>
      <c r="E78" s="1132"/>
      <c r="F78" s="756">
        <f>H77-V77</f>
        <v>-39</v>
      </c>
      <c r="G78" s="1203"/>
      <c r="H78" s="1254"/>
      <c r="I78" s="412">
        <f>H77/$H$77</f>
        <v>1</v>
      </c>
      <c r="J78" s="400">
        <f t="shared" ref="J78:S78" si="37">ROUNDDOWN(J77*0.3025,2)</f>
        <v>36675.93</v>
      </c>
      <c r="K78" s="400">
        <f t="shared" si="37"/>
        <v>3315.13</v>
      </c>
      <c r="L78" s="400">
        <f t="shared" si="37"/>
        <v>8823.33</v>
      </c>
      <c r="M78" s="400">
        <f t="shared" si="37"/>
        <v>12138.46</v>
      </c>
      <c r="N78" s="400">
        <f t="shared" si="37"/>
        <v>48814.400000000001</v>
      </c>
      <c r="O78" s="400">
        <f t="shared" si="37"/>
        <v>108.98</v>
      </c>
      <c r="P78" s="400">
        <f t="shared" si="37"/>
        <v>3574.8</v>
      </c>
      <c r="Q78" s="400">
        <f t="shared" si="37"/>
        <v>42014.8</v>
      </c>
      <c r="R78" s="400">
        <f t="shared" si="37"/>
        <v>45698.59</v>
      </c>
      <c r="S78" s="400">
        <f t="shared" si="37"/>
        <v>94513</v>
      </c>
      <c r="T78" s="1207"/>
      <c r="V78" s="1254"/>
      <c r="W78" s="750">
        <f>V77/$V$77</f>
        <v>1</v>
      </c>
      <c r="X78" s="1271"/>
      <c r="Y78" s="1254"/>
    </row>
    <row r="79" spans="2:26" ht="17.25" customHeight="1">
      <c r="C79" s="1212"/>
      <c r="D79" s="940"/>
      <c r="F79" s="756">
        <f>H79-Z79</f>
        <v>1542</v>
      </c>
      <c r="G79" s="1213" t="s">
        <v>69</v>
      </c>
      <c r="H79" s="1255">
        <f>H53+H77</f>
        <v>1542</v>
      </c>
      <c r="I79" s="1217">
        <f>I53+I77</f>
        <v>0.98054474708171202</v>
      </c>
      <c r="J79" s="368">
        <f>J53+J77</f>
        <v>134605.63</v>
      </c>
      <c r="K79" s="368">
        <f>K53+K77</f>
        <v>12308.62</v>
      </c>
      <c r="L79" s="368">
        <f>L53+L77</f>
        <v>32804.050000000003</v>
      </c>
      <c r="M79" s="368">
        <f>K79+L79</f>
        <v>45112.670000000006</v>
      </c>
      <c r="N79" s="368">
        <f>J79+M79</f>
        <v>179718.30000000002</v>
      </c>
      <c r="O79" s="368">
        <v>400</v>
      </c>
      <c r="P79" s="368">
        <f>R6+R7+R8+R9+R10+R11+R12+R15</f>
        <v>13120</v>
      </c>
      <c r="Q79" s="368">
        <f>(R19*V18)</f>
        <v>154200</v>
      </c>
      <c r="R79" s="368">
        <f>O79+P79+Q79</f>
        <v>167720</v>
      </c>
      <c r="S79" s="368">
        <f>N79+R79</f>
        <v>347438.30000000005</v>
      </c>
      <c r="T79" s="358"/>
      <c r="V79" s="1255">
        <f>V53+V77</f>
        <v>1530</v>
      </c>
      <c r="W79" s="1260">
        <f>W53+W77</f>
        <v>1</v>
      </c>
      <c r="X79" s="1258">
        <f t="shared" ref="X79" si="38">H79-V79</f>
        <v>12</v>
      </c>
      <c r="Y79" s="1255">
        <f>Y53+Y77</f>
        <v>299</v>
      </c>
    </row>
    <row r="80" spans="2:26" ht="17.25" customHeight="1" thickBot="1">
      <c r="C80" s="1076"/>
      <c r="D80" s="938"/>
      <c r="F80" s="77"/>
      <c r="G80" s="1214"/>
      <c r="H80" s="1256"/>
      <c r="I80" s="1218"/>
      <c r="J80" s="359">
        <f t="shared" ref="J80:S80" si="39">ROUNDDOWN(J79*0.3025,2)</f>
        <v>40718.199999999997</v>
      </c>
      <c r="K80" s="359">
        <f t="shared" si="39"/>
        <v>3723.35</v>
      </c>
      <c r="L80" s="359">
        <f t="shared" si="39"/>
        <v>9923.2199999999993</v>
      </c>
      <c r="M80" s="359">
        <f t="shared" si="39"/>
        <v>13646.58</v>
      </c>
      <c r="N80" s="359">
        <f t="shared" si="39"/>
        <v>54364.78</v>
      </c>
      <c r="O80" s="359">
        <f t="shared" si="39"/>
        <v>121</v>
      </c>
      <c r="P80" s="359">
        <f t="shared" si="39"/>
        <v>3968.8</v>
      </c>
      <c r="Q80" s="359">
        <f t="shared" si="39"/>
        <v>46645.5</v>
      </c>
      <c r="R80" s="359">
        <f t="shared" si="39"/>
        <v>50735.3</v>
      </c>
      <c r="S80" s="359">
        <f t="shared" si="39"/>
        <v>105100.08</v>
      </c>
      <c r="T80" s="360"/>
      <c r="V80" s="1256"/>
      <c r="W80" s="1261"/>
      <c r="X80" s="1259"/>
      <c r="Y80" s="1256"/>
    </row>
    <row r="81" spans="4:47" ht="6" customHeight="1">
      <c r="F81" s="77"/>
      <c r="G81" s="1046"/>
      <c r="H81" s="1047"/>
      <c r="I81" s="1047"/>
      <c r="J81" s="1047"/>
      <c r="K81" s="1047"/>
      <c r="L81" s="1047"/>
      <c r="M81" s="1047"/>
      <c r="N81" s="1047"/>
      <c r="O81" s="1047"/>
      <c r="P81" s="1047"/>
      <c r="Q81" s="1047"/>
      <c r="R81" s="1047"/>
      <c r="S81" s="1047"/>
      <c r="T81" s="1048"/>
    </row>
    <row r="82" spans="4:47" ht="18" customHeight="1">
      <c r="D82" s="321"/>
      <c r="E82" s="830">
        <f>G59</f>
        <v>24</v>
      </c>
      <c r="F82" s="756">
        <f>H39+H47+H59</f>
        <v>250</v>
      </c>
      <c r="G82" s="951" t="s">
        <v>87</v>
      </c>
      <c r="H82" s="951"/>
      <c r="I82" s="951"/>
      <c r="J82" s="951"/>
      <c r="K82" s="951"/>
      <c r="L82" s="951"/>
      <c r="M82" s="951"/>
      <c r="N82" s="951"/>
      <c r="O82" s="951"/>
      <c r="P82" s="951"/>
      <c r="Q82" s="951"/>
      <c r="R82" s="951"/>
      <c r="S82" s="951"/>
      <c r="T82" s="952"/>
    </row>
    <row r="83" spans="4:47" s="6" customFormat="1" ht="14.1" customHeight="1">
      <c r="E83" s="830">
        <f>G61</f>
        <v>30</v>
      </c>
      <c r="F83" s="831">
        <f>H61</f>
        <v>240</v>
      </c>
      <c r="G83" s="984" t="s">
        <v>16</v>
      </c>
      <c r="H83" s="985"/>
      <c r="I83" s="986" t="s">
        <v>7</v>
      </c>
      <c r="J83" s="987"/>
      <c r="K83" s="986" t="s">
        <v>83</v>
      </c>
      <c r="L83" s="987"/>
      <c r="M83" s="986" t="s">
        <v>22</v>
      </c>
      <c r="N83" s="987"/>
      <c r="O83" s="85" t="s">
        <v>218</v>
      </c>
      <c r="P83" s="85" t="s">
        <v>32</v>
      </c>
      <c r="Q83" s="1044" t="s">
        <v>73</v>
      </c>
      <c r="R83" s="1045"/>
      <c r="S83" s="1051" t="s">
        <v>74</v>
      </c>
      <c r="T83" s="1052"/>
    </row>
    <row r="84" spans="4:47" s="6" customFormat="1" ht="14.1" hidden="1" customHeight="1">
      <c r="E84" s="830">
        <f t="shared" ref="E84:E89" si="40">G61</f>
        <v>30</v>
      </c>
      <c r="F84" s="79"/>
      <c r="G84" s="1032" t="s">
        <v>50</v>
      </c>
      <c r="H84" s="1033"/>
      <c r="I84" s="1049">
        <f>M84*0.7</f>
        <v>0</v>
      </c>
      <c r="J84" s="1050"/>
      <c r="K84" s="1049">
        <f>M84*0.3</f>
        <v>0</v>
      </c>
      <c r="L84" s="1050"/>
      <c r="M84" s="1049">
        <v>0</v>
      </c>
      <c r="N84" s="1050"/>
      <c r="O84" s="58">
        <f>M84*0.15</f>
        <v>0</v>
      </c>
      <c r="P84" s="59" t="e">
        <f>#REF!*42</f>
        <v>#REF!</v>
      </c>
      <c r="Q84" s="988" t="e">
        <f>SUM(M84:P84)</f>
        <v>#REF!</v>
      </c>
      <c r="R84" s="989"/>
      <c r="S84" s="990"/>
      <c r="T84" s="991"/>
    </row>
    <row r="85" spans="4:47" s="6" customFormat="1" ht="14.1" hidden="1" customHeight="1">
      <c r="E85" s="830">
        <f t="shared" si="40"/>
        <v>74</v>
      </c>
      <c r="F85" s="79"/>
      <c r="G85" s="1034"/>
      <c r="H85" s="1035"/>
      <c r="I85" s="992">
        <f t="shared" ref="I85:I87" si="41">I84*0.3025</f>
        <v>0</v>
      </c>
      <c r="J85" s="993"/>
      <c r="K85" s="992">
        <f>K84*0.3025</f>
        <v>0</v>
      </c>
      <c r="L85" s="993"/>
      <c r="M85" s="1038">
        <f>M84*0.3025</f>
        <v>0</v>
      </c>
      <c r="N85" s="1039"/>
      <c r="O85" s="9">
        <f t="shared" ref="O85:O91" si="42">O84*0.3025</f>
        <v>0</v>
      </c>
      <c r="P85" s="60" t="e">
        <f>P84*0.3025</f>
        <v>#REF!</v>
      </c>
      <c r="Q85" s="1040" t="e">
        <f>Q84*0.3025</f>
        <v>#REF!</v>
      </c>
      <c r="R85" s="1041"/>
      <c r="S85" s="1042"/>
      <c r="T85" s="1043"/>
    </row>
    <row r="86" spans="4:47" s="6" customFormat="1" ht="14.1" customHeight="1">
      <c r="E86" s="830">
        <f>G63</f>
        <v>34</v>
      </c>
      <c r="F86" s="831">
        <f>H41+H51+H63</f>
        <v>560</v>
      </c>
      <c r="G86" s="996" t="s">
        <v>38</v>
      </c>
      <c r="H86" s="1001" t="s">
        <v>45</v>
      </c>
      <c r="I86" s="1057">
        <f>M86*0.7</f>
        <v>1260</v>
      </c>
      <c r="J86" s="1000"/>
      <c r="K86" s="999">
        <f>M86*0.3</f>
        <v>540</v>
      </c>
      <c r="L86" s="1000"/>
      <c r="M86" s="1058">
        <v>1800</v>
      </c>
      <c r="N86" s="1059"/>
      <c r="O86" s="91">
        <f>$O$90*I86/$I$90</f>
        <v>300</v>
      </c>
      <c r="P86" s="91">
        <f>$P$90*I86/$I$90</f>
        <v>760</v>
      </c>
      <c r="Q86" s="1017">
        <f>SUM(M86:P86)</f>
        <v>2860</v>
      </c>
      <c r="R86" s="1018"/>
      <c r="S86" s="1019"/>
      <c r="T86" s="1020"/>
      <c r="U86" s="7"/>
      <c r="V86" s="7">
        <f>I86/I90*Q90</f>
        <v>2860</v>
      </c>
      <c r="W86" s="7"/>
      <c r="X86" s="7"/>
      <c r="Y86" s="7"/>
      <c r="Z86" s="7"/>
      <c r="AA86" s="7"/>
      <c r="AB86" s="8"/>
    </row>
    <row r="87" spans="4:47" s="6" customFormat="1" ht="14.1" customHeight="1">
      <c r="E87" s="830">
        <f>G65</f>
        <v>40</v>
      </c>
      <c r="F87" s="831">
        <f>H65</f>
        <v>255</v>
      </c>
      <c r="G87" s="998"/>
      <c r="H87" s="1078"/>
      <c r="I87" s="1062">
        <f t="shared" si="41"/>
        <v>381.15</v>
      </c>
      <c r="J87" s="1063"/>
      <c r="K87" s="1064">
        <f>K86*0.3025</f>
        <v>163.35</v>
      </c>
      <c r="L87" s="1063"/>
      <c r="M87" s="1065">
        <f>M86*0.3025</f>
        <v>544.5</v>
      </c>
      <c r="N87" s="1066"/>
      <c r="O87" s="98">
        <f>O86*0.3025</f>
        <v>90.75</v>
      </c>
      <c r="P87" s="98">
        <f>P86*0.3025</f>
        <v>229.9</v>
      </c>
      <c r="Q87" s="1065">
        <f>Q86*0.3025</f>
        <v>865.15</v>
      </c>
      <c r="R87" s="1066"/>
      <c r="S87" s="1067"/>
      <c r="T87" s="1068"/>
      <c r="U87" s="7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4:47" s="6" customFormat="1" ht="14.1" hidden="1" customHeight="1">
      <c r="E88" s="830">
        <f t="shared" si="40"/>
        <v>40</v>
      </c>
      <c r="F88" s="79"/>
      <c r="G88" s="997" t="s">
        <v>457</v>
      </c>
      <c r="H88" s="1077" t="s">
        <v>45</v>
      </c>
      <c r="I88" s="1057">
        <f>M88*0.7</f>
        <v>0</v>
      </c>
      <c r="J88" s="1000"/>
      <c r="K88" s="999">
        <f>M88*0.3</f>
        <v>0</v>
      </c>
      <c r="L88" s="1000"/>
      <c r="M88" s="1058">
        <v>0</v>
      </c>
      <c r="N88" s="1059"/>
      <c r="O88" s="97">
        <f>$O$90*I88/$I$90</f>
        <v>0</v>
      </c>
      <c r="P88" s="97">
        <f>$P$90*I88/$I$90</f>
        <v>0</v>
      </c>
      <c r="Q88" s="1058">
        <f>SUM(M88:P88)</f>
        <v>0</v>
      </c>
      <c r="R88" s="1059"/>
      <c r="S88" s="1060"/>
      <c r="T88" s="1061"/>
      <c r="U88"/>
      <c r="V88" s="7">
        <f>I88/I90*Q90</f>
        <v>0</v>
      </c>
      <c r="W88" s="7"/>
      <c r="X88" s="7"/>
      <c r="Y88" s="7"/>
      <c r="Z88" s="7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4:47" ht="14.1" hidden="1" customHeight="1">
      <c r="E89" s="830">
        <f t="shared" si="40"/>
        <v>99</v>
      </c>
      <c r="F89" s="77"/>
      <c r="G89" s="998"/>
      <c r="H89" s="1078"/>
      <c r="I89" s="1062">
        <f t="shared" ref="I89" si="43">I88*0.3025</f>
        <v>0</v>
      </c>
      <c r="J89" s="1063"/>
      <c r="K89" s="1064">
        <f>K88*0.3025</f>
        <v>0</v>
      </c>
      <c r="L89" s="1063"/>
      <c r="M89" s="1065">
        <f>M88*0.3025</f>
        <v>0</v>
      </c>
      <c r="N89" s="1066"/>
      <c r="O89" s="94">
        <f>O88*0.3025</f>
        <v>0</v>
      </c>
      <c r="P89" s="98">
        <f>P88*0.3025</f>
        <v>0</v>
      </c>
      <c r="Q89" s="1065">
        <f>Q88*0.3025</f>
        <v>0</v>
      </c>
      <c r="R89" s="1066"/>
      <c r="S89" s="1067"/>
      <c r="T89" s="1068"/>
      <c r="U89"/>
      <c r="AU89" s="6"/>
    </row>
    <row r="90" spans="4:47" ht="14.1" customHeight="1">
      <c r="E90" s="830">
        <f>G67</f>
        <v>45</v>
      </c>
      <c r="F90" s="756">
        <f>H67</f>
        <v>186</v>
      </c>
      <c r="G90" s="1225" t="s">
        <v>69</v>
      </c>
      <c r="H90" s="1226"/>
      <c r="I90" s="1229">
        <f>M90*0.7</f>
        <v>1260</v>
      </c>
      <c r="J90" s="1230"/>
      <c r="K90" s="1231">
        <f>M90*0.3</f>
        <v>540</v>
      </c>
      <c r="L90" s="1230"/>
      <c r="M90" s="1231">
        <f>M86+M88</f>
        <v>1800</v>
      </c>
      <c r="N90" s="1230"/>
      <c r="O90" s="293">
        <v>300</v>
      </c>
      <c r="P90" s="293">
        <f>R25*V18</f>
        <v>760</v>
      </c>
      <c r="Q90" s="1232">
        <f>SUM(M90:P90)</f>
        <v>2860</v>
      </c>
      <c r="R90" s="1233"/>
      <c r="S90" s="1234"/>
      <c r="T90" s="1235"/>
      <c r="U90" s="6"/>
      <c r="AU90" s="6"/>
    </row>
    <row r="91" spans="4:47" ht="14.1" customHeight="1">
      <c r="E91" s="830">
        <f>G69</f>
        <v>52</v>
      </c>
      <c r="F91" s="756">
        <f>H69</f>
        <v>46</v>
      </c>
      <c r="G91" s="1227"/>
      <c r="H91" s="1228"/>
      <c r="I91" s="1236">
        <f t="shared" ref="I91" si="44">I90*0.3025</f>
        <v>381.15</v>
      </c>
      <c r="J91" s="1237"/>
      <c r="K91" s="1238">
        <f>K90*0.3025</f>
        <v>163.35</v>
      </c>
      <c r="L91" s="1237"/>
      <c r="M91" s="1221">
        <f>M90*0.3025</f>
        <v>544.5</v>
      </c>
      <c r="N91" s="1222"/>
      <c r="O91" s="294">
        <f t="shared" si="42"/>
        <v>90.75</v>
      </c>
      <c r="P91" s="295">
        <f>P90*0.3025</f>
        <v>229.9</v>
      </c>
      <c r="Q91" s="1221">
        <f>Q90*0.3025</f>
        <v>865.15</v>
      </c>
      <c r="R91" s="1222"/>
      <c r="S91" s="1223"/>
      <c r="T91" s="1224"/>
      <c r="U91" s="7"/>
      <c r="AU91" s="6"/>
    </row>
    <row r="92" spans="4:47" ht="14.1" customHeight="1">
      <c r="E92" s="830">
        <f>G73</f>
        <v>62</v>
      </c>
      <c r="F92" s="11">
        <f>H73</f>
        <v>0</v>
      </c>
      <c r="Q92" s="5"/>
      <c r="R92" s="5"/>
      <c r="S92" s="5"/>
      <c r="T92" s="6"/>
      <c r="U92" s="6"/>
      <c r="AU92" s="6"/>
    </row>
    <row r="93" spans="4:47" ht="14.1" customHeight="1">
      <c r="E93" s="830">
        <f>G75</f>
        <v>66</v>
      </c>
      <c r="F93" s="11">
        <f>H75</f>
        <v>5</v>
      </c>
      <c r="J93" s="2">
        <f>H57*J57+J59*H59+H61*J61+J63*H63+H67*J67</f>
        <v>88614.78</v>
      </c>
      <c r="K93" s="2">
        <f>H57*K57+K59*H59+H61*K61+K63*H63+H67*K67</f>
        <v>8165.8999999999987</v>
      </c>
      <c r="P93" s="379">
        <f>P86+P88</f>
        <v>760</v>
      </c>
      <c r="T93" s="6"/>
      <c r="U93" s="6"/>
      <c r="AU93" s="6"/>
    </row>
    <row r="94" spans="4:47" ht="14.1" customHeight="1">
      <c r="E94" s="830"/>
      <c r="T94" s="6"/>
      <c r="U94" s="6"/>
      <c r="AU94" s="6"/>
    </row>
    <row r="95" spans="4:47" ht="14.1" customHeight="1">
      <c r="E95" s="830"/>
      <c r="T95" s="6"/>
      <c r="U95" s="6"/>
      <c r="AU95" s="6"/>
    </row>
    <row r="96" spans="4:47" ht="14.1" customHeight="1">
      <c r="E96" s="830"/>
      <c r="H96" s="11">
        <f>H39+H59</f>
        <v>84</v>
      </c>
      <c r="I96" s="145">
        <f>I39+I59</f>
        <v>5.4474708171206226E-2</v>
      </c>
      <c r="M96" s="144">
        <f t="shared" ref="M96:S96" si="45">M53+M77</f>
        <v>45112.67</v>
      </c>
      <c r="N96" s="144">
        <f t="shared" si="45"/>
        <v>179718.3</v>
      </c>
      <c r="O96" s="144">
        <f t="shared" si="45"/>
        <v>400</v>
      </c>
      <c r="P96" s="144">
        <f t="shared" si="45"/>
        <v>13119.999999999998</v>
      </c>
      <c r="Q96" s="144">
        <f t="shared" si="45"/>
        <v>154200</v>
      </c>
      <c r="R96" s="144">
        <f t="shared" si="45"/>
        <v>167720</v>
      </c>
      <c r="S96" s="144">
        <f t="shared" si="45"/>
        <v>347438.30000000005</v>
      </c>
      <c r="T96" s="6"/>
      <c r="U96" s="6"/>
      <c r="AU96" s="6"/>
    </row>
    <row r="97" spans="7:47" ht="14.1" customHeight="1">
      <c r="H97" s="11">
        <f>H59+H61+H65</f>
        <v>552</v>
      </c>
      <c r="AU97" s="6"/>
    </row>
    <row r="98" spans="7:47" ht="14.1" customHeight="1">
      <c r="AU98" s="6"/>
    </row>
    <row r="99" spans="7:47" ht="14.1" customHeight="1">
      <c r="AU99" s="6"/>
    </row>
    <row r="100" spans="7:47" ht="14.1" customHeight="1">
      <c r="AU100" s="6"/>
    </row>
    <row r="101" spans="7:47" ht="14.1" customHeight="1">
      <c r="AU101" s="6"/>
    </row>
    <row r="102" spans="7:47" ht="14.1" customHeight="1" thickBot="1">
      <c r="G102" s="1"/>
      <c r="K102" s="3"/>
      <c r="M102" s="1007" t="s">
        <v>89</v>
      </c>
      <c r="N102" s="1007"/>
      <c r="O102" s="1007"/>
      <c r="P102" s="112"/>
      <c r="Q102" s="113"/>
      <c r="R102" s="112"/>
      <c r="S102" s="6"/>
      <c r="AU102" s="6"/>
    </row>
    <row r="103" spans="7:47" ht="14.1" customHeight="1">
      <c r="G103" s="34"/>
      <c r="H103" s="35"/>
      <c r="I103" s="36"/>
      <c r="J103" s="36"/>
      <c r="K103" s="37"/>
      <c r="M103" s="114"/>
      <c r="N103" s="115">
        <v>0</v>
      </c>
      <c r="O103" s="116">
        <v>300</v>
      </c>
      <c r="P103" s="117">
        <v>500</v>
      </c>
      <c r="Q103" s="118">
        <v>1000</v>
      </c>
      <c r="R103" s="117">
        <v>2000</v>
      </c>
      <c r="S103" s="6"/>
      <c r="AU103" s="6"/>
    </row>
    <row r="104" spans="7:47" ht="14.1" customHeight="1">
      <c r="G104" s="38"/>
      <c r="H104" s="39"/>
      <c r="I104" s="40"/>
      <c r="J104" s="40"/>
      <c r="K104" s="41"/>
      <c r="M104" s="119"/>
      <c r="N104" s="120" t="s">
        <v>90</v>
      </c>
      <c r="O104" s="120" t="s">
        <v>91</v>
      </c>
      <c r="P104" s="120" t="s">
        <v>92</v>
      </c>
      <c r="Q104" s="120" t="s">
        <v>93</v>
      </c>
      <c r="R104" s="120" t="s">
        <v>94</v>
      </c>
      <c r="S104" s="6"/>
      <c r="AU104" s="6"/>
    </row>
    <row r="105" spans="7:47" ht="14.1" customHeight="1">
      <c r="G105" s="980"/>
      <c r="H105" s="106"/>
      <c r="I105" s="106"/>
      <c r="J105" s="106"/>
      <c r="K105" s="42"/>
      <c r="M105" s="119" t="s">
        <v>4</v>
      </c>
      <c r="N105" s="121">
        <v>6</v>
      </c>
      <c r="O105" s="121">
        <v>8</v>
      </c>
      <c r="P105" s="121">
        <v>12</v>
      </c>
      <c r="Q105" s="122">
        <v>15</v>
      </c>
      <c r="R105" s="121">
        <v>20</v>
      </c>
      <c r="S105" s="6"/>
      <c r="AU105" s="6"/>
    </row>
    <row r="106" spans="7:47" ht="14.1" customHeight="1">
      <c r="G106" s="981"/>
      <c r="H106" s="107"/>
      <c r="I106" s="107"/>
      <c r="J106" s="108"/>
      <c r="K106" s="43"/>
      <c r="M106" s="114"/>
      <c r="N106" s="112"/>
      <c r="O106" s="112"/>
      <c r="P106" s="112"/>
      <c r="Q106" s="113"/>
      <c r="R106" s="112"/>
      <c r="S106" s="6"/>
      <c r="AU106" s="6"/>
    </row>
    <row r="107" spans="7:47" ht="14.1" customHeight="1">
      <c r="G107" s="994"/>
      <c r="H107" s="106"/>
      <c r="I107" s="106"/>
      <c r="J107" s="106"/>
      <c r="K107" s="42"/>
      <c r="M107" s="114"/>
      <c r="N107" s="112"/>
      <c r="O107" s="112"/>
      <c r="P107" s="112"/>
      <c r="Q107" s="113"/>
      <c r="R107" s="112"/>
      <c r="S107" s="6"/>
      <c r="AU107" s="6"/>
    </row>
    <row r="108" spans="7:47" ht="14.1" customHeight="1">
      <c r="G108" s="995"/>
      <c r="H108" s="107"/>
      <c r="I108" s="107"/>
      <c r="J108" s="108"/>
      <c r="K108" s="43"/>
      <c r="M108" s="1007" t="s">
        <v>95</v>
      </c>
      <c r="N108" s="1007"/>
      <c r="O108" s="1007"/>
      <c r="P108" s="112"/>
      <c r="Q108" s="113"/>
      <c r="R108" s="112"/>
      <c r="S108" s="6"/>
      <c r="AU108" s="6"/>
    </row>
    <row r="109" spans="7:47" ht="20.25" customHeight="1">
      <c r="G109" s="994"/>
      <c r="H109" s="106"/>
      <c r="I109" s="106"/>
      <c r="J109" s="106"/>
      <c r="K109" s="42"/>
      <c r="M109" s="123"/>
      <c r="N109" s="123">
        <v>0</v>
      </c>
      <c r="O109" s="142">
        <v>150</v>
      </c>
      <c r="P109" s="142">
        <v>300</v>
      </c>
      <c r="Q109" s="142">
        <v>500</v>
      </c>
      <c r="R109" s="142">
        <v>1000</v>
      </c>
      <c r="S109" s="142">
        <v>1500</v>
      </c>
      <c r="AU109" s="6"/>
    </row>
    <row r="110" spans="7:47" ht="20.25" customHeight="1">
      <c r="G110" s="981"/>
      <c r="H110" s="107"/>
      <c r="I110" s="107"/>
      <c r="J110" s="108"/>
      <c r="K110" s="43"/>
      <c r="M110" s="125"/>
      <c r="N110" s="125" t="s">
        <v>96</v>
      </c>
      <c r="O110" s="125" t="s">
        <v>97</v>
      </c>
      <c r="P110" s="125" t="s">
        <v>91</v>
      </c>
      <c r="Q110" s="125" t="s">
        <v>92</v>
      </c>
      <c r="R110" s="125" t="s">
        <v>98</v>
      </c>
      <c r="S110" s="125" t="s">
        <v>99</v>
      </c>
    </row>
    <row r="111" spans="7:47" ht="14.1" customHeight="1">
      <c r="G111" s="980"/>
      <c r="H111" s="106"/>
      <c r="I111" s="106"/>
      <c r="J111" s="106"/>
      <c r="M111" s="126" t="s">
        <v>100</v>
      </c>
      <c r="N111" s="124">
        <v>0</v>
      </c>
      <c r="O111" s="127">
        <f>50+(H79*0.1)</f>
        <v>204.20000000000002</v>
      </c>
      <c r="P111" s="127">
        <v>155</v>
      </c>
      <c r="Q111" s="127">
        <v>225</v>
      </c>
      <c r="R111" s="127">
        <v>375</v>
      </c>
      <c r="S111" s="128">
        <v>500</v>
      </c>
    </row>
    <row r="112" spans="7:47" ht="14.1" customHeight="1">
      <c r="G112" s="981"/>
      <c r="H112" s="108"/>
      <c r="I112" s="107"/>
      <c r="J112" s="108"/>
      <c r="M112" s="126" t="s">
        <v>24</v>
      </c>
      <c r="N112" s="124">
        <v>0</v>
      </c>
      <c r="O112" s="123">
        <v>0</v>
      </c>
      <c r="P112" s="127">
        <v>198</v>
      </c>
      <c r="Q112" s="127">
        <v>330</v>
      </c>
      <c r="R112" s="127">
        <v>580</v>
      </c>
      <c r="S112" s="127">
        <v>725</v>
      </c>
    </row>
    <row r="113" spans="7:19" ht="14.1" customHeight="1">
      <c r="G113" s="980"/>
      <c r="H113" s="106"/>
      <c r="I113" s="106"/>
      <c r="J113" s="106"/>
      <c r="K113" s="42"/>
      <c r="M113" s="126" t="s">
        <v>35</v>
      </c>
      <c r="N113" s="124">
        <v>0</v>
      </c>
      <c r="O113" s="123">
        <v>0</v>
      </c>
      <c r="P113" s="129">
        <v>108</v>
      </c>
      <c r="Q113" s="129">
        <v>158</v>
      </c>
      <c r="R113" s="129">
        <v>203</v>
      </c>
      <c r="S113" s="129">
        <v>298</v>
      </c>
    </row>
    <row r="114" spans="7:19" ht="14.1" customHeight="1">
      <c r="G114" s="981"/>
      <c r="H114" s="107"/>
      <c r="I114" s="107"/>
      <c r="J114" s="108"/>
      <c r="K114" s="43"/>
      <c r="S114" s="6"/>
    </row>
    <row r="115" spans="7:19" ht="14.1" customHeight="1">
      <c r="G115" s="81"/>
      <c r="H115" s="106"/>
      <c r="I115" s="106"/>
      <c r="J115" s="106"/>
      <c r="K115" s="42"/>
      <c r="M115" s="1007" t="s">
        <v>101</v>
      </c>
      <c r="N115" s="1007"/>
      <c r="O115" s="1007"/>
      <c r="S115" s="6"/>
    </row>
    <row r="116" spans="7:19" ht="14.1" customHeight="1" thickBot="1">
      <c r="G116" s="44"/>
      <c r="H116" s="109"/>
      <c r="I116" s="109"/>
      <c r="J116" s="110"/>
      <c r="K116" s="45"/>
      <c r="N116" s="130">
        <v>0</v>
      </c>
      <c r="O116" s="130">
        <v>500</v>
      </c>
      <c r="P116" s="130">
        <v>1000</v>
      </c>
      <c r="Q116" s="130">
        <v>1500</v>
      </c>
      <c r="R116" s="6"/>
      <c r="S116" s="6"/>
    </row>
    <row r="117" spans="7:19" ht="14.1" customHeight="1">
      <c r="M117" s="131"/>
      <c r="N117" s="132" t="s">
        <v>102</v>
      </c>
      <c r="O117" s="132" t="s">
        <v>103</v>
      </c>
      <c r="P117" s="132" t="s">
        <v>104</v>
      </c>
      <c r="Q117" s="125" t="s">
        <v>99</v>
      </c>
      <c r="R117" s="6"/>
      <c r="S117" s="6"/>
    </row>
    <row r="118" spans="7:19" ht="14.1" customHeight="1">
      <c r="M118" s="133" t="s">
        <v>105</v>
      </c>
      <c r="N118" s="134">
        <v>90</v>
      </c>
      <c r="O118" s="134">
        <v>90</v>
      </c>
      <c r="P118" s="134">
        <v>108</v>
      </c>
      <c r="Q118" s="135">
        <v>138</v>
      </c>
      <c r="R118" s="6"/>
      <c r="S118" s="6"/>
    </row>
    <row r="119" spans="7:19" ht="14.1" customHeight="1">
      <c r="M119" s="133" t="s">
        <v>106</v>
      </c>
      <c r="N119" s="134">
        <v>188</v>
      </c>
      <c r="O119" s="134">
        <v>188</v>
      </c>
      <c r="P119" s="134">
        <v>324</v>
      </c>
      <c r="Q119" s="135">
        <v>454</v>
      </c>
    </row>
    <row r="120" spans="7:19" ht="14.1" customHeight="1">
      <c r="M120" s="136" t="s">
        <v>107</v>
      </c>
      <c r="N120" s="135">
        <v>146</v>
      </c>
      <c r="O120" s="134">
        <v>158</v>
      </c>
      <c r="P120" s="135">
        <v>184</v>
      </c>
      <c r="Q120" s="135">
        <v>210</v>
      </c>
    </row>
    <row r="121" spans="7:19" ht="14.1" customHeight="1">
      <c r="M121" s="133" t="s">
        <v>108</v>
      </c>
      <c r="N121" s="135">
        <v>60</v>
      </c>
      <c r="O121" s="134">
        <v>80</v>
      </c>
      <c r="P121" s="135">
        <v>100</v>
      </c>
      <c r="Q121" s="135">
        <v>150</v>
      </c>
    </row>
    <row r="122" spans="7:19" ht="14.1" customHeight="1">
      <c r="M122" s="137" t="s">
        <v>1</v>
      </c>
      <c r="N122" s="135">
        <f>SUM(N118:N121)</f>
        <v>484</v>
      </c>
      <c r="O122" s="135">
        <f t="shared" ref="O122:Q122" si="46">SUM(O118:O121)</f>
        <v>516</v>
      </c>
      <c r="P122" s="135">
        <f t="shared" si="46"/>
        <v>716</v>
      </c>
      <c r="Q122" s="135">
        <f t="shared" si="46"/>
        <v>952</v>
      </c>
    </row>
    <row r="123" spans="7:19" ht="14.1" customHeight="1">
      <c r="M123" s="1007" t="s">
        <v>109</v>
      </c>
      <c r="N123" s="1007"/>
      <c r="O123" s="1007"/>
    </row>
    <row r="124" spans="7:19" ht="14.1" customHeight="1">
      <c r="N124" s="130">
        <v>0</v>
      </c>
      <c r="O124" s="130">
        <v>500</v>
      </c>
      <c r="P124" s="130">
        <v>1000</v>
      </c>
      <c r="Q124" s="130">
        <v>1500</v>
      </c>
    </row>
    <row r="125" spans="7:19" ht="14.1" customHeight="1">
      <c r="M125" s="131"/>
      <c r="N125" s="132" t="s">
        <v>102</v>
      </c>
      <c r="O125" s="132" t="s">
        <v>103</v>
      </c>
      <c r="P125" s="132" t="s">
        <v>104</v>
      </c>
      <c r="Q125" s="125" t="s">
        <v>99</v>
      </c>
    </row>
    <row r="126" spans="7:19" ht="14.1" customHeight="1">
      <c r="M126" s="133" t="s">
        <v>114</v>
      </c>
      <c r="N126" s="138">
        <v>36</v>
      </c>
      <c r="O126" s="138">
        <v>48</v>
      </c>
      <c r="P126" s="138">
        <v>56</v>
      </c>
      <c r="Q126" s="139">
        <v>63</v>
      </c>
    </row>
    <row r="127" spans="7:19" ht="14.1" customHeight="1">
      <c r="M127" s="133" t="s">
        <v>115</v>
      </c>
      <c r="N127" s="138">
        <v>12</v>
      </c>
      <c r="O127" s="138">
        <v>18</v>
      </c>
      <c r="P127" s="138">
        <v>22</v>
      </c>
      <c r="Q127" s="139">
        <v>34</v>
      </c>
    </row>
    <row r="128" spans="7:19" ht="14.1" customHeight="1">
      <c r="M128" s="137" t="s">
        <v>1</v>
      </c>
      <c r="N128" s="140">
        <f>SUM(N126:N127)</f>
        <v>48</v>
      </c>
      <c r="O128" s="141">
        <f>SUM(O126:O127)</f>
        <v>66</v>
      </c>
      <c r="P128" s="140">
        <f>SUM(P126:P127)</f>
        <v>78</v>
      </c>
      <c r="Q128" s="140">
        <f>SUM(Q126:Q127)</f>
        <v>97</v>
      </c>
    </row>
  </sheetData>
  <mergeCells count="295">
    <mergeCell ref="Y77:Y78"/>
    <mergeCell ref="Y53:Y54"/>
    <mergeCell ref="Y79:Y80"/>
    <mergeCell ref="V75:V76"/>
    <mergeCell ref="V77:V78"/>
    <mergeCell ref="V79:V80"/>
    <mergeCell ref="W79:W80"/>
    <mergeCell ref="V59:V60"/>
    <mergeCell ref="V61:V62"/>
    <mergeCell ref="V63:V64"/>
    <mergeCell ref="V65:V66"/>
    <mergeCell ref="V67:V68"/>
    <mergeCell ref="V69:V70"/>
    <mergeCell ref="V71:V72"/>
    <mergeCell ref="W71:W72"/>
    <mergeCell ref="V73:V74"/>
    <mergeCell ref="W73:W74"/>
    <mergeCell ref="X65:X66"/>
    <mergeCell ref="X67:X68"/>
    <mergeCell ref="X69:X70"/>
    <mergeCell ref="X71:X72"/>
    <mergeCell ref="X73:X74"/>
    <mergeCell ref="X75:X76"/>
    <mergeCell ref="X77:X78"/>
    <mergeCell ref="W35:W36"/>
    <mergeCell ref="V47:V48"/>
    <mergeCell ref="V49:V50"/>
    <mergeCell ref="W49:W50"/>
    <mergeCell ref="V51:V52"/>
    <mergeCell ref="V53:V54"/>
    <mergeCell ref="V55:V56"/>
    <mergeCell ref="W55:W56"/>
    <mergeCell ref="V57:V58"/>
    <mergeCell ref="V37:V38"/>
    <mergeCell ref="AH19:AI19"/>
    <mergeCell ref="G90:H91"/>
    <mergeCell ref="I90:J90"/>
    <mergeCell ref="K90:L90"/>
    <mergeCell ref="M90:N90"/>
    <mergeCell ref="Q90:R90"/>
    <mergeCell ref="S90:T90"/>
    <mergeCell ref="M115:O115"/>
    <mergeCell ref="M123:O123"/>
    <mergeCell ref="G105:G106"/>
    <mergeCell ref="G107:G108"/>
    <mergeCell ref="M108:O108"/>
    <mergeCell ref="G109:G110"/>
    <mergeCell ref="G111:G112"/>
    <mergeCell ref="G113:G114"/>
    <mergeCell ref="I91:J91"/>
    <mergeCell ref="K91:L91"/>
    <mergeCell ref="M91:N91"/>
    <mergeCell ref="I88:J88"/>
    <mergeCell ref="K88:L88"/>
    <mergeCell ref="M88:N88"/>
    <mergeCell ref="Q88:R88"/>
    <mergeCell ref="S88:T88"/>
    <mergeCell ref="I89:J89"/>
    <mergeCell ref="Q91:R91"/>
    <mergeCell ref="S91:T91"/>
    <mergeCell ref="M102:O102"/>
    <mergeCell ref="K89:L89"/>
    <mergeCell ref="M89:N89"/>
    <mergeCell ref="Q89:R89"/>
    <mergeCell ref="S89:T89"/>
    <mergeCell ref="S85:T85"/>
    <mergeCell ref="H86:H87"/>
    <mergeCell ref="I86:J86"/>
    <mergeCell ref="K86:L86"/>
    <mergeCell ref="M86:N86"/>
    <mergeCell ref="Q86:R86"/>
    <mergeCell ref="S86:T86"/>
    <mergeCell ref="I87:J87"/>
    <mergeCell ref="K87:L87"/>
    <mergeCell ref="G84:H85"/>
    <mergeCell ref="I84:J84"/>
    <mergeCell ref="K84:L84"/>
    <mergeCell ref="M84:N84"/>
    <mergeCell ref="Q84:R84"/>
    <mergeCell ref="S84:T84"/>
    <mergeCell ref="I85:J85"/>
    <mergeCell ref="K85:L85"/>
    <mergeCell ref="M85:N85"/>
    <mergeCell ref="Q85:R85"/>
    <mergeCell ref="M87:N87"/>
    <mergeCell ref="Q87:R87"/>
    <mergeCell ref="S87:T87"/>
    <mergeCell ref="H88:H89"/>
    <mergeCell ref="G81:T81"/>
    <mergeCell ref="G82:T82"/>
    <mergeCell ref="G83:H83"/>
    <mergeCell ref="I83:J83"/>
    <mergeCell ref="K83:L83"/>
    <mergeCell ref="M83:N83"/>
    <mergeCell ref="Q83:R83"/>
    <mergeCell ref="S83:T83"/>
    <mergeCell ref="G86:G87"/>
    <mergeCell ref="G88:G89"/>
    <mergeCell ref="D77:D78"/>
    <mergeCell ref="E77:E78"/>
    <mergeCell ref="G77:G78"/>
    <mergeCell ref="H77:H78"/>
    <mergeCell ref="T77:T78"/>
    <mergeCell ref="C79:C80"/>
    <mergeCell ref="D79:D80"/>
    <mergeCell ref="G79:G80"/>
    <mergeCell ref="H79:H80"/>
    <mergeCell ref="I79:I80"/>
    <mergeCell ref="E73:E74"/>
    <mergeCell ref="H73:H74"/>
    <mergeCell ref="C75:C76"/>
    <mergeCell ref="D75:D76"/>
    <mergeCell ref="E75:E76"/>
    <mergeCell ref="F75:F76"/>
    <mergeCell ref="H75:H76"/>
    <mergeCell ref="E67:E68"/>
    <mergeCell ref="H67:H68"/>
    <mergeCell ref="E69:E70"/>
    <mergeCell ref="H69:H70"/>
    <mergeCell ref="C71:C72"/>
    <mergeCell ref="D71:D72"/>
    <mergeCell ref="E71:E72"/>
    <mergeCell ref="F71:F72"/>
    <mergeCell ref="H71:H72"/>
    <mergeCell ref="F67:F68"/>
    <mergeCell ref="F69:F70"/>
    <mergeCell ref="F73:F74"/>
    <mergeCell ref="D61:D62"/>
    <mergeCell ref="E61:E62"/>
    <mergeCell ref="F61:F62"/>
    <mergeCell ref="H61:H62"/>
    <mergeCell ref="C63:C64"/>
    <mergeCell ref="D63:D64"/>
    <mergeCell ref="E63:E64"/>
    <mergeCell ref="F63:F64"/>
    <mergeCell ref="H63:H64"/>
    <mergeCell ref="E57:E58"/>
    <mergeCell ref="F57:F58"/>
    <mergeCell ref="H57:H58"/>
    <mergeCell ref="C59:C60"/>
    <mergeCell ref="D59:D60"/>
    <mergeCell ref="E59:E60"/>
    <mergeCell ref="F59:F60"/>
    <mergeCell ref="H59:H60"/>
    <mergeCell ref="T53:T54"/>
    <mergeCell ref="C55:C56"/>
    <mergeCell ref="D55:D56"/>
    <mergeCell ref="E55:E56"/>
    <mergeCell ref="F55:F56"/>
    <mergeCell ref="H55:H56"/>
    <mergeCell ref="I55:I56"/>
    <mergeCell ref="T55:T76"/>
    <mergeCell ref="C57:C58"/>
    <mergeCell ref="D57:D58"/>
    <mergeCell ref="C65:C66"/>
    <mergeCell ref="D65:D66"/>
    <mergeCell ref="E65:E66"/>
    <mergeCell ref="F65:F66"/>
    <mergeCell ref="H65:H66"/>
    <mergeCell ref="C61:C62"/>
    <mergeCell ref="B47:B48"/>
    <mergeCell ref="C47:C48"/>
    <mergeCell ref="D47:D48"/>
    <mergeCell ref="E47:E48"/>
    <mergeCell ref="H47:H48"/>
    <mergeCell ref="E49:E50"/>
    <mergeCell ref="B53:B54"/>
    <mergeCell ref="C53:C54"/>
    <mergeCell ref="D53:D54"/>
    <mergeCell ref="E53:E54"/>
    <mergeCell ref="G53:G54"/>
    <mergeCell ref="H53:H54"/>
    <mergeCell ref="H49:H50"/>
    <mergeCell ref="B51:B52"/>
    <mergeCell ref="C51:C52"/>
    <mergeCell ref="D51:D52"/>
    <mergeCell ref="E51:E52"/>
    <mergeCell ref="H51:H52"/>
    <mergeCell ref="F41:F42"/>
    <mergeCell ref="H41:H42"/>
    <mergeCell ref="I41:I42"/>
    <mergeCell ref="E43:E44"/>
    <mergeCell ref="H43:H44"/>
    <mergeCell ref="H37:H38"/>
    <mergeCell ref="I37:I38"/>
    <mergeCell ref="T37:T42"/>
    <mergeCell ref="T43:T52"/>
    <mergeCell ref="E45:E46"/>
    <mergeCell ref="H45:H46"/>
    <mergeCell ref="I45:I46"/>
    <mergeCell ref="I49:I50"/>
    <mergeCell ref="B37:B38"/>
    <mergeCell ref="C37:C38"/>
    <mergeCell ref="D37:D38"/>
    <mergeCell ref="E37:E38"/>
    <mergeCell ref="F37:F38"/>
    <mergeCell ref="I39:I40"/>
    <mergeCell ref="V35:V36"/>
    <mergeCell ref="B39:B40"/>
    <mergeCell ref="C39:C40"/>
    <mergeCell ref="D39:D40"/>
    <mergeCell ref="E39:E40"/>
    <mergeCell ref="F39:F40"/>
    <mergeCell ref="H39:H40"/>
    <mergeCell ref="N35:N36"/>
    <mergeCell ref="O35:Q35"/>
    <mergeCell ref="R35:R36"/>
    <mergeCell ref="G34:T34"/>
    <mergeCell ref="B35:B36"/>
    <mergeCell ref="C35:C36"/>
    <mergeCell ref="D35:D36"/>
    <mergeCell ref="E35:E36"/>
    <mergeCell ref="G35:G36"/>
    <mergeCell ref="H35:H36"/>
    <mergeCell ref="I35:I36"/>
    <mergeCell ref="J35:J36"/>
    <mergeCell ref="K35:M35"/>
    <mergeCell ref="S35:S36"/>
    <mergeCell ref="T35:T36"/>
    <mergeCell ref="S19:T24"/>
    <mergeCell ref="N18:T18"/>
    <mergeCell ref="L29:L30"/>
    <mergeCell ref="H30:K30"/>
    <mergeCell ref="S30:S32"/>
    <mergeCell ref="H31:K31"/>
    <mergeCell ref="V31:V32"/>
    <mergeCell ref="H32:J32"/>
    <mergeCell ref="H26:I26"/>
    <mergeCell ref="O26:P26"/>
    <mergeCell ref="H27:J27"/>
    <mergeCell ref="L27:L28"/>
    <mergeCell ref="N27:T27"/>
    <mergeCell ref="H28:K28"/>
    <mergeCell ref="N28:N32"/>
    <mergeCell ref="S28:S29"/>
    <mergeCell ref="T28:T32"/>
    <mergeCell ref="H29:J29"/>
    <mergeCell ref="G8:G15"/>
    <mergeCell ref="H14:I15"/>
    <mergeCell ref="J14:J15"/>
    <mergeCell ref="K14:K15"/>
    <mergeCell ref="L14:L15"/>
    <mergeCell ref="S15:T15"/>
    <mergeCell ref="G16:G25"/>
    <mergeCell ref="H16:I16"/>
    <mergeCell ref="J16:K16"/>
    <mergeCell ref="O16:P16"/>
    <mergeCell ref="S16:T16"/>
    <mergeCell ref="H17:H19"/>
    <mergeCell ref="L17:L19"/>
    <mergeCell ref="O17:P17"/>
    <mergeCell ref="H20:H22"/>
    <mergeCell ref="L20:L22"/>
    <mergeCell ref="O22:O24"/>
    <mergeCell ref="H23:H25"/>
    <mergeCell ref="L23:L25"/>
    <mergeCell ref="S25:T25"/>
    <mergeCell ref="S17:T17"/>
    <mergeCell ref="N19:N26"/>
    <mergeCell ref="O19:O21"/>
    <mergeCell ref="R19:R24"/>
    <mergeCell ref="H7:L7"/>
    <mergeCell ref="S7:T7"/>
    <mergeCell ref="H8:I8"/>
    <mergeCell ref="O8:O14"/>
    <mergeCell ref="S8:T8"/>
    <mergeCell ref="H9:H13"/>
    <mergeCell ref="S9:T9"/>
    <mergeCell ref="S12:T12"/>
    <mergeCell ref="S14:T14"/>
    <mergeCell ref="P8:P10"/>
    <mergeCell ref="AJ3:AL3"/>
    <mergeCell ref="H4:L4"/>
    <mergeCell ref="O4:Q4"/>
    <mergeCell ref="H5:L5"/>
    <mergeCell ref="O5:Q5"/>
    <mergeCell ref="O6:P6"/>
    <mergeCell ref="S6:T6"/>
    <mergeCell ref="G2:L2"/>
    <mergeCell ref="H3:L3"/>
    <mergeCell ref="S3:T3"/>
    <mergeCell ref="AA3:AC3"/>
    <mergeCell ref="AD3:AF3"/>
    <mergeCell ref="AG3:AI3"/>
    <mergeCell ref="AA1:AL2"/>
    <mergeCell ref="X79:X80"/>
    <mergeCell ref="X47:X48"/>
    <mergeCell ref="X49:X50"/>
    <mergeCell ref="X51:X52"/>
    <mergeCell ref="X53:X54"/>
    <mergeCell ref="X55:X56"/>
    <mergeCell ref="X57:X58"/>
    <mergeCell ref="X59:X60"/>
    <mergeCell ref="X61:X62"/>
    <mergeCell ref="X63:X64"/>
  </mergeCells>
  <phoneticPr fontId="2" type="noConversion"/>
  <printOptions horizontalCentered="1"/>
  <pageMargins left="0.25" right="0.25" top="0.75" bottom="0.75" header="0.3" footer="0.3"/>
  <pageSetup paperSize="8" scale="69" fitToWidth="0" orientation="landscape" r:id="rId1"/>
  <headerFooter alignWithMargins="0"/>
  <rowBreaks count="1" manualBreakCount="1">
    <brk id="87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>
      <selection activeCell="B5" sqref="B5"/>
    </sheetView>
  </sheetViews>
  <sheetFormatPr defaultRowHeight="13.5"/>
  <sheetData/>
  <phoneticPr fontId="2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B1:AK138"/>
  <sheetViews>
    <sheetView showGridLines="0" topLeftCell="B77" zoomScale="70" zoomScaleNormal="70" zoomScaleSheetLayoutView="85" workbookViewId="0">
      <selection activeCell="H95" sqref="H95"/>
    </sheetView>
  </sheetViews>
  <sheetFormatPr defaultRowHeight="13.5"/>
  <cols>
    <col min="3" max="3" width="5.21875" customWidth="1"/>
    <col min="4" max="4" width="7.109375" style="471" customWidth="1"/>
    <col min="5" max="22" width="9.77734375" customWidth="1"/>
    <col min="23" max="23" width="11.6640625" bestFit="1" customWidth="1"/>
    <col min="24" max="27" width="9.77734375" customWidth="1"/>
    <col min="28" max="28" width="9.33203125" customWidth="1"/>
    <col min="29" max="33" width="9.77734375" customWidth="1"/>
    <col min="34" max="34" width="13.44140625" customWidth="1"/>
    <col min="35" max="35" width="16" customWidth="1"/>
    <col min="36" max="36" width="14.44140625" customWidth="1"/>
  </cols>
  <sheetData>
    <row r="1" spans="3:19" ht="14.25" thickBot="1"/>
    <row r="2" spans="3:19" ht="24.95" customHeight="1">
      <c r="C2" s="1514" t="s">
        <v>405</v>
      </c>
      <c r="D2" s="1515"/>
      <c r="E2" s="472">
        <v>75</v>
      </c>
      <c r="F2" s="473" t="s">
        <v>391</v>
      </c>
      <c r="G2" s="473" t="s">
        <v>392</v>
      </c>
      <c r="H2" s="473" t="s">
        <v>393</v>
      </c>
      <c r="I2" s="473" t="s">
        <v>394</v>
      </c>
      <c r="J2" s="473">
        <v>107</v>
      </c>
      <c r="K2" s="473" t="s">
        <v>395</v>
      </c>
      <c r="L2" s="473" t="s">
        <v>396</v>
      </c>
      <c r="M2" s="473" t="s">
        <v>397</v>
      </c>
      <c r="N2" s="473" t="s">
        <v>398</v>
      </c>
      <c r="O2" s="473" t="s">
        <v>399</v>
      </c>
      <c r="P2" s="473">
        <v>153</v>
      </c>
      <c r="Q2" s="473">
        <v>164</v>
      </c>
      <c r="R2" s="474">
        <v>182</v>
      </c>
      <c r="S2" s="475"/>
    </row>
    <row r="3" spans="3:19" ht="24.95" customHeight="1">
      <c r="C3" s="1516"/>
      <c r="D3" s="1517"/>
      <c r="E3" s="499">
        <f>E4*0.3025</f>
        <v>22.754049999999999</v>
      </c>
      <c r="F3" s="500">
        <f t="shared" ref="F3:R3" si="0">F4*0.3025</f>
        <v>27.775549999999996</v>
      </c>
      <c r="G3" s="500">
        <f t="shared" si="0"/>
        <v>28.171824999999998</v>
      </c>
      <c r="H3" s="500">
        <f t="shared" si="0"/>
        <v>28.171824999999998</v>
      </c>
      <c r="I3" s="500">
        <f t="shared" si="0"/>
        <v>30.588799999999999</v>
      </c>
      <c r="J3" s="500">
        <f t="shared" si="0"/>
        <v>32.376575000000003</v>
      </c>
      <c r="K3" s="500">
        <f t="shared" si="0"/>
        <v>33.054175000000001</v>
      </c>
      <c r="L3" s="500">
        <f t="shared" si="0"/>
        <v>32.978549999999998</v>
      </c>
      <c r="M3" s="500">
        <f t="shared" si="0"/>
        <v>33.5291</v>
      </c>
      <c r="N3" s="500">
        <f t="shared" si="0"/>
        <v>39.146524999999997</v>
      </c>
      <c r="O3" s="500">
        <f t="shared" si="0"/>
        <v>39.346174999999995</v>
      </c>
      <c r="P3" s="500">
        <f t="shared" si="0"/>
        <v>46.451900000000002</v>
      </c>
      <c r="Q3" s="500">
        <f t="shared" si="0"/>
        <v>49.743099999999998</v>
      </c>
      <c r="R3" s="501">
        <f t="shared" si="0"/>
        <v>55.073149999999998</v>
      </c>
      <c r="S3" s="476"/>
    </row>
    <row r="4" spans="3:19" ht="24.95" customHeight="1">
      <c r="C4" s="1510" t="s">
        <v>404</v>
      </c>
      <c r="D4" s="1511"/>
      <c r="E4" s="477">
        <v>75.22</v>
      </c>
      <c r="F4" s="478">
        <v>91.82</v>
      </c>
      <c r="G4" s="479">
        <v>93.13</v>
      </c>
      <c r="H4" s="478">
        <v>93.13</v>
      </c>
      <c r="I4" s="479">
        <v>101.12</v>
      </c>
      <c r="J4" s="478">
        <v>107.03</v>
      </c>
      <c r="K4" s="479">
        <v>109.27</v>
      </c>
      <c r="L4" s="478">
        <v>109.02</v>
      </c>
      <c r="M4" s="479">
        <v>110.84</v>
      </c>
      <c r="N4" s="478">
        <v>129.41</v>
      </c>
      <c r="O4" s="479">
        <v>130.07</v>
      </c>
      <c r="P4" s="478">
        <v>153.56</v>
      </c>
      <c r="Q4" s="479">
        <v>164.44</v>
      </c>
      <c r="R4" s="480">
        <v>182.06</v>
      </c>
      <c r="S4" s="510"/>
    </row>
    <row r="5" spans="3:19" ht="24.95" customHeight="1">
      <c r="C5" s="1512" t="s">
        <v>406</v>
      </c>
      <c r="D5" s="1513"/>
      <c r="E5" s="481">
        <v>55.02</v>
      </c>
      <c r="F5" s="482">
        <v>71.37</v>
      </c>
      <c r="G5" s="483">
        <v>71.400000000000006</v>
      </c>
      <c r="H5" s="482">
        <v>71.400000000000006</v>
      </c>
      <c r="I5" s="483">
        <v>74.19</v>
      </c>
      <c r="J5" s="482">
        <v>83.31</v>
      </c>
      <c r="K5" s="483">
        <v>83.89</v>
      </c>
      <c r="L5" s="482">
        <v>84.87</v>
      </c>
      <c r="M5" s="483">
        <v>92.67</v>
      </c>
      <c r="N5" s="482">
        <v>108.28</v>
      </c>
      <c r="O5" s="483">
        <v>109.35</v>
      </c>
      <c r="P5" s="482">
        <v>129.33000000000001</v>
      </c>
      <c r="Q5" s="483">
        <v>142.29</v>
      </c>
      <c r="R5" s="484">
        <v>157.59</v>
      </c>
      <c r="S5" s="511"/>
    </row>
    <row r="6" spans="3:19" ht="6.75" customHeight="1">
      <c r="C6" s="485"/>
      <c r="D6" s="486"/>
      <c r="E6" s="487"/>
      <c r="F6" s="488"/>
      <c r="G6" s="487"/>
      <c r="H6" s="488"/>
      <c r="I6" s="487"/>
      <c r="J6" s="488"/>
      <c r="K6" s="487"/>
      <c r="L6" s="488"/>
      <c r="M6" s="487"/>
      <c r="N6" s="488"/>
      <c r="O6" s="487"/>
      <c r="P6" s="488"/>
      <c r="Q6" s="487"/>
      <c r="R6" s="488"/>
      <c r="S6" s="489"/>
    </row>
    <row r="7" spans="3:19" ht="24.95" customHeight="1" thickBot="1">
      <c r="C7" s="490" t="s">
        <v>150</v>
      </c>
      <c r="D7" s="491" t="s">
        <v>407</v>
      </c>
      <c r="E7" s="492"/>
      <c r="F7" s="493"/>
      <c r="G7" s="494"/>
      <c r="H7" s="493"/>
      <c r="I7" s="494"/>
      <c r="J7" s="493"/>
      <c r="K7" s="494"/>
      <c r="L7" s="493"/>
      <c r="M7" s="494"/>
      <c r="N7" s="493"/>
      <c r="O7" s="494"/>
      <c r="P7" s="493"/>
      <c r="Q7" s="494"/>
      <c r="R7" s="495"/>
      <c r="S7" s="512" t="s">
        <v>47</v>
      </c>
    </row>
    <row r="8" spans="3:19" ht="18" customHeight="1">
      <c r="C8" s="1518" t="s">
        <v>400</v>
      </c>
      <c r="D8" s="496">
        <v>1401</v>
      </c>
      <c r="E8" s="587"/>
      <c r="F8" s="588"/>
      <c r="G8" s="589"/>
      <c r="H8" s="588"/>
      <c r="I8" s="589"/>
      <c r="J8" s="588"/>
      <c r="K8" s="589"/>
      <c r="L8" s="588"/>
      <c r="M8" s="589">
        <f t="shared" ref="M8:M17" si="1">1+1</f>
        <v>2</v>
      </c>
      <c r="N8" s="588">
        <f t="shared" ref="N8:N17" si="2">15+14+14+15</f>
        <v>58</v>
      </c>
      <c r="O8" s="589">
        <f>1</f>
        <v>1</v>
      </c>
      <c r="P8" s="588">
        <f>14+15</f>
        <v>29</v>
      </c>
      <c r="Q8" s="589"/>
      <c r="R8" s="590"/>
      <c r="S8" s="603">
        <f t="shared" ref="S8:S46" si="3">SUM(E8:R8)</f>
        <v>90</v>
      </c>
    </row>
    <row r="9" spans="3:19" ht="18" customHeight="1">
      <c r="C9" s="1519"/>
      <c r="D9" s="497">
        <v>1402</v>
      </c>
      <c r="E9" s="591"/>
      <c r="F9" s="592"/>
      <c r="G9" s="593"/>
      <c r="H9" s="592"/>
      <c r="I9" s="593"/>
      <c r="J9" s="592"/>
      <c r="K9" s="593"/>
      <c r="L9" s="592"/>
      <c r="M9" s="593">
        <f t="shared" si="1"/>
        <v>2</v>
      </c>
      <c r="N9" s="592">
        <f t="shared" si="2"/>
        <v>58</v>
      </c>
      <c r="O9" s="593">
        <f>1</f>
        <v>1</v>
      </c>
      <c r="P9" s="592">
        <f>14+15</f>
        <v>29</v>
      </c>
      <c r="Q9" s="593"/>
      <c r="R9" s="594"/>
      <c r="S9" s="604">
        <f t="shared" si="3"/>
        <v>90</v>
      </c>
    </row>
    <row r="10" spans="3:19" ht="18" customHeight="1">
      <c r="C10" s="1519"/>
      <c r="D10" s="497">
        <v>1403</v>
      </c>
      <c r="E10" s="591"/>
      <c r="F10" s="592"/>
      <c r="G10" s="593"/>
      <c r="H10" s="592"/>
      <c r="I10" s="593"/>
      <c r="J10" s="592"/>
      <c r="K10" s="593"/>
      <c r="L10" s="592"/>
      <c r="M10" s="593">
        <f t="shared" si="1"/>
        <v>2</v>
      </c>
      <c r="N10" s="592">
        <f t="shared" si="2"/>
        <v>58</v>
      </c>
      <c r="O10" s="593">
        <f>1</f>
        <v>1</v>
      </c>
      <c r="P10" s="592">
        <f>15+14</f>
        <v>29</v>
      </c>
      <c r="Q10" s="593"/>
      <c r="R10" s="594"/>
      <c r="S10" s="604">
        <f t="shared" si="3"/>
        <v>90</v>
      </c>
    </row>
    <row r="11" spans="3:19" ht="18" customHeight="1">
      <c r="C11" s="1519"/>
      <c r="D11" s="497">
        <v>1404</v>
      </c>
      <c r="E11" s="591"/>
      <c r="F11" s="592"/>
      <c r="G11" s="593"/>
      <c r="H11" s="592"/>
      <c r="I11" s="593"/>
      <c r="J11" s="592"/>
      <c r="K11" s="593"/>
      <c r="L11" s="592"/>
      <c r="M11" s="593">
        <f t="shared" si="1"/>
        <v>2</v>
      </c>
      <c r="N11" s="592">
        <f t="shared" si="2"/>
        <v>58</v>
      </c>
      <c r="O11" s="593"/>
      <c r="P11" s="592"/>
      <c r="Q11" s="593"/>
      <c r="R11" s="594"/>
      <c r="S11" s="604">
        <f t="shared" si="3"/>
        <v>60</v>
      </c>
    </row>
    <row r="12" spans="3:19" ht="18" customHeight="1">
      <c r="C12" s="1519"/>
      <c r="D12" s="497">
        <v>1405</v>
      </c>
      <c r="E12" s="591"/>
      <c r="F12" s="592"/>
      <c r="G12" s="593"/>
      <c r="H12" s="592"/>
      <c r="I12" s="593"/>
      <c r="J12" s="592"/>
      <c r="K12" s="593"/>
      <c r="L12" s="592"/>
      <c r="M12" s="593">
        <f t="shared" si="1"/>
        <v>2</v>
      </c>
      <c r="N12" s="592">
        <f t="shared" si="2"/>
        <v>58</v>
      </c>
      <c r="O12" s="593"/>
      <c r="P12" s="592"/>
      <c r="Q12" s="593"/>
      <c r="R12" s="594"/>
      <c r="S12" s="604">
        <f t="shared" si="3"/>
        <v>60</v>
      </c>
    </row>
    <row r="13" spans="3:19" ht="18" customHeight="1">
      <c r="C13" s="1519"/>
      <c r="D13" s="497">
        <v>1406</v>
      </c>
      <c r="E13" s="591"/>
      <c r="F13" s="592"/>
      <c r="G13" s="593"/>
      <c r="H13" s="592"/>
      <c r="I13" s="593"/>
      <c r="J13" s="592"/>
      <c r="K13" s="593"/>
      <c r="L13" s="592"/>
      <c r="M13" s="593">
        <f t="shared" si="1"/>
        <v>2</v>
      </c>
      <c r="N13" s="592">
        <f t="shared" si="2"/>
        <v>58</v>
      </c>
      <c r="O13" s="593"/>
      <c r="P13" s="592"/>
      <c r="Q13" s="593"/>
      <c r="R13" s="594"/>
      <c r="S13" s="604">
        <f t="shared" si="3"/>
        <v>60</v>
      </c>
    </row>
    <row r="14" spans="3:19" ht="18" customHeight="1">
      <c r="C14" s="1519"/>
      <c r="D14" s="497">
        <v>1407</v>
      </c>
      <c r="E14" s="591"/>
      <c r="F14" s="592"/>
      <c r="G14" s="593"/>
      <c r="H14" s="592"/>
      <c r="I14" s="593"/>
      <c r="J14" s="592"/>
      <c r="K14" s="593"/>
      <c r="L14" s="592"/>
      <c r="M14" s="593">
        <f t="shared" si="1"/>
        <v>2</v>
      </c>
      <c r="N14" s="592">
        <f t="shared" si="2"/>
        <v>58</v>
      </c>
      <c r="O14" s="593"/>
      <c r="P14" s="592"/>
      <c r="Q14" s="593"/>
      <c r="R14" s="594"/>
      <c r="S14" s="604">
        <f t="shared" si="3"/>
        <v>60</v>
      </c>
    </row>
    <row r="15" spans="3:19" ht="18" customHeight="1">
      <c r="C15" s="1519"/>
      <c r="D15" s="497">
        <v>1408</v>
      </c>
      <c r="E15" s="591"/>
      <c r="F15" s="592"/>
      <c r="G15" s="593"/>
      <c r="H15" s="592"/>
      <c r="I15" s="593"/>
      <c r="J15" s="592"/>
      <c r="K15" s="593"/>
      <c r="L15" s="592"/>
      <c r="M15" s="593">
        <f t="shared" si="1"/>
        <v>2</v>
      </c>
      <c r="N15" s="592">
        <f t="shared" si="2"/>
        <v>58</v>
      </c>
      <c r="O15" s="593">
        <f>1</f>
        <v>1</v>
      </c>
      <c r="P15" s="592">
        <f>15+14</f>
        <v>29</v>
      </c>
      <c r="Q15" s="593"/>
      <c r="R15" s="594"/>
      <c r="S15" s="604">
        <f t="shared" si="3"/>
        <v>90</v>
      </c>
    </row>
    <row r="16" spans="3:19" ht="18" customHeight="1">
      <c r="C16" s="1519"/>
      <c r="D16" s="497">
        <v>1409</v>
      </c>
      <c r="E16" s="591"/>
      <c r="F16" s="592"/>
      <c r="G16" s="593"/>
      <c r="H16" s="592"/>
      <c r="I16" s="593"/>
      <c r="J16" s="592"/>
      <c r="K16" s="593"/>
      <c r="L16" s="592"/>
      <c r="M16" s="593">
        <f t="shared" si="1"/>
        <v>2</v>
      </c>
      <c r="N16" s="592">
        <f t="shared" si="2"/>
        <v>58</v>
      </c>
      <c r="O16" s="593">
        <f>1</f>
        <v>1</v>
      </c>
      <c r="P16" s="592">
        <f>15+14</f>
        <v>29</v>
      </c>
      <c r="Q16" s="593"/>
      <c r="R16" s="594"/>
      <c r="S16" s="604">
        <f t="shared" si="3"/>
        <v>90</v>
      </c>
    </row>
    <row r="17" spans="3:19" ht="18" customHeight="1">
      <c r="C17" s="1519"/>
      <c r="D17" s="497">
        <v>1410</v>
      </c>
      <c r="E17" s="591"/>
      <c r="F17" s="592"/>
      <c r="G17" s="593"/>
      <c r="H17" s="592"/>
      <c r="I17" s="593"/>
      <c r="J17" s="592"/>
      <c r="K17" s="593"/>
      <c r="L17" s="592"/>
      <c r="M17" s="593">
        <f t="shared" si="1"/>
        <v>2</v>
      </c>
      <c r="N17" s="592">
        <f t="shared" si="2"/>
        <v>58</v>
      </c>
      <c r="O17" s="593"/>
      <c r="P17" s="592"/>
      <c r="Q17" s="593"/>
      <c r="R17" s="594"/>
      <c r="S17" s="604">
        <f t="shared" si="3"/>
        <v>60</v>
      </c>
    </row>
    <row r="18" spans="3:19" ht="18" customHeight="1">
      <c r="C18" s="1519"/>
      <c r="D18" s="497">
        <v>1411</v>
      </c>
      <c r="E18" s="595"/>
      <c r="F18" s="596"/>
      <c r="G18" s="597"/>
      <c r="H18" s="596"/>
      <c r="I18" s="597"/>
      <c r="J18" s="596"/>
      <c r="K18" s="597"/>
      <c r="L18" s="596"/>
      <c r="M18" s="597"/>
      <c r="N18" s="596"/>
      <c r="O18" s="597"/>
      <c r="P18" s="596"/>
      <c r="Q18" s="597">
        <f>1+1</f>
        <v>2</v>
      </c>
      <c r="R18" s="598">
        <f>15+14+14+15</f>
        <v>58</v>
      </c>
      <c r="S18" s="605">
        <f t="shared" si="3"/>
        <v>60</v>
      </c>
    </row>
    <row r="19" spans="3:19" ht="35.1" customHeight="1" thickBot="1">
      <c r="C19" s="1521" t="s">
        <v>47</v>
      </c>
      <c r="D19" s="1522"/>
      <c r="E19" s="502">
        <f>SUM(E8:E18)</f>
        <v>0</v>
      </c>
      <c r="F19" s="503">
        <f t="shared" ref="F19:R19" si="4">SUM(F8:F18)</f>
        <v>0</v>
      </c>
      <c r="G19" s="503">
        <f t="shared" si="4"/>
        <v>0</v>
      </c>
      <c r="H19" s="503">
        <f t="shared" si="4"/>
        <v>0</v>
      </c>
      <c r="I19" s="503">
        <f t="shared" si="4"/>
        <v>0</v>
      </c>
      <c r="J19" s="503">
        <f t="shared" si="4"/>
        <v>0</v>
      </c>
      <c r="K19" s="503">
        <f t="shared" si="4"/>
        <v>0</v>
      </c>
      <c r="L19" s="503">
        <f t="shared" si="4"/>
        <v>0</v>
      </c>
      <c r="M19" s="503">
        <f t="shared" si="4"/>
        <v>20</v>
      </c>
      <c r="N19" s="503">
        <f t="shared" si="4"/>
        <v>580</v>
      </c>
      <c r="O19" s="503">
        <f t="shared" si="4"/>
        <v>5</v>
      </c>
      <c r="P19" s="503">
        <f t="shared" si="4"/>
        <v>145</v>
      </c>
      <c r="Q19" s="503">
        <f t="shared" si="4"/>
        <v>2</v>
      </c>
      <c r="R19" s="504">
        <f t="shared" si="4"/>
        <v>58</v>
      </c>
      <c r="S19" s="502">
        <f t="shared" si="3"/>
        <v>810</v>
      </c>
    </row>
    <row r="20" spans="3:19" ht="18" customHeight="1">
      <c r="C20" s="1520" t="s">
        <v>401</v>
      </c>
      <c r="D20" s="498">
        <v>1430</v>
      </c>
      <c r="E20" s="599"/>
      <c r="F20" s="600">
        <f>15+1+15+15</f>
        <v>46</v>
      </c>
      <c r="G20" s="601"/>
      <c r="H20" s="600"/>
      <c r="I20" s="601"/>
      <c r="J20" s="600">
        <f>15+15</f>
        <v>30</v>
      </c>
      <c r="K20" s="601"/>
      <c r="L20" s="600">
        <f>14</f>
        <v>14</v>
      </c>
      <c r="M20" s="601"/>
      <c r="N20" s="600"/>
      <c r="O20" s="601"/>
      <c r="P20" s="600"/>
      <c r="Q20" s="601"/>
      <c r="R20" s="602"/>
      <c r="S20" s="606">
        <f t="shared" ref="S20:S34" si="5">SUM(E20:R20)</f>
        <v>90</v>
      </c>
    </row>
    <row r="21" spans="3:19" ht="18" customHeight="1">
      <c r="C21" s="1519"/>
      <c r="D21" s="497">
        <v>1431</v>
      </c>
      <c r="E21" s="591"/>
      <c r="F21" s="592">
        <f>15+1+15+15</f>
        <v>46</v>
      </c>
      <c r="G21" s="593"/>
      <c r="H21" s="592"/>
      <c r="I21" s="593"/>
      <c r="J21" s="592">
        <f>15+15</f>
        <v>30</v>
      </c>
      <c r="K21" s="593"/>
      <c r="L21" s="592">
        <f>14</f>
        <v>14</v>
      </c>
      <c r="M21" s="593"/>
      <c r="N21" s="592"/>
      <c r="O21" s="593"/>
      <c r="P21" s="592"/>
      <c r="Q21" s="593"/>
      <c r="R21" s="594"/>
      <c r="S21" s="604">
        <f t="shared" si="5"/>
        <v>90</v>
      </c>
    </row>
    <row r="22" spans="3:19" ht="18" customHeight="1">
      <c r="C22" s="1519"/>
      <c r="D22" s="497">
        <v>1432</v>
      </c>
      <c r="E22" s="591">
        <f>15+15+15+15+15+15</f>
        <v>90</v>
      </c>
      <c r="F22" s="592"/>
      <c r="G22" s="593"/>
      <c r="H22" s="592"/>
      <c r="I22" s="593">
        <f>15+15</f>
        <v>30</v>
      </c>
      <c r="J22" s="592"/>
      <c r="K22" s="593"/>
      <c r="L22" s="592"/>
      <c r="M22" s="593"/>
      <c r="N22" s="592"/>
      <c r="O22" s="593"/>
      <c r="P22" s="592"/>
      <c r="Q22" s="593"/>
      <c r="R22" s="594"/>
      <c r="S22" s="604">
        <f t="shared" si="5"/>
        <v>120</v>
      </c>
    </row>
    <row r="23" spans="3:19" ht="18" customHeight="1">
      <c r="C23" s="1519"/>
      <c r="D23" s="497">
        <v>1433</v>
      </c>
      <c r="E23" s="591">
        <f>15+15+15+15+15+15</f>
        <v>90</v>
      </c>
      <c r="F23" s="592"/>
      <c r="G23" s="593"/>
      <c r="H23" s="592"/>
      <c r="I23" s="593">
        <f>15+15</f>
        <v>30</v>
      </c>
      <c r="J23" s="592"/>
      <c r="K23" s="593"/>
      <c r="L23" s="592"/>
      <c r="M23" s="593"/>
      <c r="N23" s="592"/>
      <c r="O23" s="593"/>
      <c r="P23" s="592"/>
      <c r="Q23" s="593"/>
      <c r="R23" s="594"/>
      <c r="S23" s="604">
        <f t="shared" si="5"/>
        <v>120</v>
      </c>
    </row>
    <row r="24" spans="3:19" ht="18" customHeight="1">
      <c r="C24" s="1519"/>
      <c r="D24" s="497">
        <v>1434</v>
      </c>
      <c r="E24" s="595">
        <f>15+15+15+15+15+15</f>
        <v>90</v>
      </c>
      <c r="F24" s="596"/>
      <c r="G24" s="597"/>
      <c r="H24" s="596"/>
      <c r="I24" s="597">
        <f>15+15</f>
        <v>30</v>
      </c>
      <c r="J24" s="596"/>
      <c r="K24" s="597"/>
      <c r="L24" s="596"/>
      <c r="M24" s="597"/>
      <c r="N24" s="596"/>
      <c r="O24" s="597"/>
      <c r="P24" s="596"/>
      <c r="Q24" s="597"/>
      <c r="R24" s="598"/>
      <c r="S24" s="605">
        <f t="shared" si="5"/>
        <v>120</v>
      </c>
    </row>
    <row r="25" spans="3:19" ht="35.1" customHeight="1" thickBot="1">
      <c r="C25" s="1506" t="s">
        <v>47</v>
      </c>
      <c r="D25" s="1507"/>
      <c r="E25" s="502">
        <f>SUM(E20:E24)</f>
        <v>270</v>
      </c>
      <c r="F25" s="503">
        <f t="shared" ref="F25:R25" si="6">SUM(F20:F24)</f>
        <v>92</v>
      </c>
      <c r="G25" s="503">
        <f t="shared" si="6"/>
        <v>0</v>
      </c>
      <c r="H25" s="503">
        <f t="shared" si="6"/>
        <v>0</v>
      </c>
      <c r="I25" s="503">
        <f t="shared" si="6"/>
        <v>90</v>
      </c>
      <c r="J25" s="503">
        <f t="shared" si="6"/>
        <v>60</v>
      </c>
      <c r="K25" s="503">
        <f t="shared" si="6"/>
        <v>0</v>
      </c>
      <c r="L25" s="503">
        <f t="shared" si="6"/>
        <v>28</v>
      </c>
      <c r="M25" s="503">
        <f t="shared" si="6"/>
        <v>0</v>
      </c>
      <c r="N25" s="503">
        <f t="shared" si="6"/>
        <v>0</v>
      </c>
      <c r="O25" s="503">
        <f t="shared" si="6"/>
        <v>0</v>
      </c>
      <c r="P25" s="503">
        <f t="shared" si="6"/>
        <v>0</v>
      </c>
      <c r="Q25" s="503">
        <f t="shared" si="6"/>
        <v>0</v>
      </c>
      <c r="R25" s="504">
        <f t="shared" si="6"/>
        <v>0</v>
      </c>
      <c r="S25" s="502">
        <f t="shared" si="5"/>
        <v>540</v>
      </c>
    </row>
    <row r="26" spans="3:19" ht="18" customHeight="1">
      <c r="C26" s="1518" t="s">
        <v>402</v>
      </c>
      <c r="D26" s="496">
        <v>1422</v>
      </c>
      <c r="E26" s="587"/>
      <c r="F26" s="588"/>
      <c r="G26" s="589">
        <f>20+20</f>
        <v>40</v>
      </c>
      <c r="H26" s="588">
        <f>20+18</f>
        <v>38</v>
      </c>
      <c r="I26" s="589"/>
      <c r="J26" s="588"/>
      <c r="K26" s="589">
        <f>20+18</f>
        <v>38</v>
      </c>
      <c r="L26" s="588"/>
      <c r="M26" s="589"/>
      <c r="N26" s="588"/>
      <c r="O26" s="589"/>
      <c r="P26" s="588"/>
      <c r="Q26" s="589"/>
      <c r="R26" s="590"/>
      <c r="S26" s="603">
        <f t="shared" si="5"/>
        <v>116</v>
      </c>
    </row>
    <row r="27" spans="3:19" ht="18" customHeight="1">
      <c r="C27" s="1519"/>
      <c r="D27" s="497">
        <v>1423</v>
      </c>
      <c r="E27" s="591"/>
      <c r="F27" s="592"/>
      <c r="G27" s="593">
        <f>20+20</f>
        <v>40</v>
      </c>
      <c r="H27" s="592">
        <f>20+18</f>
        <v>38</v>
      </c>
      <c r="I27" s="593"/>
      <c r="J27" s="592"/>
      <c r="K27" s="593">
        <f>20+18</f>
        <v>38</v>
      </c>
      <c r="L27" s="592"/>
      <c r="M27" s="593"/>
      <c r="N27" s="592"/>
      <c r="O27" s="593"/>
      <c r="P27" s="592"/>
      <c r="Q27" s="593"/>
      <c r="R27" s="594"/>
      <c r="S27" s="604">
        <f t="shared" si="5"/>
        <v>116</v>
      </c>
    </row>
    <row r="28" spans="3:19" ht="18" customHeight="1">
      <c r="C28" s="1519"/>
      <c r="D28" s="497">
        <v>1424</v>
      </c>
      <c r="E28" s="591"/>
      <c r="F28" s="592"/>
      <c r="G28" s="593">
        <f>20+20</f>
        <v>40</v>
      </c>
      <c r="H28" s="592">
        <f>20+18</f>
        <v>38</v>
      </c>
      <c r="I28" s="593"/>
      <c r="J28" s="592"/>
      <c r="K28" s="593">
        <f>20+18</f>
        <v>38</v>
      </c>
      <c r="L28" s="592"/>
      <c r="M28" s="593"/>
      <c r="N28" s="592"/>
      <c r="O28" s="593"/>
      <c r="P28" s="592"/>
      <c r="Q28" s="593"/>
      <c r="R28" s="594"/>
      <c r="S28" s="604">
        <f t="shared" si="5"/>
        <v>116</v>
      </c>
    </row>
    <row r="29" spans="3:19" ht="18" customHeight="1">
      <c r="C29" s="1519"/>
      <c r="D29" s="497">
        <v>1425</v>
      </c>
      <c r="E29" s="591"/>
      <c r="F29" s="592">
        <f>15+1+15+15</f>
        <v>46</v>
      </c>
      <c r="G29" s="593"/>
      <c r="H29" s="592"/>
      <c r="I29" s="593"/>
      <c r="J29" s="592">
        <f>15+15</f>
        <v>30</v>
      </c>
      <c r="K29" s="593"/>
      <c r="L29" s="592">
        <f>14</f>
        <v>14</v>
      </c>
      <c r="M29" s="593"/>
      <c r="N29" s="592"/>
      <c r="O29" s="593"/>
      <c r="P29" s="592"/>
      <c r="Q29" s="593"/>
      <c r="R29" s="594"/>
      <c r="S29" s="604">
        <f t="shared" si="5"/>
        <v>90</v>
      </c>
    </row>
    <row r="30" spans="3:19" ht="18" customHeight="1">
      <c r="C30" s="1519"/>
      <c r="D30" s="497">
        <v>1426</v>
      </c>
      <c r="E30" s="591"/>
      <c r="F30" s="592">
        <f>15+1+15+15</f>
        <v>46</v>
      </c>
      <c r="G30" s="593"/>
      <c r="H30" s="592"/>
      <c r="I30" s="593"/>
      <c r="J30" s="592">
        <f>15+15</f>
        <v>30</v>
      </c>
      <c r="K30" s="593"/>
      <c r="L30" s="592">
        <f>14</f>
        <v>14</v>
      </c>
      <c r="M30" s="593"/>
      <c r="N30" s="592"/>
      <c r="O30" s="593"/>
      <c r="P30" s="592"/>
      <c r="Q30" s="593"/>
      <c r="R30" s="594"/>
      <c r="S30" s="604">
        <f t="shared" si="5"/>
        <v>90</v>
      </c>
    </row>
    <row r="31" spans="3:19" ht="18" customHeight="1">
      <c r="C31" s="1519"/>
      <c r="D31" s="497">
        <v>1427</v>
      </c>
      <c r="E31" s="591">
        <f>15+15+15+15+15+15</f>
        <v>90</v>
      </c>
      <c r="F31" s="592"/>
      <c r="G31" s="593"/>
      <c r="H31" s="592"/>
      <c r="I31" s="593">
        <f>15+15</f>
        <v>30</v>
      </c>
      <c r="J31" s="592"/>
      <c r="K31" s="593"/>
      <c r="L31" s="592"/>
      <c r="M31" s="593"/>
      <c r="N31" s="592"/>
      <c r="O31" s="593"/>
      <c r="P31" s="592"/>
      <c r="Q31" s="593"/>
      <c r="R31" s="594"/>
      <c r="S31" s="604">
        <f t="shared" si="5"/>
        <v>120</v>
      </c>
    </row>
    <row r="32" spans="3:19" ht="18" customHeight="1">
      <c r="C32" s="1519"/>
      <c r="D32" s="497">
        <v>1428</v>
      </c>
      <c r="E32" s="591">
        <f>15+15+15+15+15+15</f>
        <v>90</v>
      </c>
      <c r="F32" s="592"/>
      <c r="G32" s="593"/>
      <c r="H32" s="592"/>
      <c r="I32" s="593">
        <f>15+15</f>
        <v>30</v>
      </c>
      <c r="J32" s="592"/>
      <c r="K32" s="593"/>
      <c r="L32" s="592"/>
      <c r="M32" s="593"/>
      <c r="N32" s="592"/>
      <c r="O32" s="593"/>
      <c r="P32" s="592"/>
      <c r="Q32" s="593"/>
      <c r="R32" s="594"/>
      <c r="S32" s="604">
        <f t="shared" si="5"/>
        <v>120</v>
      </c>
    </row>
    <row r="33" spans="3:19" ht="18" customHeight="1">
      <c r="C33" s="1519"/>
      <c r="D33" s="497">
        <v>1429</v>
      </c>
      <c r="E33" s="595"/>
      <c r="F33" s="596">
        <f>15+1+15+15</f>
        <v>46</v>
      </c>
      <c r="G33" s="597"/>
      <c r="H33" s="596"/>
      <c r="I33" s="597"/>
      <c r="J33" s="596">
        <f>15+15</f>
        <v>30</v>
      </c>
      <c r="K33" s="597"/>
      <c r="L33" s="596">
        <f>14</f>
        <v>14</v>
      </c>
      <c r="M33" s="597"/>
      <c r="N33" s="596"/>
      <c r="O33" s="597"/>
      <c r="P33" s="596"/>
      <c r="Q33" s="597"/>
      <c r="R33" s="598"/>
      <c r="S33" s="605">
        <f t="shared" si="5"/>
        <v>90</v>
      </c>
    </row>
    <row r="34" spans="3:19" ht="35.1" customHeight="1" thickBot="1">
      <c r="C34" s="1521" t="s">
        <v>47</v>
      </c>
      <c r="D34" s="1522"/>
      <c r="E34" s="502">
        <f>SUM(E26:E33)</f>
        <v>180</v>
      </c>
      <c r="F34" s="503">
        <f t="shared" ref="F34:R34" si="7">SUM(F26:F33)</f>
        <v>138</v>
      </c>
      <c r="G34" s="503">
        <f t="shared" si="7"/>
        <v>120</v>
      </c>
      <c r="H34" s="503">
        <f t="shared" si="7"/>
        <v>114</v>
      </c>
      <c r="I34" s="503">
        <f t="shared" si="7"/>
        <v>60</v>
      </c>
      <c r="J34" s="503">
        <f t="shared" si="7"/>
        <v>90</v>
      </c>
      <c r="K34" s="503">
        <f t="shared" si="7"/>
        <v>114</v>
      </c>
      <c r="L34" s="503">
        <f t="shared" si="7"/>
        <v>42</v>
      </c>
      <c r="M34" s="503">
        <f t="shared" si="7"/>
        <v>0</v>
      </c>
      <c r="N34" s="503">
        <f t="shared" si="7"/>
        <v>0</v>
      </c>
      <c r="O34" s="503">
        <f t="shared" si="7"/>
        <v>0</v>
      </c>
      <c r="P34" s="503">
        <f t="shared" si="7"/>
        <v>0</v>
      </c>
      <c r="Q34" s="503">
        <f t="shared" si="7"/>
        <v>0</v>
      </c>
      <c r="R34" s="504">
        <f t="shared" si="7"/>
        <v>0</v>
      </c>
      <c r="S34" s="502">
        <f t="shared" si="5"/>
        <v>858</v>
      </c>
    </row>
    <row r="35" spans="3:19" ht="18" customHeight="1">
      <c r="C35" s="1520" t="s">
        <v>403</v>
      </c>
      <c r="D35" s="498">
        <v>1412</v>
      </c>
      <c r="E35" s="599"/>
      <c r="F35" s="600"/>
      <c r="G35" s="601"/>
      <c r="H35" s="600"/>
      <c r="I35" s="601"/>
      <c r="J35" s="600"/>
      <c r="K35" s="601"/>
      <c r="L35" s="600"/>
      <c r="M35" s="601">
        <f>1+1</f>
        <v>2</v>
      </c>
      <c r="N35" s="600">
        <f>15+14+14+15</f>
        <v>58</v>
      </c>
      <c r="O35" s="601"/>
      <c r="P35" s="600"/>
      <c r="Q35" s="601"/>
      <c r="R35" s="602"/>
      <c r="S35" s="606">
        <f t="shared" si="3"/>
        <v>60</v>
      </c>
    </row>
    <row r="36" spans="3:19" ht="18" customHeight="1">
      <c r="C36" s="1519"/>
      <c r="D36" s="497">
        <v>1413</v>
      </c>
      <c r="E36" s="591"/>
      <c r="F36" s="592"/>
      <c r="G36" s="593"/>
      <c r="H36" s="592"/>
      <c r="I36" s="593"/>
      <c r="J36" s="592"/>
      <c r="K36" s="593"/>
      <c r="L36" s="592"/>
      <c r="M36" s="593">
        <f>1+1</f>
        <v>2</v>
      </c>
      <c r="N36" s="592">
        <f>15+14+14+15</f>
        <v>58</v>
      </c>
      <c r="O36" s="593"/>
      <c r="P36" s="592"/>
      <c r="Q36" s="593"/>
      <c r="R36" s="594"/>
      <c r="S36" s="604">
        <f t="shared" si="3"/>
        <v>60</v>
      </c>
    </row>
    <row r="37" spans="3:19" ht="18" customHeight="1">
      <c r="C37" s="1519"/>
      <c r="D37" s="497">
        <v>1414</v>
      </c>
      <c r="E37" s="591">
        <f>15+15+15+15+15+15</f>
        <v>90</v>
      </c>
      <c r="F37" s="592"/>
      <c r="G37" s="593"/>
      <c r="H37" s="592"/>
      <c r="I37" s="593">
        <f>15+15</f>
        <v>30</v>
      </c>
      <c r="J37" s="592"/>
      <c r="K37" s="593"/>
      <c r="L37" s="592"/>
      <c r="M37" s="593"/>
      <c r="N37" s="592"/>
      <c r="O37" s="593"/>
      <c r="P37" s="592"/>
      <c r="Q37" s="593"/>
      <c r="R37" s="594"/>
      <c r="S37" s="604">
        <f t="shared" si="3"/>
        <v>120</v>
      </c>
    </row>
    <row r="38" spans="3:19" ht="18" customHeight="1">
      <c r="C38" s="1519"/>
      <c r="D38" s="497">
        <v>1415</v>
      </c>
      <c r="E38" s="591">
        <f>15+15+15+15+15+15</f>
        <v>90</v>
      </c>
      <c r="F38" s="592"/>
      <c r="G38" s="593"/>
      <c r="H38" s="592"/>
      <c r="I38" s="593">
        <f>15+15</f>
        <v>30</v>
      </c>
      <c r="J38" s="592"/>
      <c r="K38" s="593"/>
      <c r="L38" s="592"/>
      <c r="M38" s="593"/>
      <c r="N38" s="592"/>
      <c r="O38" s="593"/>
      <c r="P38" s="592"/>
      <c r="Q38" s="593"/>
      <c r="R38" s="594"/>
      <c r="S38" s="604">
        <f t="shared" si="3"/>
        <v>120</v>
      </c>
    </row>
    <row r="39" spans="3:19" ht="18" customHeight="1">
      <c r="C39" s="1519"/>
      <c r="D39" s="497">
        <v>1416</v>
      </c>
      <c r="E39" s="591"/>
      <c r="F39" s="592"/>
      <c r="G39" s="593"/>
      <c r="H39" s="592"/>
      <c r="I39" s="593"/>
      <c r="J39" s="592"/>
      <c r="K39" s="593"/>
      <c r="L39" s="592"/>
      <c r="M39" s="593">
        <f>1+1</f>
        <v>2</v>
      </c>
      <c r="N39" s="592">
        <f>15+14+14+15</f>
        <v>58</v>
      </c>
      <c r="O39" s="593"/>
      <c r="P39" s="592"/>
      <c r="Q39" s="593"/>
      <c r="R39" s="594"/>
      <c r="S39" s="604">
        <f t="shared" si="3"/>
        <v>60</v>
      </c>
    </row>
    <row r="40" spans="3:19" ht="18" customHeight="1">
      <c r="C40" s="1519"/>
      <c r="D40" s="497">
        <v>1417</v>
      </c>
      <c r="E40" s="591">
        <f>15+15+15+15+15+15</f>
        <v>90</v>
      </c>
      <c r="F40" s="592"/>
      <c r="G40" s="593"/>
      <c r="H40" s="592"/>
      <c r="I40" s="593">
        <f>15+15</f>
        <v>30</v>
      </c>
      <c r="J40" s="592"/>
      <c r="K40" s="593"/>
      <c r="L40" s="592"/>
      <c r="M40" s="593"/>
      <c r="N40" s="592"/>
      <c r="O40" s="593"/>
      <c r="P40" s="592"/>
      <c r="Q40" s="593"/>
      <c r="R40" s="594"/>
      <c r="S40" s="604">
        <f t="shared" si="3"/>
        <v>120</v>
      </c>
    </row>
    <row r="41" spans="3:19" ht="18" customHeight="1">
      <c r="C41" s="1519"/>
      <c r="D41" s="497">
        <v>1418</v>
      </c>
      <c r="E41" s="591"/>
      <c r="F41" s="592"/>
      <c r="G41" s="593"/>
      <c r="H41" s="592"/>
      <c r="I41" s="593"/>
      <c r="J41" s="592"/>
      <c r="K41" s="593"/>
      <c r="L41" s="592"/>
      <c r="M41" s="593">
        <f>1+1</f>
        <v>2</v>
      </c>
      <c r="N41" s="592">
        <f>15+14+14+15</f>
        <v>58</v>
      </c>
      <c r="O41" s="593"/>
      <c r="P41" s="592"/>
      <c r="Q41" s="593"/>
      <c r="R41" s="594"/>
      <c r="S41" s="604">
        <f t="shared" si="3"/>
        <v>60</v>
      </c>
    </row>
    <row r="42" spans="3:19" ht="18" customHeight="1">
      <c r="C42" s="1519"/>
      <c r="D42" s="497">
        <v>1419</v>
      </c>
      <c r="E42" s="591"/>
      <c r="F42" s="592"/>
      <c r="G42" s="593"/>
      <c r="H42" s="592"/>
      <c r="I42" s="593"/>
      <c r="J42" s="592"/>
      <c r="K42" s="593"/>
      <c r="L42" s="592"/>
      <c r="M42" s="593">
        <f>1+1</f>
        <v>2</v>
      </c>
      <c r="N42" s="592">
        <f>15+14+14+15</f>
        <v>58</v>
      </c>
      <c r="O42" s="593"/>
      <c r="P42" s="592"/>
      <c r="Q42" s="593"/>
      <c r="R42" s="594"/>
      <c r="S42" s="604">
        <f t="shared" si="3"/>
        <v>60</v>
      </c>
    </row>
    <row r="43" spans="3:19" ht="18" customHeight="1">
      <c r="C43" s="1519"/>
      <c r="D43" s="497">
        <v>1420</v>
      </c>
      <c r="E43" s="591"/>
      <c r="F43" s="592"/>
      <c r="G43" s="593">
        <f>20+20</f>
        <v>40</v>
      </c>
      <c r="H43" s="592">
        <f>20+18</f>
        <v>38</v>
      </c>
      <c r="I43" s="593"/>
      <c r="J43" s="592"/>
      <c r="K43" s="593">
        <f>20+18</f>
        <v>38</v>
      </c>
      <c r="L43" s="592"/>
      <c r="M43" s="593"/>
      <c r="N43" s="592"/>
      <c r="O43" s="593"/>
      <c r="P43" s="592"/>
      <c r="Q43" s="593"/>
      <c r="R43" s="594"/>
      <c r="S43" s="604">
        <f t="shared" si="3"/>
        <v>116</v>
      </c>
    </row>
    <row r="44" spans="3:19" ht="18" customHeight="1">
      <c r="C44" s="1519"/>
      <c r="D44" s="497">
        <v>1421</v>
      </c>
      <c r="E44" s="595"/>
      <c r="F44" s="596"/>
      <c r="G44" s="597">
        <f>20+20</f>
        <v>40</v>
      </c>
      <c r="H44" s="596">
        <f>20+18</f>
        <v>38</v>
      </c>
      <c r="I44" s="597"/>
      <c r="J44" s="596"/>
      <c r="K44" s="597">
        <f>20+18</f>
        <v>38</v>
      </c>
      <c r="L44" s="596"/>
      <c r="M44" s="597"/>
      <c r="N44" s="596"/>
      <c r="O44" s="597"/>
      <c r="P44" s="596"/>
      <c r="Q44" s="597"/>
      <c r="R44" s="598"/>
      <c r="S44" s="605">
        <f t="shared" si="3"/>
        <v>116</v>
      </c>
    </row>
    <row r="45" spans="3:19" ht="35.1" customHeight="1" thickBot="1">
      <c r="C45" s="1506" t="s">
        <v>47</v>
      </c>
      <c r="D45" s="1507"/>
      <c r="E45" s="502">
        <f>SUM(E35:E44)</f>
        <v>270</v>
      </c>
      <c r="F45" s="503">
        <f t="shared" ref="F45:R45" si="8">SUM(F35:F44)</f>
        <v>0</v>
      </c>
      <c r="G45" s="503">
        <f t="shared" si="8"/>
        <v>80</v>
      </c>
      <c r="H45" s="503">
        <f t="shared" si="8"/>
        <v>76</v>
      </c>
      <c r="I45" s="503">
        <f t="shared" si="8"/>
        <v>90</v>
      </c>
      <c r="J45" s="503">
        <f t="shared" si="8"/>
        <v>0</v>
      </c>
      <c r="K45" s="503">
        <f t="shared" si="8"/>
        <v>76</v>
      </c>
      <c r="L45" s="503">
        <f t="shared" si="8"/>
        <v>0</v>
      </c>
      <c r="M45" s="503">
        <f t="shared" si="8"/>
        <v>10</v>
      </c>
      <c r="N45" s="503">
        <f t="shared" si="8"/>
        <v>290</v>
      </c>
      <c r="O45" s="503">
        <f t="shared" si="8"/>
        <v>0</v>
      </c>
      <c r="P45" s="503">
        <f t="shared" si="8"/>
        <v>0</v>
      </c>
      <c r="Q45" s="503">
        <f t="shared" si="8"/>
        <v>0</v>
      </c>
      <c r="R45" s="504">
        <f t="shared" si="8"/>
        <v>0</v>
      </c>
      <c r="S45" s="502">
        <f t="shared" si="3"/>
        <v>892</v>
      </c>
    </row>
    <row r="46" spans="3:19" ht="44.25" customHeight="1" thickBot="1">
      <c r="C46" s="1508" t="s">
        <v>1</v>
      </c>
      <c r="D46" s="1509"/>
      <c r="E46" s="505">
        <f t="shared" ref="E46:R46" si="9">E19+E45+E34+E25</f>
        <v>720</v>
      </c>
      <c r="F46" s="506">
        <f t="shared" si="9"/>
        <v>230</v>
      </c>
      <c r="G46" s="506">
        <f t="shared" si="9"/>
        <v>200</v>
      </c>
      <c r="H46" s="506">
        <f t="shared" si="9"/>
        <v>190</v>
      </c>
      <c r="I46" s="506">
        <f t="shared" si="9"/>
        <v>240</v>
      </c>
      <c r="J46" s="506">
        <f t="shared" si="9"/>
        <v>150</v>
      </c>
      <c r="K46" s="506">
        <f t="shared" si="9"/>
        <v>190</v>
      </c>
      <c r="L46" s="506">
        <f t="shared" si="9"/>
        <v>70</v>
      </c>
      <c r="M46" s="506">
        <f t="shared" si="9"/>
        <v>30</v>
      </c>
      <c r="N46" s="506">
        <f t="shared" si="9"/>
        <v>870</v>
      </c>
      <c r="O46" s="506">
        <f t="shared" si="9"/>
        <v>5</v>
      </c>
      <c r="P46" s="506">
        <f t="shared" si="9"/>
        <v>145</v>
      </c>
      <c r="Q46" s="506">
        <f t="shared" si="9"/>
        <v>2</v>
      </c>
      <c r="R46" s="507">
        <f t="shared" si="9"/>
        <v>58</v>
      </c>
      <c r="S46" s="508">
        <f t="shared" si="3"/>
        <v>3100</v>
      </c>
    </row>
    <row r="47" spans="3:19" ht="20.100000000000001" customHeight="1">
      <c r="E47" s="509">
        <f>E46/$S$46</f>
        <v>0.23225806451612904</v>
      </c>
      <c r="F47" s="509">
        <f t="shared" ref="F47:R47" si="10">F46/$S$46</f>
        <v>7.4193548387096769E-2</v>
      </c>
      <c r="G47" s="509">
        <f t="shared" si="10"/>
        <v>6.4516129032258063E-2</v>
      </c>
      <c r="H47" s="509">
        <f t="shared" si="10"/>
        <v>6.1290322580645158E-2</v>
      </c>
      <c r="I47" s="509">
        <f t="shared" si="10"/>
        <v>7.7419354838709681E-2</v>
      </c>
      <c r="J47" s="509">
        <f t="shared" si="10"/>
        <v>4.8387096774193547E-2</v>
      </c>
      <c r="K47" s="509">
        <f t="shared" si="10"/>
        <v>6.1290322580645158E-2</v>
      </c>
      <c r="L47" s="509">
        <f t="shared" si="10"/>
        <v>2.2580645161290321E-2</v>
      </c>
      <c r="M47" s="509">
        <f t="shared" si="10"/>
        <v>9.6774193548387101E-3</v>
      </c>
      <c r="N47" s="509">
        <f t="shared" si="10"/>
        <v>0.28064516129032258</v>
      </c>
      <c r="O47" s="509">
        <f t="shared" si="10"/>
        <v>1.6129032258064516E-3</v>
      </c>
      <c r="P47" s="509">
        <f t="shared" si="10"/>
        <v>4.6774193548387098E-2</v>
      </c>
      <c r="Q47" s="509">
        <f t="shared" si="10"/>
        <v>6.4516129032258064E-4</v>
      </c>
      <c r="R47" s="509">
        <f t="shared" si="10"/>
        <v>1.870967741935484E-2</v>
      </c>
    </row>
    <row r="48" spans="3:19" ht="20.100000000000001" hidden="1" customHeight="1"/>
    <row r="49" spans="3:34" hidden="1"/>
    <row r="50" spans="3:34" ht="30.75" customHeight="1">
      <c r="C50" s="1498" t="s">
        <v>408</v>
      </c>
      <c r="D50" s="1498"/>
      <c r="E50" s="1498"/>
      <c r="F50" s="1498"/>
      <c r="G50" s="1498"/>
      <c r="H50" s="1498"/>
      <c r="I50" s="1498"/>
      <c r="J50" s="1498"/>
      <c r="K50" s="1498"/>
      <c r="L50" s="1498"/>
      <c r="M50" s="1498"/>
      <c r="N50" s="1498"/>
      <c r="O50" s="1498"/>
      <c r="P50" s="1498"/>
      <c r="Q50" s="1498"/>
      <c r="R50" s="1498"/>
      <c r="S50" s="1498"/>
      <c r="U50" s="1498" t="s">
        <v>420</v>
      </c>
      <c r="V50" s="1498"/>
      <c r="W50" s="1498"/>
      <c r="X50" s="1498"/>
      <c r="Y50" s="1498"/>
      <c r="Z50" s="1498"/>
      <c r="AA50" s="1498"/>
      <c r="AB50" s="1498"/>
      <c r="AC50" s="1498"/>
      <c r="AD50" s="1498"/>
      <c r="AE50" s="1498"/>
      <c r="AF50" s="1498"/>
      <c r="AG50" s="1498"/>
    </row>
    <row r="51" spans="3:34" ht="4.5" customHeight="1" thickBot="1"/>
    <row r="52" spans="3:34" ht="24.95" customHeight="1">
      <c r="C52" s="1532" t="s">
        <v>409</v>
      </c>
      <c r="D52" s="1533"/>
      <c r="E52" s="513">
        <v>75</v>
      </c>
      <c r="F52" s="514" t="s">
        <v>391</v>
      </c>
      <c r="G52" s="514" t="s">
        <v>392</v>
      </c>
      <c r="H52" s="515" t="s">
        <v>393</v>
      </c>
      <c r="I52" s="516" t="s">
        <v>394</v>
      </c>
      <c r="J52" s="514">
        <v>107</v>
      </c>
      <c r="K52" s="514" t="s">
        <v>395</v>
      </c>
      <c r="L52" s="514" t="s">
        <v>396</v>
      </c>
      <c r="M52" s="514" t="s">
        <v>397</v>
      </c>
      <c r="N52" s="514" t="s">
        <v>398</v>
      </c>
      <c r="O52" s="517" t="s">
        <v>399</v>
      </c>
      <c r="P52" s="513">
        <v>153</v>
      </c>
      <c r="Q52" s="517">
        <v>164</v>
      </c>
      <c r="R52" s="518">
        <v>182</v>
      </c>
      <c r="S52" s="519"/>
      <c r="U52" s="1540" t="s">
        <v>405</v>
      </c>
      <c r="V52" s="1541"/>
      <c r="W52" s="655">
        <v>59</v>
      </c>
      <c r="X52" s="656" t="s">
        <v>418</v>
      </c>
      <c r="Y52" s="657">
        <v>74</v>
      </c>
      <c r="Z52" s="658">
        <v>84</v>
      </c>
      <c r="AA52" s="659" t="s">
        <v>419</v>
      </c>
      <c r="AB52" s="655">
        <v>99</v>
      </c>
      <c r="AC52" s="660">
        <v>114</v>
      </c>
      <c r="AD52" s="661">
        <v>135</v>
      </c>
      <c r="AE52" s="661">
        <v>165</v>
      </c>
      <c r="AF52" s="694">
        <v>175</v>
      </c>
      <c r="AG52" s="609"/>
    </row>
    <row r="53" spans="3:34" ht="24.95" customHeight="1">
      <c r="C53" s="1534"/>
      <c r="D53" s="1535"/>
      <c r="E53" s="520">
        <f>E54*0.3025</f>
        <v>22.754049999999999</v>
      </c>
      <c r="F53" s="521">
        <f t="shared" ref="F53" si="11">F54*0.3025</f>
        <v>27.775549999999996</v>
      </c>
      <c r="G53" s="521">
        <f t="shared" ref="G53" si="12">G54*0.3025</f>
        <v>28.171824999999998</v>
      </c>
      <c r="H53" s="522">
        <f t="shared" ref="H53" si="13">H54*0.3025</f>
        <v>28.171824999999998</v>
      </c>
      <c r="I53" s="523">
        <f t="shared" ref="I53" si="14">I54*0.3025</f>
        <v>30.588799999999999</v>
      </c>
      <c r="J53" s="521">
        <f t="shared" ref="J53" si="15">J54*0.3025</f>
        <v>32.376575000000003</v>
      </c>
      <c r="K53" s="521">
        <f t="shared" ref="K53" si="16">K54*0.3025</f>
        <v>33.054175000000001</v>
      </c>
      <c r="L53" s="521">
        <f t="shared" ref="L53" si="17">L54*0.3025</f>
        <v>32.978549999999998</v>
      </c>
      <c r="M53" s="521">
        <f t="shared" ref="M53" si="18">M54*0.3025</f>
        <v>33.5291</v>
      </c>
      <c r="N53" s="521">
        <f t="shared" ref="N53" si="19">N54*0.3025</f>
        <v>39.146524999999997</v>
      </c>
      <c r="O53" s="524">
        <f t="shared" ref="O53" si="20">O54*0.3025</f>
        <v>39.346174999999995</v>
      </c>
      <c r="P53" s="520">
        <f t="shared" ref="P53" si="21">P54*0.3025</f>
        <v>46.451900000000002</v>
      </c>
      <c r="Q53" s="524">
        <f t="shared" ref="Q53" si="22">Q54*0.3025</f>
        <v>49.743099999999998</v>
      </c>
      <c r="R53" s="525">
        <f t="shared" ref="R53" si="23">R54*0.3025</f>
        <v>55.073149999999998</v>
      </c>
      <c r="S53" s="526"/>
      <c r="U53" s="1542"/>
      <c r="V53" s="1543"/>
      <c r="W53" s="607">
        <f>W54*0.3025</f>
        <v>25.013724999999997</v>
      </c>
      <c r="X53" s="615">
        <f>W54*0.3025</f>
        <v>25.013724999999997</v>
      </c>
      <c r="Y53" s="616">
        <f t="shared" ref="Y53:AF53" si="24">Y54*0.3025</f>
        <v>30.407299999999999</v>
      </c>
      <c r="Z53" s="608">
        <f t="shared" si="24"/>
        <v>34.693725000000001</v>
      </c>
      <c r="AA53" s="617">
        <f>Z54*0.3025</f>
        <v>34.693725000000001</v>
      </c>
      <c r="AB53" s="607">
        <f t="shared" si="24"/>
        <v>40.084274999999998</v>
      </c>
      <c r="AC53" s="607">
        <f t="shared" si="24"/>
        <v>45.099724999999999</v>
      </c>
      <c r="AD53" s="618">
        <f t="shared" si="24"/>
        <v>52.486774999999994</v>
      </c>
      <c r="AE53" s="618">
        <f t="shared" si="24"/>
        <v>63.128724999999996</v>
      </c>
      <c r="AF53" s="607">
        <f t="shared" si="24"/>
        <v>66.897874999999999</v>
      </c>
      <c r="AG53" s="610"/>
    </row>
    <row r="54" spans="3:34" ht="24.95" customHeight="1">
      <c r="C54" s="1536" t="s">
        <v>8</v>
      </c>
      <c r="D54" s="1537"/>
      <c r="E54" s="575">
        <v>75.22</v>
      </c>
      <c r="F54" s="576">
        <v>91.82</v>
      </c>
      <c r="G54" s="576">
        <v>93.13</v>
      </c>
      <c r="H54" s="577">
        <v>93.13</v>
      </c>
      <c r="I54" s="578">
        <v>101.12</v>
      </c>
      <c r="J54" s="576">
        <v>107.03</v>
      </c>
      <c r="K54" s="576">
        <v>109.27</v>
      </c>
      <c r="L54" s="576">
        <v>109.02</v>
      </c>
      <c r="M54" s="576">
        <v>110.84</v>
      </c>
      <c r="N54" s="576">
        <v>129.41</v>
      </c>
      <c r="O54" s="579">
        <v>130.07</v>
      </c>
      <c r="P54" s="575">
        <v>153.56</v>
      </c>
      <c r="Q54" s="579">
        <v>164.44</v>
      </c>
      <c r="R54" s="580">
        <v>182.06</v>
      </c>
      <c r="S54" s="527"/>
      <c r="U54" s="1492" t="s">
        <v>404</v>
      </c>
      <c r="V54" s="1493"/>
      <c r="W54" s="625">
        <v>82.69</v>
      </c>
      <c r="X54" s="626">
        <v>82.69</v>
      </c>
      <c r="Y54" s="627">
        <v>100.52</v>
      </c>
      <c r="Z54" s="628">
        <v>114.69</v>
      </c>
      <c r="AA54" s="629">
        <v>114.69</v>
      </c>
      <c r="AB54" s="625">
        <v>132.51</v>
      </c>
      <c r="AC54" s="630">
        <v>149.09</v>
      </c>
      <c r="AD54" s="631">
        <v>173.51</v>
      </c>
      <c r="AE54" s="631">
        <v>208.69</v>
      </c>
      <c r="AF54" s="626">
        <v>221.15</v>
      </c>
      <c r="AG54" s="611"/>
    </row>
    <row r="55" spans="3:34" ht="24.95" customHeight="1">
      <c r="C55" s="1538" t="s">
        <v>7</v>
      </c>
      <c r="D55" s="1539"/>
      <c r="E55" s="581">
        <v>55.02</v>
      </c>
      <c r="F55" s="582">
        <v>71.37</v>
      </c>
      <c r="G55" s="582">
        <v>71.400000000000006</v>
      </c>
      <c r="H55" s="583">
        <v>71.400000000000006</v>
      </c>
      <c r="I55" s="584">
        <v>74.19</v>
      </c>
      <c r="J55" s="582">
        <v>83.31</v>
      </c>
      <c r="K55" s="582">
        <v>83.89</v>
      </c>
      <c r="L55" s="582">
        <v>84.87</v>
      </c>
      <c r="M55" s="582">
        <v>92.67</v>
      </c>
      <c r="N55" s="582">
        <v>108.28</v>
      </c>
      <c r="O55" s="585">
        <v>109.35</v>
      </c>
      <c r="P55" s="581">
        <v>129.33000000000001</v>
      </c>
      <c r="Q55" s="585">
        <v>142.29</v>
      </c>
      <c r="R55" s="586">
        <v>157.59</v>
      </c>
      <c r="S55" s="528"/>
      <c r="U55" s="1494" t="s">
        <v>406</v>
      </c>
      <c r="V55" s="1495"/>
      <c r="W55" s="632">
        <v>59.99</v>
      </c>
      <c r="X55" s="633">
        <v>59.99</v>
      </c>
      <c r="Y55" s="634">
        <v>74.989999999999995</v>
      </c>
      <c r="Z55" s="635">
        <v>84.99</v>
      </c>
      <c r="AA55" s="636">
        <v>84.99</v>
      </c>
      <c r="AB55" s="632">
        <v>99.99</v>
      </c>
      <c r="AC55" s="637">
        <v>114.99</v>
      </c>
      <c r="AD55" s="638">
        <v>135.99</v>
      </c>
      <c r="AE55" s="638">
        <v>165.99</v>
      </c>
      <c r="AF55" s="633">
        <v>175</v>
      </c>
      <c r="AG55" s="639"/>
    </row>
    <row r="56" spans="3:34" ht="10.5" customHeight="1">
      <c r="C56" s="529"/>
      <c r="D56" s="530"/>
      <c r="E56" s="531"/>
      <c r="F56" s="532"/>
      <c r="G56" s="532"/>
      <c r="H56" s="533"/>
      <c r="I56" s="534"/>
      <c r="J56" s="532"/>
      <c r="K56" s="532"/>
      <c r="L56" s="532"/>
      <c r="M56" s="532"/>
      <c r="N56" s="532"/>
      <c r="O56" s="535"/>
      <c r="P56" s="531"/>
      <c r="Q56" s="535"/>
      <c r="R56" s="536"/>
      <c r="S56" s="537"/>
      <c r="U56" s="612"/>
      <c r="V56" s="613"/>
      <c r="W56" s="619"/>
      <c r="X56" s="620"/>
      <c r="Y56" s="619"/>
      <c r="Z56" s="621"/>
      <c r="AA56" s="622"/>
      <c r="AB56" s="623"/>
      <c r="AC56" s="620"/>
      <c r="AD56" s="624"/>
      <c r="AE56" s="624"/>
      <c r="AG56" s="614"/>
    </row>
    <row r="57" spans="3:34" ht="24.95" customHeight="1">
      <c r="C57" s="1502" t="s">
        <v>410</v>
      </c>
      <c r="D57" s="1503"/>
      <c r="E57" s="538"/>
      <c r="F57" s="539"/>
      <c r="G57" s="539"/>
      <c r="H57" s="540"/>
      <c r="I57" s="541"/>
      <c r="J57" s="539"/>
      <c r="K57" s="539"/>
      <c r="L57" s="539"/>
      <c r="M57" s="539">
        <f>M19</f>
        <v>20</v>
      </c>
      <c r="N57" s="539">
        <f t="shared" ref="N57:R57" si="25">N19</f>
        <v>580</v>
      </c>
      <c r="O57" s="542">
        <f t="shared" si="25"/>
        <v>5</v>
      </c>
      <c r="P57" s="538">
        <f t="shared" si="25"/>
        <v>145</v>
      </c>
      <c r="Q57" s="542">
        <f t="shared" si="25"/>
        <v>2</v>
      </c>
      <c r="R57" s="543">
        <f t="shared" si="25"/>
        <v>58</v>
      </c>
      <c r="S57" s="1530">
        <f>SUM(E57:R57)</f>
        <v>810</v>
      </c>
      <c r="U57" s="1502" t="s">
        <v>414</v>
      </c>
      <c r="V57" s="1503"/>
      <c r="W57" s="719">
        <f>'설계개요(1단지)'!H62</f>
        <v>53</v>
      </c>
      <c r="X57" s="720">
        <f>'설계개요(1단지)'!H50</f>
        <v>181</v>
      </c>
      <c r="Y57" s="641">
        <f>'설계개요(1단지)'!H64</f>
        <v>96</v>
      </c>
      <c r="Z57" s="721">
        <f>'설계개요(1단지)'!H66</f>
        <v>209</v>
      </c>
      <c r="AA57" s="722">
        <f>'설계개요(1단지)'!H54</f>
        <v>25</v>
      </c>
      <c r="AB57" s="643">
        <f>'설계개요(1단지)'!H68</f>
        <v>324</v>
      </c>
      <c r="AC57" s="645">
        <f>'설계개요(1단지)'!H70</f>
        <v>436</v>
      </c>
      <c r="AD57" s="646">
        <f>'설계개요(1단지)'!H72</f>
        <v>148</v>
      </c>
      <c r="AE57" s="644">
        <f>'설계개요(1단지)'!H76</f>
        <v>47</v>
      </c>
      <c r="AF57" s="642">
        <f>'설계개요(1단지)'!H78</f>
        <v>3</v>
      </c>
      <c r="AG57" s="1499">
        <f>SUM(W57:AF57)</f>
        <v>1522</v>
      </c>
    </row>
    <row r="58" spans="3:34" ht="24.95" customHeight="1">
      <c r="C58" s="1504"/>
      <c r="D58" s="1505"/>
      <c r="E58" s="544"/>
      <c r="F58" s="545"/>
      <c r="G58" s="545"/>
      <c r="H58" s="546"/>
      <c r="I58" s="547"/>
      <c r="J58" s="545"/>
      <c r="K58" s="545"/>
      <c r="L58" s="545"/>
      <c r="M58" s="548">
        <f>M57/$S$57</f>
        <v>2.4691358024691357E-2</v>
      </c>
      <c r="N58" s="548">
        <f t="shared" ref="N58:R58" si="26">N57/$S$57</f>
        <v>0.71604938271604934</v>
      </c>
      <c r="O58" s="549">
        <f t="shared" si="26"/>
        <v>6.1728395061728392E-3</v>
      </c>
      <c r="P58" s="550">
        <f t="shared" si="26"/>
        <v>0.17901234567901234</v>
      </c>
      <c r="Q58" s="549">
        <f t="shared" si="26"/>
        <v>2.4691358024691358E-3</v>
      </c>
      <c r="R58" s="551">
        <f t="shared" si="26"/>
        <v>7.160493827160494E-2</v>
      </c>
      <c r="S58" s="1531"/>
      <c r="U58" s="1504"/>
      <c r="V58" s="1505"/>
      <c r="W58" s="550">
        <f>W57/$AG$57</f>
        <v>3.4822601839684622E-2</v>
      </c>
      <c r="X58" s="549">
        <f>X57/$AG$57</f>
        <v>0.11892247043363995</v>
      </c>
      <c r="Y58" s="548">
        <f t="shared" ref="Y58:AF58" si="27">Y57/$AG$57</f>
        <v>6.3074901445466486E-2</v>
      </c>
      <c r="Z58" s="548">
        <f t="shared" si="27"/>
        <v>0.13731931668856767</v>
      </c>
      <c r="AA58" s="554">
        <f t="shared" si="27"/>
        <v>1.6425755584756899E-2</v>
      </c>
      <c r="AB58" s="555">
        <f t="shared" si="27"/>
        <v>0.21287779237844942</v>
      </c>
      <c r="AC58" s="549">
        <f t="shared" si="27"/>
        <v>0.2864651773981603</v>
      </c>
      <c r="AD58" s="551">
        <f t="shared" si="27"/>
        <v>9.724047306176084E-2</v>
      </c>
      <c r="AE58" s="640">
        <f t="shared" si="27"/>
        <v>3.0880420499342968E-2</v>
      </c>
      <c r="AF58" s="640">
        <f t="shared" si="27"/>
        <v>1.9710906701708277E-3</v>
      </c>
      <c r="AG58" s="1500"/>
    </row>
    <row r="59" spans="3:34" ht="24.95" customHeight="1">
      <c r="C59" s="1502" t="s">
        <v>413</v>
      </c>
      <c r="D59" s="1503"/>
      <c r="E59" s="538">
        <f>E25</f>
        <v>270</v>
      </c>
      <c r="F59" s="541">
        <f>F25</f>
        <v>92</v>
      </c>
      <c r="G59" s="541"/>
      <c r="H59" s="552"/>
      <c r="I59" s="541">
        <f>I25</f>
        <v>90</v>
      </c>
      <c r="J59" s="541">
        <f>J25</f>
        <v>60</v>
      </c>
      <c r="K59" s="541"/>
      <c r="L59" s="541">
        <f>L25</f>
        <v>28</v>
      </c>
      <c r="M59" s="541"/>
      <c r="N59" s="541"/>
      <c r="O59" s="553"/>
      <c r="P59" s="538"/>
      <c r="Q59" s="553"/>
      <c r="R59" s="543"/>
      <c r="S59" s="1530">
        <f>SUM(E59:R59)</f>
        <v>540</v>
      </c>
      <c r="U59" s="1502" t="s">
        <v>415</v>
      </c>
      <c r="V59" s="1503"/>
      <c r="W59" s="719">
        <f>'설계개요(2단지)'!H59</f>
        <v>69</v>
      </c>
      <c r="X59" s="720">
        <f>'설계개요(2단지)'!H45</f>
        <v>0</v>
      </c>
      <c r="Y59" s="719">
        <f>'설계개요(2단지)'!H61</f>
        <v>186</v>
      </c>
      <c r="Z59" s="723">
        <f>'설계개요(2단지)'!H63</f>
        <v>207</v>
      </c>
      <c r="AA59" s="724">
        <f>'설계개요(2단지)'!H51</f>
        <v>12</v>
      </c>
      <c r="AB59" s="721">
        <f>'설계개요(2단지)'!H65</f>
        <v>160</v>
      </c>
      <c r="AC59" s="725">
        <f>'설계개요(2단지)'!H67</f>
        <v>185</v>
      </c>
      <c r="AD59" s="646"/>
      <c r="AE59" s="644">
        <v>0</v>
      </c>
      <c r="AF59" s="726">
        <f>'설계개요(2단지)'!H75</f>
        <v>2</v>
      </c>
      <c r="AG59" s="1501">
        <f>SUM(W59:AF59)</f>
        <v>821</v>
      </c>
    </row>
    <row r="60" spans="3:34" ht="24.95" customHeight="1">
      <c r="C60" s="1504"/>
      <c r="D60" s="1505"/>
      <c r="E60" s="550">
        <f>E59/$S$59</f>
        <v>0.5</v>
      </c>
      <c r="F60" s="548">
        <f>F59/$S$59</f>
        <v>0.17037037037037037</v>
      </c>
      <c r="G60" s="548"/>
      <c r="H60" s="554"/>
      <c r="I60" s="555">
        <f>I59/$S$59</f>
        <v>0.16666666666666666</v>
      </c>
      <c r="J60" s="548">
        <f>J59/$S$59</f>
        <v>0.1111111111111111</v>
      </c>
      <c r="K60" s="548"/>
      <c r="L60" s="548">
        <f>L59/$S$59</f>
        <v>5.185185185185185E-2</v>
      </c>
      <c r="M60" s="559"/>
      <c r="N60" s="559"/>
      <c r="O60" s="556"/>
      <c r="P60" s="557"/>
      <c r="Q60" s="556"/>
      <c r="R60" s="558"/>
      <c r="S60" s="1531"/>
      <c r="U60" s="1504"/>
      <c r="V60" s="1505"/>
      <c r="W60" s="550">
        <f t="shared" ref="W60:AC60" si="28">W59/$AG$59</f>
        <v>8.4043848964677217E-2</v>
      </c>
      <c r="X60" s="549">
        <f t="shared" si="28"/>
        <v>0</v>
      </c>
      <c r="Y60" s="548">
        <f t="shared" si="28"/>
        <v>0.22655298416565164</v>
      </c>
      <c r="Z60" s="548">
        <f t="shared" si="28"/>
        <v>0.25213154689403167</v>
      </c>
      <c r="AA60" s="548">
        <f t="shared" si="28"/>
        <v>1.4616321559074299E-2</v>
      </c>
      <c r="AB60" s="555">
        <f t="shared" si="28"/>
        <v>0.19488428745432398</v>
      </c>
      <c r="AC60" s="549">
        <f t="shared" si="28"/>
        <v>0.22533495736906212</v>
      </c>
      <c r="AD60" s="551"/>
      <c r="AE60" s="640">
        <f>AE59/$AG$59</f>
        <v>0</v>
      </c>
      <c r="AF60" s="640">
        <f>AF59/$AG$59</f>
        <v>2.4360535931790498E-3</v>
      </c>
      <c r="AG60" s="1501"/>
      <c r="AH60" s="702"/>
    </row>
    <row r="61" spans="3:34" ht="24.95" customHeight="1">
      <c r="C61" s="1502" t="s">
        <v>411</v>
      </c>
      <c r="D61" s="1503"/>
      <c r="E61" s="538">
        <f t="shared" ref="E61:L61" si="29">E34</f>
        <v>180</v>
      </c>
      <c r="F61" s="541">
        <f t="shared" si="29"/>
        <v>138</v>
      </c>
      <c r="G61" s="541">
        <f t="shared" si="29"/>
        <v>120</v>
      </c>
      <c r="H61" s="552">
        <f t="shared" si="29"/>
        <v>114</v>
      </c>
      <c r="I61" s="541">
        <f t="shared" si="29"/>
        <v>60</v>
      </c>
      <c r="J61" s="541">
        <f t="shared" si="29"/>
        <v>90</v>
      </c>
      <c r="K61" s="541">
        <f t="shared" si="29"/>
        <v>114</v>
      </c>
      <c r="L61" s="541">
        <f t="shared" si="29"/>
        <v>42</v>
      </c>
      <c r="M61" s="541"/>
      <c r="N61" s="541"/>
      <c r="O61" s="553"/>
      <c r="P61" s="538"/>
      <c r="Q61" s="553"/>
      <c r="R61" s="543"/>
      <c r="S61" s="1530">
        <f>SUM(E61:R61)</f>
        <v>858</v>
      </c>
      <c r="U61" s="1502" t="s">
        <v>416</v>
      </c>
      <c r="V61" s="1503"/>
      <c r="W61" s="641">
        <v>0</v>
      </c>
      <c r="X61" s="645">
        <v>0</v>
      </c>
      <c r="Y61" s="641">
        <v>0</v>
      </c>
      <c r="Z61" s="647">
        <v>0</v>
      </c>
      <c r="AA61" s="648">
        <v>0</v>
      </c>
      <c r="AB61" s="643">
        <v>0</v>
      </c>
      <c r="AC61" s="645">
        <v>0</v>
      </c>
      <c r="AD61" s="646"/>
      <c r="AE61" s="644"/>
      <c r="AF61" s="642">
        <v>0</v>
      </c>
      <c r="AG61" s="1499">
        <f>SUM(W61:AF61)</f>
        <v>0</v>
      </c>
      <c r="AH61" s="702"/>
    </row>
    <row r="62" spans="3:34" ht="24.95" customHeight="1">
      <c r="C62" s="1504"/>
      <c r="D62" s="1505"/>
      <c r="E62" s="550">
        <f t="shared" ref="E62:L62" si="30">E61/$S$61</f>
        <v>0.20979020979020979</v>
      </c>
      <c r="F62" s="548">
        <f t="shared" si="30"/>
        <v>0.16083916083916083</v>
      </c>
      <c r="G62" s="548">
        <f t="shared" si="30"/>
        <v>0.13986013986013987</v>
      </c>
      <c r="H62" s="554">
        <f t="shared" si="30"/>
        <v>0.13286713286713286</v>
      </c>
      <c r="I62" s="555">
        <f t="shared" si="30"/>
        <v>6.9930069930069935E-2</v>
      </c>
      <c r="J62" s="548">
        <f t="shared" si="30"/>
        <v>0.1048951048951049</v>
      </c>
      <c r="K62" s="548">
        <f t="shared" si="30"/>
        <v>0.13286713286713286</v>
      </c>
      <c r="L62" s="548">
        <f t="shared" si="30"/>
        <v>4.8951048951048952E-2</v>
      </c>
      <c r="M62" s="559"/>
      <c r="N62" s="559"/>
      <c r="O62" s="556"/>
      <c r="P62" s="557"/>
      <c r="Q62" s="556"/>
      <c r="R62" s="558"/>
      <c r="S62" s="1531"/>
      <c r="U62" s="1504"/>
      <c r="V62" s="1505"/>
      <c r="W62" s="550" t="e">
        <f t="shared" ref="W62:AB62" si="31">W61/$AG$61</f>
        <v>#DIV/0!</v>
      </c>
      <c r="X62" s="549" t="e">
        <f t="shared" si="31"/>
        <v>#DIV/0!</v>
      </c>
      <c r="Y62" s="550" t="e">
        <f t="shared" si="31"/>
        <v>#DIV/0!</v>
      </c>
      <c r="Z62" s="548" t="e">
        <f t="shared" si="31"/>
        <v>#DIV/0!</v>
      </c>
      <c r="AA62" s="548" t="e">
        <f t="shared" si="31"/>
        <v>#DIV/0!</v>
      </c>
      <c r="AB62" s="548" t="e">
        <f t="shared" si="31"/>
        <v>#DIV/0!</v>
      </c>
      <c r="AC62" s="549"/>
      <c r="AD62" s="551"/>
      <c r="AE62" s="640"/>
      <c r="AF62" s="640" t="e">
        <f>AF61/$AG$61</f>
        <v>#DIV/0!</v>
      </c>
      <c r="AG62" s="1500"/>
      <c r="AH62" s="703"/>
    </row>
    <row r="63" spans="3:34" ht="24.95" customHeight="1">
      <c r="C63" s="1502" t="s">
        <v>412</v>
      </c>
      <c r="D63" s="1503"/>
      <c r="E63" s="538">
        <f>E45</f>
        <v>270</v>
      </c>
      <c r="F63" s="541"/>
      <c r="G63" s="541">
        <f>G45</f>
        <v>80</v>
      </c>
      <c r="H63" s="552">
        <f>H45</f>
        <v>76</v>
      </c>
      <c r="I63" s="541">
        <f>I45</f>
        <v>90</v>
      </c>
      <c r="J63" s="541"/>
      <c r="K63" s="541">
        <f>K45</f>
        <v>76</v>
      </c>
      <c r="L63" s="541"/>
      <c r="M63" s="541">
        <f>M45</f>
        <v>10</v>
      </c>
      <c r="N63" s="541">
        <f>N45</f>
        <v>290</v>
      </c>
      <c r="O63" s="553"/>
      <c r="P63" s="538"/>
      <c r="Q63" s="553"/>
      <c r="R63" s="543"/>
      <c r="S63" s="1530">
        <f>SUM(E63:R63)</f>
        <v>892</v>
      </c>
      <c r="U63" s="1502" t="s">
        <v>417</v>
      </c>
      <c r="V63" s="1503"/>
      <c r="W63" s="719">
        <f>'설계개요(4단지)'!H59</f>
        <v>57</v>
      </c>
      <c r="X63" s="720">
        <f>'설계개요(4단지)'!H47</f>
        <v>166</v>
      </c>
      <c r="Y63" s="641">
        <f>'설계개요(4단지)'!H61</f>
        <v>240</v>
      </c>
      <c r="Z63" s="723">
        <f>'설계개요(4단지)'!H63</f>
        <v>539</v>
      </c>
      <c r="AA63" s="724">
        <f>'설계개요(4단지)'!H51</f>
        <v>18</v>
      </c>
      <c r="AB63" s="721">
        <f>'설계개요(4단지)'!H65</f>
        <v>255</v>
      </c>
      <c r="AC63" s="645">
        <f>'설계개요(4단지)'!H67</f>
        <v>186</v>
      </c>
      <c r="AD63" s="646">
        <f>'설계개요(4단지)'!H69</f>
        <v>46</v>
      </c>
      <c r="AE63" s="644">
        <f>'설계개요(4단지)'!H73</f>
        <v>0</v>
      </c>
      <c r="AF63" s="726">
        <f>'설계개요(4단지)'!H75</f>
        <v>5</v>
      </c>
      <c r="AG63" s="1501">
        <f>SUM(W63:AF63)</f>
        <v>1512</v>
      </c>
      <c r="AH63" s="702"/>
    </row>
    <row r="64" spans="3:34" ht="24.95" customHeight="1" thickBot="1">
      <c r="C64" s="1504"/>
      <c r="D64" s="1505"/>
      <c r="E64" s="550">
        <f>E63/$S$63</f>
        <v>0.30269058295964124</v>
      </c>
      <c r="F64" s="548"/>
      <c r="G64" s="548">
        <f t="shared" ref="G64:N64" si="32">G63/$S$63</f>
        <v>8.9686098654708515E-2</v>
      </c>
      <c r="H64" s="554">
        <f t="shared" si="32"/>
        <v>8.520179372197309E-2</v>
      </c>
      <c r="I64" s="555">
        <f t="shared" si="32"/>
        <v>0.10089686098654709</v>
      </c>
      <c r="J64" s="548"/>
      <c r="K64" s="548">
        <f t="shared" si="32"/>
        <v>8.520179372197309E-2</v>
      </c>
      <c r="L64" s="548"/>
      <c r="M64" s="548">
        <f t="shared" si="32"/>
        <v>1.1210762331838564E-2</v>
      </c>
      <c r="N64" s="548">
        <f t="shared" si="32"/>
        <v>0.32511210762331838</v>
      </c>
      <c r="O64" s="556"/>
      <c r="P64" s="557"/>
      <c r="Q64" s="556"/>
      <c r="R64" s="558"/>
      <c r="S64" s="1531"/>
      <c r="U64" s="1504"/>
      <c r="V64" s="1505"/>
      <c r="W64" s="550">
        <f t="shared" ref="W64:AF64" si="33">W63/$AG$63</f>
        <v>3.7698412698412696E-2</v>
      </c>
      <c r="X64" s="549">
        <f t="shared" si="33"/>
        <v>0.10978835978835978</v>
      </c>
      <c r="Y64" s="550">
        <f t="shared" si="33"/>
        <v>0.15873015873015872</v>
      </c>
      <c r="Z64" s="548">
        <f t="shared" si="33"/>
        <v>0.35648148148148145</v>
      </c>
      <c r="AA64" s="554">
        <f t="shared" si="33"/>
        <v>1.1904761904761904E-2</v>
      </c>
      <c r="AB64" s="554">
        <f t="shared" si="33"/>
        <v>0.16865079365079366</v>
      </c>
      <c r="AC64" s="549">
        <f t="shared" si="33"/>
        <v>0.12301587301587301</v>
      </c>
      <c r="AD64" s="554">
        <f t="shared" si="33"/>
        <v>3.0423280423280422E-2</v>
      </c>
      <c r="AE64" s="640">
        <f t="shared" si="33"/>
        <v>0</v>
      </c>
      <c r="AF64" s="554">
        <f t="shared" si="33"/>
        <v>3.3068783068783067E-3</v>
      </c>
      <c r="AG64" s="1500"/>
      <c r="AH64" s="702"/>
    </row>
    <row r="65" spans="3:36" ht="44.25" customHeight="1" thickBot="1">
      <c r="C65" s="1528" t="s">
        <v>1</v>
      </c>
      <c r="D65" s="1529"/>
      <c r="E65" s="560">
        <f t="shared" ref="E65:R65" si="34">E57+E63+E61+E59</f>
        <v>720</v>
      </c>
      <c r="F65" s="561">
        <f t="shared" si="34"/>
        <v>230</v>
      </c>
      <c r="G65" s="561">
        <f t="shared" si="34"/>
        <v>200</v>
      </c>
      <c r="H65" s="562">
        <f t="shared" si="34"/>
        <v>190</v>
      </c>
      <c r="I65" s="561">
        <f t="shared" si="34"/>
        <v>240</v>
      </c>
      <c r="J65" s="561">
        <f t="shared" si="34"/>
        <v>150</v>
      </c>
      <c r="K65" s="561">
        <f t="shared" si="34"/>
        <v>190</v>
      </c>
      <c r="L65" s="561">
        <f t="shared" si="34"/>
        <v>70</v>
      </c>
      <c r="M65" s="561">
        <f t="shared" si="34"/>
        <v>30</v>
      </c>
      <c r="N65" s="561">
        <f t="shared" si="34"/>
        <v>870</v>
      </c>
      <c r="O65" s="563">
        <f t="shared" si="34"/>
        <v>5</v>
      </c>
      <c r="P65" s="560">
        <f t="shared" si="34"/>
        <v>145</v>
      </c>
      <c r="Q65" s="563">
        <f t="shared" si="34"/>
        <v>2</v>
      </c>
      <c r="R65" s="564">
        <f t="shared" si="34"/>
        <v>58</v>
      </c>
      <c r="S65" s="561">
        <f>SUM(E65:R65)</f>
        <v>3100</v>
      </c>
      <c r="U65" s="1496" t="s">
        <v>1</v>
      </c>
      <c r="V65" s="1497"/>
      <c r="W65" s="649">
        <f>W57+W59+W61+W63</f>
        <v>179</v>
      </c>
      <c r="X65" s="650">
        <f t="shared" ref="X65:AF65" si="35">X57+X59+X61+X63</f>
        <v>347</v>
      </c>
      <c r="Y65" s="651">
        <f t="shared" si="35"/>
        <v>522</v>
      </c>
      <c r="Z65" s="649">
        <f t="shared" si="35"/>
        <v>955</v>
      </c>
      <c r="AA65" s="652">
        <f t="shared" si="35"/>
        <v>55</v>
      </c>
      <c r="AB65" s="649">
        <f t="shared" si="35"/>
        <v>739</v>
      </c>
      <c r="AC65" s="650">
        <f t="shared" si="35"/>
        <v>807</v>
      </c>
      <c r="AD65" s="653">
        <f t="shared" si="35"/>
        <v>194</v>
      </c>
      <c r="AE65" s="650">
        <f t="shared" si="35"/>
        <v>47</v>
      </c>
      <c r="AF65" s="650">
        <f t="shared" si="35"/>
        <v>10</v>
      </c>
      <c r="AG65" s="654">
        <f>SUM(W65:AF65)</f>
        <v>3855</v>
      </c>
      <c r="AH65" s="704">
        <f>AG57+AG59+AG61+AG63</f>
        <v>3855</v>
      </c>
    </row>
    <row r="66" spans="3:36" ht="20.100000000000001" customHeight="1">
      <c r="C66" s="565"/>
      <c r="D66" s="566"/>
      <c r="E66" s="567">
        <f>E65/$S$46</f>
        <v>0.23225806451612904</v>
      </c>
      <c r="F66" s="568">
        <f t="shared" ref="F66" si="36">F65/$S$46</f>
        <v>7.4193548387096769E-2</v>
      </c>
      <c r="G66" s="568">
        <f t="shared" ref="G66" si="37">G65/$S$46</f>
        <v>6.4516129032258063E-2</v>
      </c>
      <c r="H66" s="569">
        <f t="shared" ref="H66" si="38">H65/$S$46</f>
        <v>6.1290322580645158E-2</v>
      </c>
      <c r="I66" s="567">
        <f t="shared" ref="I66" si="39">I65/$S$46</f>
        <v>7.7419354838709681E-2</v>
      </c>
      <c r="J66" s="568">
        <f t="shared" ref="J66" si="40">J65/$S$46</f>
        <v>4.8387096774193547E-2</v>
      </c>
      <c r="K66" s="568">
        <f t="shared" ref="K66" si="41">K65/$S$46</f>
        <v>6.1290322580645158E-2</v>
      </c>
      <c r="L66" s="568">
        <f t="shared" ref="L66" si="42">L65/$S$46</f>
        <v>2.2580645161290321E-2</v>
      </c>
      <c r="M66" s="568">
        <f t="shared" ref="M66" si="43">M65/$S$46</f>
        <v>9.6774193548387101E-3</v>
      </c>
      <c r="N66" s="568">
        <f t="shared" ref="N66" si="44">N65/$S$46</f>
        <v>0.28064516129032258</v>
      </c>
      <c r="O66" s="569">
        <f t="shared" ref="O66" si="45">O65/$S$46</f>
        <v>1.6129032258064516E-3</v>
      </c>
      <c r="P66" s="568">
        <f t="shared" ref="P66" si="46">P65/$S$46</f>
        <v>4.6774193548387098E-2</v>
      </c>
      <c r="Q66" s="568">
        <f t="shared" ref="Q66" si="47">Q65/$S$46</f>
        <v>6.4516129032258064E-4</v>
      </c>
      <c r="R66" s="567">
        <f t="shared" ref="R66:S66" si="48">R65/$S$46</f>
        <v>1.870967741935484E-2</v>
      </c>
      <c r="S66" s="1484">
        <f t="shared" si="48"/>
        <v>1</v>
      </c>
      <c r="U66" s="565"/>
      <c r="V66" s="566"/>
      <c r="W66" s="567">
        <f t="shared" ref="W66:AE66" si="49">W65/$AG$65</f>
        <v>4.6433203631647213E-2</v>
      </c>
      <c r="X66" s="569">
        <f t="shared" si="49"/>
        <v>9.0012970168612191E-2</v>
      </c>
      <c r="Y66" s="567">
        <f t="shared" si="49"/>
        <v>0.13540856031128404</v>
      </c>
      <c r="Z66" s="568">
        <f t="shared" si="49"/>
        <v>0.24773022049286642</v>
      </c>
      <c r="AA66" s="569">
        <f t="shared" si="49"/>
        <v>1.4267185473411154E-2</v>
      </c>
      <c r="AB66" s="567">
        <f t="shared" si="49"/>
        <v>0.19169909208819716</v>
      </c>
      <c r="AC66" s="569">
        <f t="shared" si="49"/>
        <v>0.20933852140077822</v>
      </c>
      <c r="AD66" s="567">
        <f t="shared" si="49"/>
        <v>5.0324254215304801E-2</v>
      </c>
      <c r="AE66" s="567">
        <f t="shared" si="49"/>
        <v>1.2191958495460441E-2</v>
      </c>
      <c r="AF66" s="567"/>
      <c r="AG66" s="1484">
        <f>AG65/AG65</f>
        <v>1</v>
      </c>
    </row>
    <row r="67" spans="3:36" ht="24.95" customHeight="1">
      <c r="C67" s="537"/>
      <c r="D67" s="570"/>
      <c r="E67" s="1480">
        <f>SUM(E65:H65)</f>
        <v>1340</v>
      </c>
      <c r="F67" s="1487"/>
      <c r="G67" s="1487"/>
      <c r="H67" s="1481"/>
      <c r="I67" s="1480">
        <f>SUM(I65:O65)</f>
        <v>1555</v>
      </c>
      <c r="J67" s="1487"/>
      <c r="K67" s="1487"/>
      <c r="L67" s="1487"/>
      <c r="M67" s="1487"/>
      <c r="N67" s="1487"/>
      <c r="O67" s="1481"/>
      <c r="P67" s="1480">
        <f>SUM(P65:Q65)</f>
        <v>147</v>
      </c>
      <c r="Q67" s="1481"/>
      <c r="R67" s="571">
        <f>SUM(R65)</f>
        <v>58</v>
      </c>
      <c r="S67" s="1485"/>
      <c r="U67" s="537"/>
      <c r="V67" s="570"/>
      <c r="W67" s="1480">
        <f>SUM(W65:X65)</f>
        <v>526</v>
      </c>
      <c r="X67" s="1481"/>
      <c r="Y67" s="1480">
        <f>SUM(Y65:AA65)</f>
        <v>1532</v>
      </c>
      <c r="Z67" s="1487"/>
      <c r="AA67" s="1481"/>
      <c r="AB67" s="1480">
        <f>SUM(AB65:AC65)</f>
        <v>1546</v>
      </c>
      <c r="AC67" s="1481"/>
      <c r="AD67" s="571">
        <f>SUM(AD65)</f>
        <v>194</v>
      </c>
      <c r="AE67" s="571">
        <f>SUM(AE65)</f>
        <v>47</v>
      </c>
      <c r="AF67" s="571"/>
      <c r="AG67" s="1485"/>
    </row>
    <row r="68" spans="3:36" ht="18.75" customHeight="1" thickBot="1">
      <c r="C68" s="572"/>
      <c r="D68" s="573"/>
      <c r="E68" s="1482">
        <f>SUM(E66:H66)</f>
        <v>0.43225806451612903</v>
      </c>
      <c r="F68" s="1526"/>
      <c r="G68" s="1526"/>
      <c r="H68" s="1527"/>
      <c r="I68" s="1482">
        <f>SUM(I66:O66)</f>
        <v>0.50161290322580643</v>
      </c>
      <c r="J68" s="1526"/>
      <c r="K68" s="1526"/>
      <c r="L68" s="1526"/>
      <c r="M68" s="1526"/>
      <c r="N68" s="1526"/>
      <c r="O68" s="1527"/>
      <c r="P68" s="1482">
        <f>SUM(P66:Q66)</f>
        <v>4.7419354838709682E-2</v>
      </c>
      <c r="Q68" s="1527"/>
      <c r="R68" s="574">
        <f>SUM(R66)</f>
        <v>1.870967741935484E-2</v>
      </c>
      <c r="S68" s="1486"/>
      <c r="U68" s="572"/>
      <c r="V68" s="573"/>
      <c r="W68" s="1482">
        <f>SUM(W66:X66)</f>
        <v>0.13644617380025942</v>
      </c>
      <c r="X68" s="1483"/>
      <c r="Y68" s="1482">
        <f>SUM(Y66:AA66)</f>
        <v>0.39740596627756158</v>
      </c>
      <c r="Z68" s="1488"/>
      <c r="AA68" s="1483"/>
      <c r="AB68" s="1482">
        <f>SUM(AB66:AC66)</f>
        <v>0.40103761348897538</v>
      </c>
      <c r="AC68" s="1483"/>
      <c r="AD68" s="574">
        <f>SUM(AD66)</f>
        <v>5.0324254215304801E-2</v>
      </c>
      <c r="AE68" s="574">
        <f>SUM(AE66)</f>
        <v>1.2191958495460441E-2</v>
      </c>
      <c r="AF68" s="574"/>
      <c r="AG68" s="1486"/>
    </row>
    <row r="69" spans="3:36" ht="3" customHeight="1"/>
    <row r="70" spans="3:36" ht="3" customHeight="1"/>
    <row r="71" spans="3:36" ht="3" customHeight="1"/>
    <row r="72" spans="3:36" ht="30" customHeight="1" thickBot="1"/>
    <row r="73" spans="3:36" ht="24.95" customHeight="1" thickBot="1">
      <c r="E73" s="1471" t="s">
        <v>427</v>
      </c>
      <c r="F73" s="1472"/>
      <c r="G73" s="1472"/>
      <c r="H73" s="1472"/>
      <c r="I73" s="1473"/>
      <c r="K73" s="1474" t="s">
        <v>426</v>
      </c>
      <c r="L73" s="1475"/>
      <c r="M73" s="1475"/>
      <c r="N73" s="1475"/>
      <c r="O73" s="1476"/>
      <c r="Q73" s="1467" t="s">
        <v>425</v>
      </c>
      <c r="R73" s="1468"/>
      <c r="S73" s="1468"/>
      <c r="T73" s="1468"/>
      <c r="U73" s="1469"/>
      <c r="W73" s="1477" t="s">
        <v>428</v>
      </c>
      <c r="X73" s="1478"/>
      <c r="Y73" s="1478"/>
      <c r="Z73" s="1478"/>
      <c r="AA73" s="1479"/>
      <c r="AC73" s="1523" t="s">
        <v>433</v>
      </c>
      <c r="AD73" s="1524"/>
      <c r="AE73" s="1524"/>
      <c r="AF73" s="1524"/>
      <c r="AG73" s="1524"/>
      <c r="AH73" s="1525"/>
    </row>
    <row r="74" spans="3:36" ht="24.95" customHeight="1">
      <c r="E74" s="1462" t="s">
        <v>421</v>
      </c>
      <c r="F74" s="1463"/>
      <c r="G74" s="671" t="s">
        <v>429</v>
      </c>
      <c r="H74" s="662" t="s">
        <v>422</v>
      </c>
      <c r="I74" s="662" t="s">
        <v>423</v>
      </c>
      <c r="J74" s="663"/>
      <c r="K74" s="1462" t="s">
        <v>421</v>
      </c>
      <c r="L74" s="1463"/>
      <c r="M74" s="671" t="s">
        <v>429</v>
      </c>
      <c r="N74" s="662" t="s">
        <v>422</v>
      </c>
      <c r="O74" s="662" t="s">
        <v>423</v>
      </c>
      <c r="P74" s="663"/>
      <c r="Q74" s="1462" t="s">
        <v>421</v>
      </c>
      <c r="R74" s="1463"/>
      <c r="S74" s="671" t="s">
        <v>429</v>
      </c>
      <c r="T74" s="662" t="s">
        <v>422</v>
      </c>
      <c r="U74" s="662" t="s">
        <v>423</v>
      </c>
      <c r="V74" s="663"/>
      <c r="W74" s="1462" t="s">
        <v>421</v>
      </c>
      <c r="X74" s="1463"/>
      <c r="Y74" s="671" t="s">
        <v>429</v>
      </c>
      <c r="Z74" s="662" t="s">
        <v>422</v>
      </c>
      <c r="AA74" s="662" t="s">
        <v>423</v>
      </c>
      <c r="AC74" s="1462" t="s">
        <v>421</v>
      </c>
      <c r="AD74" s="1463"/>
      <c r="AE74" s="671" t="s">
        <v>406</v>
      </c>
      <c r="AF74" s="662"/>
      <c r="AG74" s="662" t="s">
        <v>2</v>
      </c>
      <c r="AH74" s="662" t="s">
        <v>423</v>
      </c>
    </row>
    <row r="75" spans="3:36" ht="24.95" customHeight="1">
      <c r="E75" s="674" t="s">
        <v>439</v>
      </c>
      <c r="F75" s="670">
        <f>$E$53</f>
        <v>22.754049999999999</v>
      </c>
      <c r="G75" s="672">
        <f>$E$55</f>
        <v>55.02</v>
      </c>
      <c r="H75" s="665">
        <f>$E$57</f>
        <v>0</v>
      </c>
      <c r="I75" s="666">
        <f t="shared" ref="I75:I82" si="50">H75/$H$89</f>
        <v>0</v>
      </c>
      <c r="J75" s="663"/>
      <c r="K75" s="674" t="s">
        <v>439</v>
      </c>
      <c r="L75" s="670">
        <f>$E$53</f>
        <v>22.754049999999999</v>
      </c>
      <c r="M75" s="672">
        <f>$E$55</f>
        <v>55.02</v>
      </c>
      <c r="N75" s="667">
        <f>$E$59</f>
        <v>270</v>
      </c>
      <c r="O75" s="668">
        <f t="shared" ref="O75:O87" si="51">N75/$N$89</f>
        <v>0.5</v>
      </c>
      <c r="P75" s="663"/>
      <c r="Q75" s="674" t="s">
        <v>439</v>
      </c>
      <c r="R75" s="670">
        <f>$E$53</f>
        <v>22.754049999999999</v>
      </c>
      <c r="S75" s="672">
        <f>$E$55</f>
        <v>55.02</v>
      </c>
      <c r="T75" s="667">
        <f>$E$61</f>
        <v>180</v>
      </c>
      <c r="U75" s="668">
        <f t="shared" ref="U75:U87" si="52">T75/$T$89</f>
        <v>0.20979020979020979</v>
      </c>
      <c r="V75" s="663"/>
      <c r="W75" s="674" t="s">
        <v>439</v>
      </c>
      <c r="X75" s="670">
        <f>$E$53</f>
        <v>22.754049999999999</v>
      </c>
      <c r="Y75" s="672">
        <f>$E$55</f>
        <v>55.02</v>
      </c>
      <c r="Z75" s="667">
        <f>$E$63</f>
        <v>270</v>
      </c>
      <c r="AA75" s="668">
        <f t="shared" ref="AA75:AA87" si="53">Z75/$T$89</f>
        <v>0.31468531468531469</v>
      </c>
      <c r="AC75" s="674" t="s">
        <v>439</v>
      </c>
      <c r="AD75" s="670">
        <f>$E$53</f>
        <v>22.754049999999999</v>
      </c>
      <c r="AE75" s="672">
        <f>$E$55</f>
        <v>55.02</v>
      </c>
      <c r="AF75" s="672"/>
      <c r="AG75" s="667">
        <f t="shared" ref="AG75:AG88" si="54">H75+N75+T75+Z75</f>
        <v>720</v>
      </c>
      <c r="AH75" s="668">
        <f>AG75/$AG$89</f>
        <v>0.23225806451612904</v>
      </c>
    </row>
    <row r="76" spans="3:36" ht="24.95" customHeight="1">
      <c r="E76" s="1464" t="s">
        <v>438</v>
      </c>
      <c r="F76" s="670">
        <f>$F$53</f>
        <v>27.775549999999996</v>
      </c>
      <c r="G76" s="672">
        <f>$F$55</f>
        <v>71.37</v>
      </c>
      <c r="H76" s="665">
        <f>$F$57</f>
        <v>0</v>
      </c>
      <c r="I76" s="666">
        <f t="shared" si="50"/>
        <v>0</v>
      </c>
      <c r="J76" s="663"/>
      <c r="K76" s="1464" t="s">
        <v>438</v>
      </c>
      <c r="L76" s="670">
        <f>$F$53</f>
        <v>27.775549999999996</v>
      </c>
      <c r="M76" s="672">
        <f>$F$55</f>
        <v>71.37</v>
      </c>
      <c r="N76" s="667">
        <f>$F$59</f>
        <v>92</v>
      </c>
      <c r="O76" s="668">
        <f t="shared" si="51"/>
        <v>0.17037037037037037</v>
      </c>
      <c r="P76" s="663"/>
      <c r="Q76" s="1464" t="s">
        <v>438</v>
      </c>
      <c r="R76" s="670">
        <f>$F$53</f>
        <v>27.775549999999996</v>
      </c>
      <c r="S76" s="672">
        <f>$F$55</f>
        <v>71.37</v>
      </c>
      <c r="T76" s="667">
        <f>$F$61</f>
        <v>138</v>
      </c>
      <c r="U76" s="668">
        <f t="shared" si="52"/>
        <v>0.16083916083916083</v>
      </c>
      <c r="V76" s="663"/>
      <c r="W76" s="1464" t="s">
        <v>438</v>
      </c>
      <c r="X76" s="670">
        <f>$F$53</f>
        <v>27.775549999999996</v>
      </c>
      <c r="Y76" s="672">
        <f>$F$55</f>
        <v>71.37</v>
      </c>
      <c r="Z76" s="665">
        <f>$F$63</f>
        <v>0</v>
      </c>
      <c r="AA76" s="666">
        <f t="shared" si="53"/>
        <v>0</v>
      </c>
      <c r="AC76" s="1464" t="s">
        <v>438</v>
      </c>
      <c r="AD76" s="670">
        <f>$F$53</f>
        <v>27.775549999999996</v>
      </c>
      <c r="AE76" s="672">
        <f>$F$55</f>
        <v>71.37</v>
      </c>
      <c r="AF76" s="672"/>
      <c r="AG76" s="667">
        <f t="shared" si="54"/>
        <v>230</v>
      </c>
      <c r="AH76" s="668">
        <f t="shared" ref="AH76:AH88" si="55">AG76/$AG$89</f>
        <v>7.4193548387096769E-2</v>
      </c>
    </row>
    <row r="77" spans="3:36" ht="24.95" customHeight="1">
      <c r="E77" s="1465"/>
      <c r="F77" s="670">
        <f>$G$53</f>
        <v>28.171824999999998</v>
      </c>
      <c r="G77" s="672">
        <f>$G$55</f>
        <v>71.400000000000006</v>
      </c>
      <c r="H77" s="665">
        <f>$G$57</f>
        <v>0</v>
      </c>
      <c r="I77" s="666">
        <f t="shared" si="50"/>
        <v>0</v>
      </c>
      <c r="J77" s="663"/>
      <c r="K77" s="1465"/>
      <c r="L77" s="670">
        <f>$G$53</f>
        <v>28.171824999999998</v>
      </c>
      <c r="M77" s="672">
        <f>$G$55</f>
        <v>71.400000000000006</v>
      </c>
      <c r="N77" s="665">
        <f>$G$59</f>
        <v>0</v>
      </c>
      <c r="O77" s="666">
        <f t="shared" si="51"/>
        <v>0</v>
      </c>
      <c r="P77" s="663"/>
      <c r="Q77" s="1465"/>
      <c r="R77" s="670">
        <f>$G$53</f>
        <v>28.171824999999998</v>
      </c>
      <c r="S77" s="672">
        <f>$G$55</f>
        <v>71.400000000000006</v>
      </c>
      <c r="T77" s="667">
        <f>$G$61</f>
        <v>120</v>
      </c>
      <c r="U77" s="668">
        <f t="shared" si="52"/>
        <v>0.13986013986013987</v>
      </c>
      <c r="V77" s="663"/>
      <c r="W77" s="1465"/>
      <c r="X77" s="670">
        <f>$G$53</f>
        <v>28.171824999999998</v>
      </c>
      <c r="Y77" s="672">
        <f>$G$55</f>
        <v>71.400000000000006</v>
      </c>
      <c r="Z77" s="667">
        <f>$G$63</f>
        <v>80</v>
      </c>
      <c r="AA77" s="668">
        <f t="shared" si="53"/>
        <v>9.3240093240093247E-2</v>
      </c>
      <c r="AC77" s="1465"/>
      <c r="AD77" s="670">
        <f>$G$53</f>
        <v>28.171824999999998</v>
      </c>
      <c r="AE77" s="672">
        <f>$G$55</f>
        <v>71.400000000000006</v>
      </c>
      <c r="AF77" s="672"/>
      <c r="AG77" s="667">
        <f t="shared" si="54"/>
        <v>200</v>
      </c>
      <c r="AH77" s="668">
        <f t="shared" si="55"/>
        <v>6.4516129032258063E-2</v>
      </c>
    </row>
    <row r="78" spans="3:36" ht="24.95" customHeight="1">
      <c r="E78" s="1466"/>
      <c r="F78" s="670">
        <f>$H$53</f>
        <v>28.171824999999998</v>
      </c>
      <c r="G78" s="672">
        <f>$H$55</f>
        <v>71.400000000000006</v>
      </c>
      <c r="H78" s="665">
        <f>$H$57</f>
        <v>0</v>
      </c>
      <c r="I78" s="666">
        <f t="shared" si="50"/>
        <v>0</v>
      </c>
      <c r="J78" s="663"/>
      <c r="K78" s="1466"/>
      <c r="L78" s="670">
        <f>$H$53</f>
        <v>28.171824999999998</v>
      </c>
      <c r="M78" s="672">
        <f>$H$55</f>
        <v>71.400000000000006</v>
      </c>
      <c r="N78" s="665">
        <f>$H$59</f>
        <v>0</v>
      </c>
      <c r="O78" s="666">
        <f t="shared" si="51"/>
        <v>0</v>
      </c>
      <c r="P78" s="663"/>
      <c r="Q78" s="1466"/>
      <c r="R78" s="670">
        <f>$H$53</f>
        <v>28.171824999999998</v>
      </c>
      <c r="S78" s="672">
        <f>$H$55</f>
        <v>71.400000000000006</v>
      </c>
      <c r="T78" s="667">
        <f>$H$61</f>
        <v>114</v>
      </c>
      <c r="U78" s="668">
        <f t="shared" si="52"/>
        <v>0.13286713286713286</v>
      </c>
      <c r="V78" s="663"/>
      <c r="W78" s="1466"/>
      <c r="X78" s="670">
        <f>$H$53</f>
        <v>28.171824999999998</v>
      </c>
      <c r="Y78" s="672">
        <f>$H$55</f>
        <v>71.400000000000006</v>
      </c>
      <c r="Z78" s="667">
        <f>$H$63</f>
        <v>76</v>
      </c>
      <c r="AA78" s="668">
        <f t="shared" si="53"/>
        <v>8.8578088578088576E-2</v>
      </c>
      <c r="AC78" s="1466"/>
      <c r="AD78" s="670">
        <f>$H$53</f>
        <v>28.171824999999998</v>
      </c>
      <c r="AE78" s="672">
        <f>$H$55</f>
        <v>71.400000000000006</v>
      </c>
      <c r="AF78" s="672"/>
      <c r="AG78" s="667">
        <f t="shared" si="54"/>
        <v>190</v>
      </c>
      <c r="AH78" s="668">
        <f t="shared" si="55"/>
        <v>6.1290322580645158E-2</v>
      </c>
    </row>
    <row r="79" spans="3:36" ht="24.95" customHeight="1">
      <c r="E79" s="1464" t="s">
        <v>440</v>
      </c>
      <c r="F79" s="670">
        <f>$I$53</f>
        <v>30.588799999999999</v>
      </c>
      <c r="G79" s="672">
        <f>$I$55</f>
        <v>74.19</v>
      </c>
      <c r="H79" s="665">
        <f>$I$57</f>
        <v>0</v>
      </c>
      <c r="I79" s="666">
        <f t="shared" si="50"/>
        <v>0</v>
      </c>
      <c r="J79" s="663"/>
      <c r="K79" s="1464" t="s">
        <v>440</v>
      </c>
      <c r="L79" s="670">
        <f>$I$53</f>
        <v>30.588799999999999</v>
      </c>
      <c r="M79" s="672">
        <f>$I$55</f>
        <v>74.19</v>
      </c>
      <c r="N79" s="667">
        <f>$I$59</f>
        <v>90</v>
      </c>
      <c r="O79" s="668">
        <f t="shared" si="51"/>
        <v>0.16666666666666666</v>
      </c>
      <c r="P79" s="663"/>
      <c r="Q79" s="1464" t="s">
        <v>440</v>
      </c>
      <c r="R79" s="670">
        <f>$I$53</f>
        <v>30.588799999999999</v>
      </c>
      <c r="S79" s="672">
        <f>$I$55</f>
        <v>74.19</v>
      </c>
      <c r="T79" s="667">
        <f>$I$61</f>
        <v>60</v>
      </c>
      <c r="U79" s="668">
        <f t="shared" si="52"/>
        <v>6.9930069930069935E-2</v>
      </c>
      <c r="V79" s="663"/>
      <c r="W79" s="1464" t="s">
        <v>440</v>
      </c>
      <c r="X79" s="670">
        <f>$I$53</f>
        <v>30.588799999999999</v>
      </c>
      <c r="Y79" s="672">
        <f>$I$55</f>
        <v>74.19</v>
      </c>
      <c r="Z79" s="667">
        <f>$I$63</f>
        <v>90</v>
      </c>
      <c r="AA79" s="668">
        <f t="shared" si="53"/>
        <v>0.1048951048951049</v>
      </c>
      <c r="AC79" s="1464" t="s">
        <v>440</v>
      </c>
      <c r="AD79" s="670">
        <f>$I$53</f>
        <v>30.588799999999999</v>
      </c>
      <c r="AE79" s="672">
        <f>$I$55</f>
        <v>74.19</v>
      </c>
      <c r="AF79" s="672"/>
      <c r="AG79" s="667">
        <f t="shared" si="54"/>
        <v>240</v>
      </c>
      <c r="AH79" s="668">
        <f t="shared" si="55"/>
        <v>7.7419354838709681E-2</v>
      </c>
    </row>
    <row r="80" spans="3:36" ht="24.95" customHeight="1">
      <c r="E80" s="1465"/>
      <c r="F80" s="670">
        <f>$J$53</f>
        <v>32.376575000000003</v>
      </c>
      <c r="G80" s="672">
        <f>$J$55</f>
        <v>83.31</v>
      </c>
      <c r="H80" s="665">
        <f>$J$57</f>
        <v>0</v>
      </c>
      <c r="I80" s="666">
        <f t="shared" si="50"/>
        <v>0</v>
      </c>
      <c r="J80" s="663"/>
      <c r="K80" s="1465"/>
      <c r="L80" s="670">
        <f>$J$53</f>
        <v>32.376575000000003</v>
      </c>
      <c r="M80" s="672">
        <f>$J$55</f>
        <v>83.31</v>
      </c>
      <c r="N80" s="667">
        <f>$J$59</f>
        <v>60</v>
      </c>
      <c r="O80" s="668">
        <f t="shared" si="51"/>
        <v>0.1111111111111111</v>
      </c>
      <c r="P80" s="663"/>
      <c r="Q80" s="1465"/>
      <c r="R80" s="670">
        <f>$J$53</f>
        <v>32.376575000000003</v>
      </c>
      <c r="S80" s="672">
        <f>$J$55</f>
        <v>83.31</v>
      </c>
      <c r="T80" s="667">
        <f>$J$61</f>
        <v>90</v>
      </c>
      <c r="U80" s="668">
        <f t="shared" si="52"/>
        <v>0.1048951048951049</v>
      </c>
      <c r="V80" s="663"/>
      <c r="W80" s="1465"/>
      <c r="X80" s="670">
        <f>$J$53</f>
        <v>32.376575000000003</v>
      </c>
      <c r="Y80" s="672">
        <f>$J$55</f>
        <v>83.31</v>
      </c>
      <c r="Z80" s="665">
        <f>$J$63</f>
        <v>0</v>
      </c>
      <c r="AA80" s="666">
        <f t="shared" si="53"/>
        <v>0</v>
      </c>
      <c r="AC80" s="1465"/>
      <c r="AD80" s="670">
        <f>$J$53</f>
        <v>32.376575000000003</v>
      </c>
      <c r="AE80" s="672">
        <f>$J$55</f>
        <v>83.31</v>
      </c>
      <c r="AF80" s="672"/>
      <c r="AG80" s="667">
        <f t="shared" si="54"/>
        <v>150</v>
      </c>
      <c r="AH80" s="668">
        <f t="shared" si="55"/>
        <v>4.8387096774193547E-2</v>
      </c>
      <c r="AJ80">
        <f>SUM(AG75:AG83)</f>
        <v>2020</v>
      </c>
    </row>
    <row r="81" spans="2:36" ht="24.95" customHeight="1">
      <c r="E81" s="1465"/>
      <c r="F81" s="670">
        <f>$K$53</f>
        <v>33.054175000000001</v>
      </c>
      <c r="G81" s="672">
        <f>$K$55</f>
        <v>83.89</v>
      </c>
      <c r="H81" s="665">
        <f>$K$57</f>
        <v>0</v>
      </c>
      <c r="I81" s="666">
        <f t="shared" si="50"/>
        <v>0</v>
      </c>
      <c r="J81" s="663"/>
      <c r="K81" s="1465"/>
      <c r="L81" s="670">
        <f>$K$53</f>
        <v>33.054175000000001</v>
      </c>
      <c r="M81" s="672">
        <f>$K$55</f>
        <v>83.89</v>
      </c>
      <c r="N81" s="665">
        <f>$K$59</f>
        <v>0</v>
      </c>
      <c r="O81" s="666">
        <f t="shared" si="51"/>
        <v>0</v>
      </c>
      <c r="P81" s="663"/>
      <c r="Q81" s="1465"/>
      <c r="R81" s="670">
        <f>$K$53</f>
        <v>33.054175000000001</v>
      </c>
      <c r="S81" s="672">
        <f>$K$55</f>
        <v>83.89</v>
      </c>
      <c r="T81" s="667">
        <f>$K$61</f>
        <v>114</v>
      </c>
      <c r="U81" s="668">
        <f t="shared" si="52"/>
        <v>0.13286713286713286</v>
      </c>
      <c r="V81" s="663"/>
      <c r="W81" s="1465"/>
      <c r="X81" s="670">
        <f>$K$53</f>
        <v>33.054175000000001</v>
      </c>
      <c r="Y81" s="672">
        <f>$K$55</f>
        <v>83.89</v>
      </c>
      <c r="Z81" s="667">
        <f>$K$63</f>
        <v>76</v>
      </c>
      <c r="AA81" s="668">
        <f t="shared" si="53"/>
        <v>8.8578088578088576E-2</v>
      </c>
      <c r="AC81" s="1465"/>
      <c r="AD81" s="670">
        <f>$K$53</f>
        <v>33.054175000000001</v>
      </c>
      <c r="AE81" s="672">
        <f>$K$55</f>
        <v>83.89</v>
      </c>
      <c r="AF81" s="672"/>
      <c r="AG81" s="667">
        <f t="shared" si="54"/>
        <v>190</v>
      </c>
      <c r="AH81" s="668">
        <f t="shared" si="55"/>
        <v>6.1290322580645158E-2</v>
      </c>
    </row>
    <row r="82" spans="2:36" ht="24.95" customHeight="1">
      <c r="E82" s="1465"/>
      <c r="F82" s="670">
        <f>$L$53</f>
        <v>32.978549999999998</v>
      </c>
      <c r="G82" s="672">
        <f>$L$55</f>
        <v>84.87</v>
      </c>
      <c r="H82" s="665">
        <f>$L$57</f>
        <v>0</v>
      </c>
      <c r="I82" s="666">
        <f t="shared" si="50"/>
        <v>0</v>
      </c>
      <c r="J82" s="663"/>
      <c r="K82" s="1465"/>
      <c r="L82" s="670">
        <f>$L$53</f>
        <v>32.978549999999998</v>
      </c>
      <c r="M82" s="672">
        <f>$L$55</f>
        <v>84.87</v>
      </c>
      <c r="N82" s="667">
        <f>$L$59</f>
        <v>28</v>
      </c>
      <c r="O82" s="668">
        <f t="shared" si="51"/>
        <v>5.185185185185185E-2</v>
      </c>
      <c r="P82" s="663"/>
      <c r="Q82" s="1465"/>
      <c r="R82" s="670">
        <f>$L$53</f>
        <v>32.978549999999998</v>
      </c>
      <c r="S82" s="672">
        <f>$L$55</f>
        <v>84.87</v>
      </c>
      <c r="T82" s="667">
        <f>$L$61</f>
        <v>42</v>
      </c>
      <c r="U82" s="668">
        <f t="shared" si="52"/>
        <v>4.8951048951048952E-2</v>
      </c>
      <c r="V82" s="663"/>
      <c r="W82" s="1465"/>
      <c r="X82" s="670">
        <f>$L$53</f>
        <v>32.978549999999998</v>
      </c>
      <c r="Y82" s="672">
        <f>$L$55</f>
        <v>84.87</v>
      </c>
      <c r="Z82" s="665">
        <f>$L$63</f>
        <v>0</v>
      </c>
      <c r="AA82" s="666">
        <f t="shared" si="53"/>
        <v>0</v>
      </c>
      <c r="AC82" s="1465"/>
      <c r="AD82" s="670">
        <f>$L$53</f>
        <v>32.978549999999998</v>
      </c>
      <c r="AE82" s="672">
        <f>$L$55</f>
        <v>84.87</v>
      </c>
      <c r="AF82" s="672"/>
      <c r="AG82" s="667">
        <f t="shared" si="54"/>
        <v>70</v>
      </c>
      <c r="AH82" s="668">
        <f t="shared" si="55"/>
        <v>2.2580645161290321E-2</v>
      </c>
    </row>
    <row r="83" spans="2:36" ht="24.95" customHeight="1">
      <c r="E83" s="1466"/>
      <c r="F83" s="670">
        <f>$M$53</f>
        <v>33.5291</v>
      </c>
      <c r="G83" s="672">
        <f>$M$55</f>
        <v>92.67</v>
      </c>
      <c r="H83" s="667">
        <f>$M$57</f>
        <v>20</v>
      </c>
      <c r="I83" s="668">
        <f>H83/$H$89</f>
        <v>2.4691358024691357E-2</v>
      </c>
      <c r="J83" s="663"/>
      <c r="K83" s="1466"/>
      <c r="L83" s="670">
        <f>$M$53</f>
        <v>33.5291</v>
      </c>
      <c r="M83" s="672">
        <f>$M$55</f>
        <v>92.67</v>
      </c>
      <c r="N83" s="665">
        <f>$M$59</f>
        <v>0</v>
      </c>
      <c r="O83" s="666">
        <f t="shared" si="51"/>
        <v>0</v>
      </c>
      <c r="P83" s="663"/>
      <c r="Q83" s="1466"/>
      <c r="R83" s="670">
        <f>$M$53</f>
        <v>33.5291</v>
      </c>
      <c r="S83" s="672">
        <f>$M$55</f>
        <v>92.67</v>
      </c>
      <c r="T83" s="665">
        <f>$M$61</f>
        <v>0</v>
      </c>
      <c r="U83" s="666">
        <f t="shared" si="52"/>
        <v>0</v>
      </c>
      <c r="V83" s="663"/>
      <c r="W83" s="1466"/>
      <c r="X83" s="670">
        <f>$M$53</f>
        <v>33.5291</v>
      </c>
      <c r="Y83" s="672">
        <f>$M$55</f>
        <v>92.67</v>
      </c>
      <c r="Z83" s="667">
        <f>$M$63</f>
        <v>10</v>
      </c>
      <c r="AA83" s="668">
        <f t="shared" si="53"/>
        <v>1.1655011655011656E-2</v>
      </c>
      <c r="AC83" s="1466"/>
      <c r="AD83" s="670">
        <f>$M$53</f>
        <v>33.5291</v>
      </c>
      <c r="AE83" s="672">
        <f>$M$55</f>
        <v>92.67</v>
      </c>
      <c r="AF83" s="672"/>
      <c r="AG83" s="667">
        <f t="shared" si="54"/>
        <v>30</v>
      </c>
      <c r="AH83" s="668">
        <f t="shared" si="55"/>
        <v>9.6774193548387101E-3</v>
      </c>
    </row>
    <row r="84" spans="2:36" ht="24.95" customHeight="1">
      <c r="E84" s="1464" t="s">
        <v>441</v>
      </c>
      <c r="F84" s="670">
        <f>$N$53</f>
        <v>39.146524999999997</v>
      </c>
      <c r="G84" s="672">
        <f>$N$55</f>
        <v>108.28</v>
      </c>
      <c r="H84" s="667">
        <f>$N$57</f>
        <v>580</v>
      </c>
      <c r="I84" s="668">
        <f t="shared" ref="I84:I88" si="56">H84/$H$89</f>
        <v>0.71604938271604934</v>
      </c>
      <c r="J84" s="663"/>
      <c r="K84" s="1464" t="s">
        <v>441</v>
      </c>
      <c r="L84" s="670">
        <f>$N$53</f>
        <v>39.146524999999997</v>
      </c>
      <c r="M84" s="672">
        <f>$N$55</f>
        <v>108.28</v>
      </c>
      <c r="N84" s="665">
        <f>$N$59</f>
        <v>0</v>
      </c>
      <c r="O84" s="666">
        <f t="shared" si="51"/>
        <v>0</v>
      </c>
      <c r="P84" s="663"/>
      <c r="Q84" s="1464" t="s">
        <v>441</v>
      </c>
      <c r="R84" s="670">
        <f>$N$53</f>
        <v>39.146524999999997</v>
      </c>
      <c r="S84" s="672">
        <f>$N$55</f>
        <v>108.28</v>
      </c>
      <c r="T84" s="665">
        <f>$N$61</f>
        <v>0</v>
      </c>
      <c r="U84" s="666">
        <f t="shared" si="52"/>
        <v>0</v>
      </c>
      <c r="V84" s="663"/>
      <c r="W84" s="1464" t="s">
        <v>441</v>
      </c>
      <c r="X84" s="670">
        <f>$N$53</f>
        <v>39.146524999999997</v>
      </c>
      <c r="Y84" s="672">
        <f>$N$55</f>
        <v>108.28</v>
      </c>
      <c r="Z84" s="667">
        <f>$N$63</f>
        <v>290</v>
      </c>
      <c r="AA84" s="668">
        <f t="shared" si="53"/>
        <v>0.33799533799533799</v>
      </c>
      <c r="AC84" s="1464" t="s">
        <v>441</v>
      </c>
      <c r="AD84" s="670">
        <f>$N$53</f>
        <v>39.146524999999997</v>
      </c>
      <c r="AE84" s="672">
        <f>$N$55</f>
        <v>108.28</v>
      </c>
      <c r="AF84" s="672"/>
      <c r="AG84" s="667">
        <f t="shared" si="54"/>
        <v>870</v>
      </c>
      <c r="AH84" s="668">
        <f t="shared" si="55"/>
        <v>0.28064516129032258</v>
      </c>
    </row>
    <row r="85" spans="2:36" ht="24.95" customHeight="1">
      <c r="E85" s="1466"/>
      <c r="F85" s="670">
        <f>$O$53</f>
        <v>39.346174999999995</v>
      </c>
      <c r="G85" s="672">
        <f>$O$55</f>
        <v>109.35</v>
      </c>
      <c r="H85" s="667">
        <f>$O$57</f>
        <v>5</v>
      </c>
      <c r="I85" s="668">
        <f t="shared" si="56"/>
        <v>6.1728395061728392E-3</v>
      </c>
      <c r="J85" s="663"/>
      <c r="K85" s="1466"/>
      <c r="L85" s="670">
        <f>$O$53</f>
        <v>39.346174999999995</v>
      </c>
      <c r="M85" s="672">
        <f>$O$55</f>
        <v>109.35</v>
      </c>
      <c r="N85" s="665">
        <f>$O$59</f>
        <v>0</v>
      </c>
      <c r="O85" s="666">
        <f t="shared" si="51"/>
        <v>0</v>
      </c>
      <c r="P85" s="663"/>
      <c r="Q85" s="1466"/>
      <c r="R85" s="670">
        <f>$O$53</f>
        <v>39.346174999999995</v>
      </c>
      <c r="S85" s="672">
        <f>$O$55</f>
        <v>109.35</v>
      </c>
      <c r="T85" s="665">
        <f>$O$61</f>
        <v>0</v>
      </c>
      <c r="U85" s="666">
        <f t="shared" si="52"/>
        <v>0</v>
      </c>
      <c r="V85" s="663"/>
      <c r="W85" s="1466"/>
      <c r="X85" s="670">
        <f>$O$53</f>
        <v>39.346174999999995</v>
      </c>
      <c r="Y85" s="672">
        <f>$O$55</f>
        <v>109.35</v>
      </c>
      <c r="Z85" s="665">
        <f>$O$63</f>
        <v>0</v>
      </c>
      <c r="AA85" s="666">
        <f t="shared" si="53"/>
        <v>0</v>
      </c>
      <c r="AC85" s="1466"/>
      <c r="AD85" s="670">
        <f>$O$53</f>
        <v>39.346174999999995</v>
      </c>
      <c r="AE85" s="672">
        <f>$O$55</f>
        <v>109.35</v>
      </c>
      <c r="AF85" s="672"/>
      <c r="AG85" s="667">
        <f t="shared" si="54"/>
        <v>5</v>
      </c>
      <c r="AH85" s="668">
        <f t="shared" si="55"/>
        <v>1.6129032258064516E-3</v>
      </c>
    </row>
    <row r="86" spans="2:36" ht="24.95" customHeight="1">
      <c r="E86" s="1470" t="s">
        <v>442</v>
      </c>
      <c r="F86" s="670">
        <f>$P$53</f>
        <v>46.451900000000002</v>
      </c>
      <c r="G86" s="672">
        <f>$P$55</f>
        <v>129.33000000000001</v>
      </c>
      <c r="H86" s="667">
        <f>$P$57</f>
        <v>145</v>
      </c>
      <c r="I86" s="668">
        <f t="shared" si="56"/>
        <v>0.17901234567901234</v>
      </c>
      <c r="J86" s="663"/>
      <c r="K86" s="1470" t="s">
        <v>442</v>
      </c>
      <c r="L86" s="670">
        <f>$P$53</f>
        <v>46.451900000000002</v>
      </c>
      <c r="M86" s="672">
        <f>$P$55</f>
        <v>129.33000000000001</v>
      </c>
      <c r="N86" s="665">
        <f>$P$59</f>
        <v>0</v>
      </c>
      <c r="O86" s="666">
        <f t="shared" si="51"/>
        <v>0</v>
      </c>
      <c r="P86" s="663"/>
      <c r="Q86" s="1470" t="s">
        <v>442</v>
      </c>
      <c r="R86" s="670">
        <f>$P$53</f>
        <v>46.451900000000002</v>
      </c>
      <c r="S86" s="672">
        <f>$P$55</f>
        <v>129.33000000000001</v>
      </c>
      <c r="T86" s="665">
        <f>$P$61</f>
        <v>0</v>
      </c>
      <c r="U86" s="666">
        <f t="shared" si="52"/>
        <v>0</v>
      </c>
      <c r="V86" s="663"/>
      <c r="W86" s="1470" t="s">
        <v>442</v>
      </c>
      <c r="X86" s="670">
        <f>$P$53</f>
        <v>46.451900000000002</v>
      </c>
      <c r="Y86" s="672">
        <f>$P$55</f>
        <v>129.33000000000001</v>
      </c>
      <c r="Z86" s="665">
        <f>$P$63</f>
        <v>0</v>
      </c>
      <c r="AA86" s="666">
        <f t="shared" si="53"/>
        <v>0</v>
      </c>
      <c r="AC86" s="1470" t="s">
        <v>442</v>
      </c>
      <c r="AD86" s="670">
        <f>$P$53</f>
        <v>46.451900000000002</v>
      </c>
      <c r="AE86" s="672">
        <f>$P$55</f>
        <v>129.33000000000001</v>
      </c>
      <c r="AF86" s="672"/>
      <c r="AG86" s="667">
        <f t="shared" si="54"/>
        <v>145</v>
      </c>
      <c r="AH86" s="668">
        <f t="shared" si="55"/>
        <v>4.6774193548387098E-2</v>
      </c>
    </row>
    <row r="87" spans="2:36" ht="24.95" customHeight="1">
      <c r="E87" s="1470"/>
      <c r="F87" s="670">
        <f>$P$53</f>
        <v>46.451900000000002</v>
      </c>
      <c r="G87" s="672">
        <f>$Q$55</f>
        <v>142.29</v>
      </c>
      <c r="H87" s="667">
        <f>$Q$57</f>
        <v>2</v>
      </c>
      <c r="I87" s="668">
        <f t="shared" si="56"/>
        <v>2.4691358024691358E-3</v>
      </c>
      <c r="J87" s="663"/>
      <c r="K87" s="1470"/>
      <c r="L87" s="670">
        <f>$P$53</f>
        <v>46.451900000000002</v>
      </c>
      <c r="M87" s="672">
        <f>$Q$55</f>
        <v>142.29</v>
      </c>
      <c r="N87" s="665">
        <f>$Q$59</f>
        <v>0</v>
      </c>
      <c r="O87" s="666">
        <f t="shared" si="51"/>
        <v>0</v>
      </c>
      <c r="P87" s="663"/>
      <c r="Q87" s="1470"/>
      <c r="R87" s="670">
        <f>$P$53</f>
        <v>46.451900000000002</v>
      </c>
      <c r="S87" s="672">
        <f>$Q$55</f>
        <v>142.29</v>
      </c>
      <c r="T87" s="665">
        <f>$Q$61</f>
        <v>0</v>
      </c>
      <c r="U87" s="666">
        <f t="shared" si="52"/>
        <v>0</v>
      </c>
      <c r="V87" s="663"/>
      <c r="W87" s="1470"/>
      <c r="X87" s="670">
        <f>$P$53</f>
        <v>46.451900000000002</v>
      </c>
      <c r="Y87" s="672">
        <f>$Q$55</f>
        <v>142.29</v>
      </c>
      <c r="Z87" s="665">
        <f>$Q$63</f>
        <v>0</v>
      </c>
      <c r="AA87" s="666">
        <f t="shared" si="53"/>
        <v>0</v>
      </c>
      <c r="AC87" s="1470"/>
      <c r="AD87" s="670">
        <f>$P$53</f>
        <v>46.451900000000002</v>
      </c>
      <c r="AE87" s="672">
        <f>$Q$55</f>
        <v>142.29</v>
      </c>
      <c r="AF87" s="672"/>
      <c r="AG87" s="667">
        <f t="shared" si="54"/>
        <v>2</v>
      </c>
      <c r="AH87" s="668">
        <f t="shared" si="55"/>
        <v>6.4516129032258064E-4</v>
      </c>
    </row>
    <row r="88" spans="2:36" ht="24.95" customHeight="1">
      <c r="E88" s="674" t="s">
        <v>443</v>
      </c>
      <c r="F88" s="670">
        <f>$R$53</f>
        <v>55.073149999999998</v>
      </c>
      <c r="G88" s="672">
        <f>$R$55</f>
        <v>157.59</v>
      </c>
      <c r="H88" s="667">
        <f>$R$57</f>
        <v>58</v>
      </c>
      <c r="I88" s="668">
        <f t="shared" si="56"/>
        <v>7.160493827160494E-2</v>
      </c>
      <c r="J88" s="663"/>
      <c r="K88" s="674" t="s">
        <v>443</v>
      </c>
      <c r="L88" s="670">
        <f>$R$53</f>
        <v>55.073149999999998</v>
      </c>
      <c r="M88" s="672">
        <f>$R$55</f>
        <v>157.59</v>
      </c>
      <c r="N88" s="665">
        <f>$R$59</f>
        <v>0</v>
      </c>
      <c r="O88" s="666">
        <f>N88/$N$89</f>
        <v>0</v>
      </c>
      <c r="P88" s="663"/>
      <c r="Q88" s="674" t="s">
        <v>443</v>
      </c>
      <c r="R88" s="670">
        <f>$R$53</f>
        <v>55.073149999999998</v>
      </c>
      <c r="S88" s="672">
        <f>$R$55</f>
        <v>157.59</v>
      </c>
      <c r="T88" s="665">
        <f>$R$61</f>
        <v>0</v>
      </c>
      <c r="U88" s="666">
        <f>T88/$T$89</f>
        <v>0</v>
      </c>
      <c r="V88" s="663"/>
      <c r="W88" s="674" t="s">
        <v>443</v>
      </c>
      <c r="X88" s="670">
        <f>$R$53</f>
        <v>55.073149999999998</v>
      </c>
      <c r="Y88" s="672">
        <f>$R$55</f>
        <v>157.59</v>
      </c>
      <c r="Z88" s="665">
        <f>$R$63</f>
        <v>0</v>
      </c>
      <c r="AA88" s="666">
        <f>Z88/$T$89</f>
        <v>0</v>
      </c>
      <c r="AC88" s="674" t="s">
        <v>443</v>
      </c>
      <c r="AD88" s="670">
        <f>$R$53</f>
        <v>55.073149999999998</v>
      </c>
      <c r="AE88" s="672">
        <f>$R$55</f>
        <v>157.59</v>
      </c>
      <c r="AF88" s="672"/>
      <c r="AG88" s="667">
        <f t="shared" si="54"/>
        <v>58</v>
      </c>
      <c r="AH88" s="668">
        <f t="shared" si="55"/>
        <v>1.870967741935484E-2</v>
      </c>
    </row>
    <row r="89" spans="2:36" ht="24.95" customHeight="1">
      <c r="E89" s="1489" t="s">
        <v>424</v>
      </c>
      <c r="F89" s="1490"/>
      <c r="G89" s="1491"/>
      <c r="H89" s="669">
        <f>SUM(H75:H88)</f>
        <v>810</v>
      </c>
      <c r="I89" s="664"/>
      <c r="J89" s="663"/>
      <c r="K89" s="1489" t="s">
        <v>424</v>
      </c>
      <c r="L89" s="1490"/>
      <c r="M89" s="1491"/>
      <c r="N89" s="669">
        <f>SUM(N75:N88)</f>
        <v>540</v>
      </c>
      <c r="O89" s="664"/>
      <c r="P89" s="663"/>
      <c r="Q89" s="1489" t="s">
        <v>424</v>
      </c>
      <c r="R89" s="1490"/>
      <c r="S89" s="1491"/>
      <c r="T89" s="669">
        <f>SUM(T75:T88)</f>
        <v>858</v>
      </c>
      <c r="U89" s="664"/>
      <c r="V89" s="663"/>
      <c r="W89" s="1489" t="s">
        <v>424</v>
      </c>
      <c r="X89" s="1490"/>
      <c r="Y89" s="1491"/>
      <c r="Z89" s="669">
        <f>SUM(Z75:Z88)</f>
        <v>892</v>
      </c>
      <c r="AA89" s="664"/>
      <c r="AC89" s="1489" t="s">
        <v>47</v>
      </c>
      <c r="AD89" s="1490"/>
      <c r="AE89" s="1491"/>
      <c r="AF89" s="691"/>
      <c r="AG89" s="669">
        <f>SUM(AG75:AG88)</f>
        <v>3100</v>
      </c>
      <c r="AH89" s="664"/>
    </row>
    <row r="90" spans="2:36" ht="5.0999999999999996" customHeight="1"/>
    <row r="91" spans="2:36" ht="5.0999999999999996" customHeight="1" thickBot="1"/>
    <row r="92" spans="2:36" ht="24.95" customHeight="1" thickBot="1">
      <c r="B92" s="688" t="s">
        <v>432</v>
      </c>
      <c r="E92" s="1471" t="s">
        <v>427</v>
      </c>
      <c r="F92" s="1472"/>
      <c r="G92" s="1472"/>
      <c r="H92" s="1472"/>
      <c r="I92" s="1473"/>
      <c r="K92" s="1474" t="s">
        <v>426</v>
      </c>
      <c r="L92" s="1475"/>
      <c r="M92" s="1475"/>
      <c r="N92" s="1475"/>
      <c r="O92" s="1476"/>
      <c r="Q92" s="1467" t="s">
        <v>425</v>
      </c>
      <c r="R92" s="1468"/>
      <c r="S92" s="1468"/>
      <c r="T92" s="1468"/>
      <c r="U92" s="1469"/>
      <c r="W92" s="1477" t="s">
        <v>428</v>
      </c>
      <c r="X92" s="1478"/>
      <c r="Y92" s="1478"/>
      <c r="Z92" s="1478"/>
      <c r="AA92" s="1479"/>
      <c r="AC92" s="1544" t="s">
        <v>434</v>
      </c>
      <c r="AD92" s="1545"/>
      <c r="AE92" s="1545"/>
      <c r="AF92" s="1545"/>
      <c r="AG92" s="1545"/>
      <c r="AH92" s="1546"/>
    </row>
    <row r="93" spans="2:36" ht="24.95" customHeight="1">
      <c r="B93" s="680" t="s">
        <v>430</v>
      </c>
      <c r="E93" s="1462" t="s">
        <v>421</v>
      </c>
      <c r="F93" s="1463"/>
      <c r="G93" s="671" t="s">
        <v>429</v>
      </c>
      <c r="H93" s="662" t="s">
        <v>422</v>
      </c>
      <c r="I93" s="662" t="s">
        <v>423</v>
      </c>
      <c r="J93" s="663"/>
      <c r="K93" s="1462" t="s">
        <v>421</v>
      </c>
      <c r="L93" s="1463"/>
      <c r="M93" s="671" t="s">
        <v>429</v>
      </c>
      <c r="N93" s="662" t="s">
        <v>422</v>
      </c>
      <c r="O93" s="662" t="s">
        <v>423</v>
      </c>
      <c r="P93" s="663"/>
      <c r="Q93" s="1462" t="s">
        <v>421</v>
      </c>
      <c r="R93" s="1463"/>
      <c r="S93" s="671" t="s">
        <v>429</v>
      </c>
      <c r="T93" s="662" t="s">
        <v>422</v>
      </c>
      <c r="U93" s="662" t="s">
        <v>423</v>
      </c>
      <c r="V93" s="663"/>
      <c r="W93" s="1462" t="s">
        <v>421</v>
      </c>
      <c r="X93" s="1463"/>
      <c r="Y93" s="671" t="s">
        <v>429</v>
      </c>
      <c r="Z93" s="662" t="s">
        <v>422</v>
      </c>
      <c r="AA93" s="662" t="s">
        <v>423</v>
      </c>
      <c r="AC93" s="1462" t="s">
        <v>421</v>
      </c>
      <c r="AD93" s="1463"/>
      <c r="AE93" s="671" t="s">
        <v>406</v>
      </c>
      <c r="AF93" s="662"/>
      <c r="AG93" s="662" t="s">
        <v>2</v>
      </c>
      <c r="AH93" s="662" t="s">
        <v>423</v>
      </c>
    </row>
    <row r="94" spans="2:36" ht="24.95" customHeight="1">
      <c r="B94" s="679" t="s">
        <v>431</v>
      </c>
      <c r="E94" s="1464" t="s">
        <v>455</v>
      </c>
      <c r="F94" s="681">
        <f>$W$53</f>
        <v>25.013724999999997</v>
      </c>
      <c r="G94" s="682">
        <f>$W$55</f>
        <v>59.99</v>
      </c>
      <c r="H94" s="683">
        <f>$W$57</f>
        <v>53</v>
      </c>
      <c r="I94" s="684">
        <f>H94/$H$113</f>
        <v>3.3001245330012453E-2</v>
      </c>
      <c r="J94" s="663"/>
      <c r="K94" s="1464" t="s">
        <v>455</v>
      </c>
      <c r="L94" s="681">
        <f>$W$53</f>
        <v>25.013724999999997</v>
      </c>
      <c r="M94" s="682">
        <f>$W$55</f>
        <v>59.99</v>
      </c>
      <c r="N94" s="683">
        <f>$W$59-394</f>
        <v>-325</v>
      </c>
      <c r="O94" s="684">
        <f t="shared" ref="O94:O101" si="57">N94/$N$113</f>
        <v>-2.018633540372671</v>
      </c>
      <c r="P94" s="663"/>
      <c r="Q94" s="1464" t="s">
        <v>455</v>
      </c>
      <c r="R94" s="681">
        <f>$W$53</f>
        <v>25.013724999999997</v>
      </c>
      <c r="S94" s="682">
        <f>$W$55</f>
        <v>59.99</v>
      </c>
      <c r="T94" s="683"/>
      <c r="U94" s="684" t="e">
        <f t="shared" ref="U94:U101" si="58">T94/$T$113</f>
        <v>#DIV/0!</v>
      </c>
      <c r="V94" s="709"/>
      <c r="W94" s="1464" t="s">
        <v>455</v>
      </c>
      <c r="X94" s="681">
        <f>$W$53</f>
        <v>25.013724999999997</v>
      </c>
      <c r="Y94" s="682">
        <f>$W$55</f>
        <v>59.99</v>
      </c>
      <c r="Z94" s="683">
        <f>W63-81</f>
        <v>-24</v>
      </c>
      <c r="AA94" s="684">
        <f>Z94/$Z$113</f>
        <v>-1.6238159675236806E-2</v>
      </c>
      <c r="AC94" s="1464" t="s">
        <v>455</v>
      </c>
      <c r="AD94" s="681">
        <f>$W$53</f>
        <v>25.013724999999997</v>
      </c>
      <c r="AE94" s="682">
        <f>$W$55</f>
        <v>59.99</v>
      </c>
      <c r="AF94" s="682"/>
      <c r="AG94" s="683">
        <f>H94+N94+T94+Z94</f>
        <v>-296</v>
      </c>
      <c r="AH94" s="684">
        <f t="shared" ref="AH94:AH107" si="59">AG94/$AG$114</f>
        <v>-9.1217257318952236E-2</v>
      </c>
      <c r="AI94" s="1454">
        <f>AH94+AH95+AH96</f>
        <v>1.7565485362095533E-2</v>
      </c>
      <c r="AJ94" s="1454">
        <f>AI94</f>
        <v>1.7565485362095533E-2</v>
      </c>
    </row>
    <row r="95" spans="2:36" ht="24.95" customHeight="1">
      <c r="E95" s="1465"/>
      <c r="F95" s="675">
        <f>$X$53</f>
        <v>25.013724999999997</v>
      </c>
      <c r="G95" s="676">
        <f>$X$55</f>
        <v>59.99</v>
      </c>
      <c r="H95" s="677">
        <f>$X$57</f>
        <v>181</v>
      </c>
      <c r="I95" s="678">
        <f>H95/$H$113</f>
        <v>0.11270236612702367</v>
      </c>
      <c r="J95" s="663"/>
      <c r="K95" s="1465"/>
      <c r="L95" s="675">
        <f>$X$53</f>
        <v>25.013724999999997</v>
      </c>
      <c r="M95" s="676">
        <f>$X$55</f>
        <v>59.99</v>
      </c>
      <c r="N95" s="677">
        <f>$X$59</f>
        <v>0</v>
      </c>
      <c r="O95" s="678">
        <f t="shared" si="57"/>
        <v>0</v>
      </c>
      <c r="P95" s="663"/>
      <c r="Q95" s="1465"/>
      <c r="R95" s="675">
        <f>$X$53</f>
        <v>25.013724999999997</v>
      </c>
      <c r="S95" s="676">
        <f>$X$55</f>
        <v>59.99</v>
      </c>
      <c r="T95" s="677"/>
      <c r="U95" s="678" t="e">
        <f t="shared" si="58"/>
        <v>#DIV/0!</v>
      </c>
      <c r="V95" s="663"/>
      <c r="W95" s="1465"/>
      <c r="X95" s="675">
        <f>$X$53</f>
        <v>25.013724999999997</v>
      </c>
      <c r="Y95" s="676">
        <f>$X$55</f>
        <v>59.99</v>
      </c>
      <c r="Z95" s="677">
        <f>$X$63</f>
        <v>166</v>
      </c>
      <c r="AA95" s="678">
        <f>Z95/$Z$113</f>
        <v>0.11231393775372124</v>
      </c>
      <c r="AC95" s="1465"/>
      <c r="AD95" s="675">
        <f>$X$53</f>
        <v>25.013724999999997</v>
      </c>
      <c r="AE95" s="676">
        <f>$X$55</f>
        <v>59.99</v>
      </c>
      <c r="AF95" s="676"/>
      <c r="AG95" s="689">
        <f>H95+N95+T95+Z95</f>
        <v>347</v>
      </c>
      <c r="AH95" s="678">
        <f t="shared" si="59"/>
        <v>0.10693374422187982</v>
      </c>
      <c r="AI95" s="1455"/>
      <c r="AJ95" s="1455"/>
    </row>
    <row r="96" spans="2:36" ht="24.95" customHeight="1">
      <c r="E96" s="1466"/>
      <c r="F96" s="670"/>
      <c r="G96" s="664"/>
      <c r="H96" s="667"/>
      <c r="I96" s="668"/>
      <c r="J96" s="663"/>
      <c r="K96" s="1466"/>
      <c r="L96" s="670">
        <f>$W$53</f>
        <v>25.013724999999997</v>
      </c>
      <c r="M96" s="664">
        <f>$W$55</f>
        <v>59.99</v>
      </c>
      <c r="N96" s="692">
        <f>$W$59-56</f>
        <v>13</v>
      </c>
      <c r="O96" s="668">
        <f t="shared" si="57"/>
        <v>8.0745341614906832E-2</v>
      </c>
      <c r="P96" s="663"/>
      <c r="Q96" s="1466"/>
      <c r="R96" s="670">
        <f>$W$53</f>
        <v>25.013724999999997</v>
      </c>
      <c r="S96" s="664">
        <f>$W$55</f>
        <v>59.99</v>
      </c>
      <c r="T96" s="692"/>
      <c r="U96" s="668" t="e">
        <f t="shared" si="58"/>
        <v>#DIV/0!</v>
      </c>
      <c r="V96" s="663"/>
      <c r="W96" s="1465"/>
      <c r="X96" s="670">
        <f>$W$53</f>
        <v>25.013724999999997</v>
      </c>
      <c r="Y96" s="664">
        <f>$W$55</f>
        <v>59.99</v>
      </c>
      <c r="Z96" s="692">
        <f>W63-64</f>
        <v>-7</v>
      </c>
      <c r="AA96" s="668">
        <f>Z96/$Z$113</f>
        <v>-4.736129905277402E-3</v>
      </c>
      <c r="AC96" s="1465"/>
      <c r="AD96" s="670">
        <f>$W$53</f>
        <v>25.013724999999997</v>
      </c>
      <c r="AE96" s="664">
        <f>$W$55</f>
        <v>59.99</v>
      </c>
      <c r="AF96" s="664"/>
      <c r="AG96" s="667">
        <f>T96+N96+Z96</f>
        <v>6</v>
      </c>
      <c r="AH96" s="668">
        <f t="shared" si="59"/>
        <v>1.8489984591679508E-3</v>
      </c>
      <c r="AI96" s="1455"/>
      <c r="AJ96" s="1455"/>
    </row>
    <row r="97" spans="5:37" ht="24.95" customHeight="1">
      <c r="E97" s="1464" t="s">
        <v>444</v>
      </c>
      <c r="F97" s="681">
        <f>$Y$53</f>
        <v>30.407299999999999</v>
      </c>
      <c r="G97" s="682">
        <f>$Y$55</f>
        <v>74.989999999999995</v>
      </c>
      <c r="H97" s="683">
        <f>$Y$57-84</f>
        <v>12</v>
      </c>
      <c r="I97" s="684">
        <f>H97/$H$113</f>
        <v>7.4719800747198011E-3</v>
      </c>
      <c r="J97" s="663"/>
      <c r="K97" s="1464" t="s">
        <v>444</v>
      </c>
      <c r="L97" s="681">
        <f>$Y$53</f>
        <v>30.407299999999999</v>
      </c>
      <c r="M97" s="682">
        <f>$Y$55</f>
        <v>74.989999999999995</v>
      </c>
      <c r="N97" s="683">
        <f>$Y$59-350</f>
        <v>-164</v>
      </c>
      <c r="O97" s="684">
        <f t="shared" si="57"/>
        <v>-1.0186335403726707</v>
      </c>
      <c r="P97" s="663"/>
      <c r="Q97" s="1464" t="s">
        <v>444</v>
      </c>
      <c r="R97" s="681">
        <f>$Y$53</f>
        <v>30.407299999999999</v>
      </c>
      <c r="S97" s="682">
        <f>$Y$55</f>
        <v>74.989999999999995</v>
      </c>
      <c r="T97" s="683"/>
      <c r="U97" s="684" t="e">
        <f t="shared" si="58"/>
        <v>#DIV/0!</v>
      </c>
      <c r="V97" s="663"/>
      <c r="W97" s="1466"/>
      <c r="X97" s="670"/>
      <c r="Y97" s="664"/>
      <c r="Z97" s="667"/>
      <c r="AA97" s="668"/>
      <c r="AC97" s="1466"/>
      <c r="AD97" s="670"/>
      <c r="AE97" s="664"/>
      <c r="AF97" s="664"/>
      <c r="AG97" s="667"/>
      <c r="AH97" s="668">
        <f t="shared" si="59"/>
        <v>0</v>
      </c>
      <c r="AI97" s="1456"/>
      <c r="AJ97" s="1456"/>
    </row>
    <row r="98" spans="5:37" ht="24.95" customHeight="1">
      <c r="E98" s="1466"/>
      <c r="F98" s="670">
        <f>$Y$53</f>
        <v>30.407299999999999</v>
      </c>
      <c r="G98" s="664">
        <f>$Y$55</f>
        <v>74.989999999999995</v>
      </c>
      <c r="H98" s="667">
        <v>84</v>
      </c>
      <c r="I98" s="668">
        <f>H98/$H$113</f>
        <v>5.2303860523038606E-2</v>
      </c>
      <c r="J98" s="663"/>
      <c r="K98" s="1466"/>
      <c r="L98" s="670">
        <f>$Y$53</f>
        <v>30.407299999999999</v>
      </c>
      <c r="M98" s="664">
        <f>$Y$55</f>
        <v>74.989999999999995</v>
      </c>
      <c r="N98" s="667">
        <f>$Y$59-18</f>
        <v>168</v>
      </c>
      <c r="O98" s="668">
        <f t="shared" si="57"/>
        <v>1.0434782608695652</v>
      </c>
      <c r="P98" s="663"/>
      <c r="Q98" s="1466"/>
      <c r="R98" s="670">
        <f>$Y$53</f>
        <v>30.407299999999999</v>
      </c>
      <c r="S98" s="664">
        <f>$Y$55</f>
        <v>74.989999999999995</v>
      </c>
      <c r="T98" s="667"/>
      <c r="U98" s="668" t="e">
        <f t="shared" si="58"/>
        <v>#DIV/0!</v>
      </c>
      <c r="V98" s="663"/>
      <c r="W98" s="1464" t="s">
        <v>444</v>
      </c>
      <c r="X98" s="681">
        <f>$Y$53</f>
        <v>30.407299999999999</v>
      </c>
      <c r="Y98" s="682">
        <f>$Y$55</f>
        <v>74.989999999999995</v>
      </c>
      <c r="Z98" s="683">
        <f>$Y$63-239</f>
        <v>1</v>
      </c>
      <c r="AA98" s="684">
        <f>Z98/$Z$113</f>
        <v>6.7658998646820032E-4</v>
      </c>
      <c r="AB98" s="712"/>
      <c r="AC98" s="1464" t="s">
        <v>444</v>
      </c>
      <c r="AD98" s="681">
        <f>$Y$53</f>
        <v>30.407299999999999</v>
      </c>
      <c r="AE98" s="682">
        <f>$Y$55</f>
        <v>74.989999999999995</v>
      </c>
      <c r="AF98" s="682"/>
      <c r="AG98" s="683">
        <f>Z98+N97+T97+H97</f>
        <v>-151</v>
      </c>
      <c r="AH98" s="684">
        <f t="shared" si="59"/>
        <v>-4.653312788906009E-2</v>
      </c>
      <c r="AI98" s="1457">
        <f>AH98+AH99</f>
        <v>0.10354391371340524</v>
      </c>
      <c r="AJ98" s="1457">
        <f>AI98+AI100</f>
        <v>0.38767334360554695</v>
      </c>
      <c r="AK98">
        <v>100.52</v>
      </c>
    </row>
    <row r="99" spans="5:37" ht="24.95" customHeight="1">
      <c r="E99" s="1464" t="s">
        <v>449</v>
      </c>
      <c r="F99" s="681">
        <f>$Z$53</f>
        <v>34.693725000000001</v>
      </c>
      <c r="G99" s="682">
        <f>$Z$55</f>
        <v>84.99</v>
      </c>
      <c r="H99" s="683"/>
      <c r="I99" s="684">
        <f>H99/$H$113</f>
        <v>0</v>
      </c>
      <c r="J99" s="663"/>
      <c r="K99" s="1464" t="s">
        <v>449</v>
      </c>
      <c r="L99" s="681">
        <f>$Z$53</f>
        <v>34.693725000000001</v>
      </c>
      <c r="M99" s="682">
        <f>$Z$55</f>
        <v>84.99</v>
      </c>
      <c r="N99" s="683">
        <f>$Z$59-203</f>
        <v>4</v>
      </c>
      <c r="O99" s="684">
        <f t="shared" si="57"/>
        <v>2.4844720496894408E-2</v>
      </c>
      <c r="P99" s="663"/>
      <c r="Q99" s="1464" t="s">
        <v>449</v>
      </c>
      <c r="R99" s="681">
        <f>$Z$53</f>
        <v>34.693725000000001</v>
      </c>
      <c r="S99" s="682">
        <f>$Z$55</f>
        <v>84.99</v>
      </c>
      <c r="T99" s="683"/>
      <c r="U99" s="684" t="e">
        <f t="shared" si="58"/>
        <v>#DIV/0!</v>
      </c>
      <c r="V99" s="663"/>
      <c r="W99" s="1466"/>
      <c r="X99" s="670">
        <f>$Y$53</f>
        <v>30.407299999999999</v>
      </c>
      <c r="Y99" s="664">
        <f>$Y$55</f>
        <v>74.989999999999995</v>
      </c>
      <c r="Z99" s="667">
        <f>$Y$63-5</f>
        <v>235</v>
      </c>
      <c r="AA99" s="668">
        <f t="shared" ref="AA99" si="60">Z99/$Z$113</f>
        <v>0.15899864682002707</v>
      </c>
      <c r="AC99" s="1466"/>
      <c r="AD99" s="670">
        <f>$Y$53</f>
        <v>30.407299999999999</v>
      </c>
      <c r="AE99" s="664">
        <f>$Y$55</f>
        <v>74.989999999999995</v>
      </c>
      <c r="AF99" s="664"/>
      <c r="AG99" s="667">
        <f>Z99+T98+N98+H98</f>
        <v>487</v>
      </c>
      <c r="AH99" s="668">
        <f t="shared" si="59"/>
        <v>0.15007704160246532</v>
      </c>
      <c r="AI99" s="1458"/>
      <c r="AJ99" s="1459"/>
    </row>
    <row r="100" spans="5:37" ht="24.95" customHeight="1">
      <c r="E100" s="1465"/>
      <c r="F100" s="675">
        <f>$AA$53</f>
        <v>34.693725000000001</v>
      </c>
      <c r="G100" s="676">
        <f>$AA$55</f>
        <v>84.99</v>
      </c>
      <c r="H100" s="677">
        <f>$AA$57</f>
        <v>25</v>
      </c>
      <c r="I100" s="678">
        <f>H100/$H$113</f>
        <v>1.5566625155666251E-2</v>
      </c>
      <c r="J100" s="663"/>
      <c r="K100" s="1465"/>
      <c r="L100" s="675">
        <f>$AA$53</f>
        <v>34.693725000000001</v>
      </c>
      <c r="M100" s="676">
        <f>$AA$55</f>
        <v>84.99</v>
      </c>
      <c r="N100" s="677">
        <f>$AA$59</f>
        <v>12</v>
      </c>
      <c r="O100" s="678">
        <f t="shared" si="57"/>
        <v>7.4534161490683232E-2</v>
      </c>
      <c r="P100" s="663"/>
      <c r="Q100" s="1465"/>
      <c r="R100" s="675">
        <f>$AA$53</f>
        <v>34.693725000000001</v>
      </c>
      <c r="S100" s="676">
        <f>$AA$55</f>
        <v>84.99</v>
      </c>
      <c r="T100" s="677"/>
      <c r="U100" s="678" t="e">
        <f t="shared" si="58"/>
        <v>#DIV/0!</v>
      </c>
      <c r="V100" s="663"/>
      <c r="W100" s="1464" t="s">
        <v>449</v>
      </c>
      <c r="X100" s="681">
        <f>$Z$53</f>
        <v>34.693725000000001</v>
      </c>
      <c r="Y100" s="682">
        <f>$Z$55</f>
        <v>84.99</v>
      </c>
      <c r="Z100" s="683">
        <f>$Z$63-399</f>
        <v>140</v>
      </c>
      <c r="AA100" s="684">
        <f>Z100/$Z$113</f>
        <v>9.4722598105548034E-2</v>
      </c>
      <c r="AC100" s="1464" t="s">
        <v>449</v>
      </c>
      <c r="AD100" s="681">
        <f>$Z$53</f>
        <v>34.693725000000001</v>
      </c>
      <c r="AE100" s="682">
        <f>$Z$55</f>
        <v>84.99</v>
      </c>
      <c r="AF100" s="682"/>
      <c r="AG100" s="683">
        <f>Z100+N99+H99+T99</f>
        <v>144</v>
      </c>
      <c r="AH100" s="684">
        <f t="shared" si="59"/>
        <v>4.4375963020030815E-2</v>
      </c>
      <c r="AI100" s="1457">
        <f>AH100+AH101+AH102</f>
        <v>0.28412942989214174</v>
      </c>
      <c r="AJ100" s="1459"/>
      <c r="AK100">
        <v>114.69</v>
      </c>
    </row>
    <row r="101" spans="5:37" ht="24.95" customHeight="1">
      <c r="E101" s="1465"/>
      <c r="F101" s="670">
        <f>$Z$53</f>
        <v>34.693725000000001</v>
      </c>
      <c r="G101" s="664">
        <f>$Z$55</f>
        <v>84.99</v>
      </c>
      <c r="H101" s="692">
        <f>Z57-H99</f>
        <v>209</v>
      </c>
      <c r="I101" s="693">
        <f>H101/$H$113</f>
        <v>0.13013698630136986</v>
      </c>
      <c r="J101" s="663"/>
      <c r="K101" s="1465"/>
      <c r="L101" s="670">
        <f>$Z$53</f>
        <v>34.693725000000001</v>
      </c>
      <c r="M101" s="664">
        <f>$Z$55</f>
        <v>84.99</v>
      </c>
      <c r="N101" s="667">
        <f>$Z$59-101</f>
        <v>106</v>
      </c>
      <c r="O101" s="668">
        <f t="shared" si="57"/>
        <v>0.65838509316770188</v>
      </c>
      <c r="P101" s="663"/>
      <c r="Q101" s="1465"/>
      <c r="R101" s="670">
        <f>$Z$53</f>
        <v>34.693725000000001</v>
      </c>
      <c r="S101" s="664">
        <f>$Z$55</f>
        <v>84.99</v>
      </c>
      <c r="T101" s="667"/>
      <c r="U101" s="668" t="e">
        <f t="shared" si="58"/>
        <v>#DIV/0!</v>
      </c>
      <c r="V101" s="663"/>
      <c r="W101" s="1465"/>
      <c r="X101" s="675">
        <f>$AA$53</f>
        <v>34.693725000000001</v>
      </c>
      <c r="Y101" s="676">
        <f>$AA$55</f>
        <v>84.99</v>
      </c>
      <c r="Z101" s="677">
        <f>$AA$63</f>
        <v>18</v>
      </c>
      <c r="AA101" s="678">
        <f>Z101/$Z$113</f>
        <v>1.2178619756427604E-2</v>
      </c>
      <c r="AC101" s="1465"/>
      <c r="AD101" s="675">
        <f>$AA$53</f>
        <v>34.693725000000001</v>
      </c>
      <c r="AE101" s="676">
        <f>$AA$55</f>
        <v>84.99</v>
      </c>
      <c r="AF101" s="676"/>
      <c r="AG101" s="689">
        <f>Z101+T100+N100+H100</f>
        <v>55</v>
      </c>
      <c r="AH101" s="678">
        <f t="shared" si="59"/>
        <v>1.6949152542372881E-2</v>
      </c>
      <c r="AI101" s="1459"/>
      <c r="AJ101" s="1459"/>
    </row>
    <row r="102" spans="5:37" ht="24.95" customHeight="1">
      <c r="E102" s="1465"/>
      <c r="F102" s="670"/>
      <c r="G102" s="664"/>
      <c r="H102" s="667"/>
      <c r="I102" s="668"/>
      <c r="J102" s="663"/>
      <c r="K102" s="1465"/>
      <c r="L102" s="670"/>
      <c r="M102" s="664"/>
      <c r="N102" s="667"/>
      <c r="O102" s="668"/>
      <c r="P102" s="663"/>
      <c r="Q102" s="1465"/>
      <c r="R102" s="670"/>
      <c r="S102" s="664"/>
      <c r="T102" s="667"/>
      <c r="U102" s="668"/>
      <c r="V102" s="663"/>
      <c r="W102" s="1465"/>
      <c r="X102" s="670">
        <f>$Z$53</f>
        <v>34.693725000000001</v>
      </c>
      <c r="Y102" s="664">
        <f>$Z$55</f>
        <v>84.99</v>
      </c>
      <c r="Z102" s="667">
        <f>$Z$63-131</f>
        <v>408</v>
      </c>
      <c r="AA102" s="668">
        <f>Z102/$Z$113</f>
        <v>0.27604871447902574</v>
      </c>
      <c r="AC102" s="1465"/>
      <c r="AD102" s="670">
        <f>$Z$53</f>
        <v>34.693725000000001</v>
      </c>
      <c r="AE102" s="664">
        <f>$Z$55</f>
        <v>84.99</v>
      </c>
      <c r="AF102" s="664"/>
      <c r="AG102" s="667">
        <f>Z102+T101+N101+H101</f>
        <v>723</v>
      </c>
      <c r="AH102" s="668">
        <f t="shared" si="59"/>
        <v>0.22280431432973805</v>
      </c>
      <c r="AI102" s="1459"/>
      <c r="AJ102" s="1459"/>
    </row>
    <row r="103" spans="5:37" ht="24.95" customHeight="1">
      <c r="E103" s="1466"/>
      <c r="F103" s="670"/>
      <c r="G103" s="664"/>
      <c r="H103" s="667"/>
      <c r="I103" s="668"/>
      <c r="J103" s="663"/>
      <c r="K103" s="1466"/>
      <c r="L103" s="670"/>
      <c r="M103" s="664"/>
      <c r="N103" s="667"/>
      <c r="O103" s="668"/>
      <c r="P103" s="663"/>
      <c r="Q103" s="1466"/>
      <c r="R103" s="670"/>
      <c r="S103" s="664"/>
      <c r="T103" s="667"/>
      <c r="U103" s="668"/>
      <c r="V103" s="663"/>
      <c r="W103" s="1466"/>
      <c r="X103" s="670"/>
      <c r="Y103" s="664"/>
      <c r="Z103" s="667"/>
      <c r="AA103" s="668"/>
      <c r="AC103" s="1466"/>
      <c r="AD103" s="670"/>
      <c r="AE103" s="664"/>
      <c r="AF103" s="664"/>
      <c r="AG103" s="667"/>
      <c r="AH103" s="668">
        <f t="shared" si="59"/>
        <v>0</v>
      </c>
      <c r="AI103" s="1458"/>
      <c r="AJ103" s="1458"/>
    </row>
    <row r="104" spans="5:37" ht="24.95" customHeight="1">
      <c r="E104" s="1464" t="s">
        <v>447</v>
      </c>
      <c r="F104" s="681">
        <f>$AB$53</f>
        <v>40.084274999999998</v>
      </c>
      <c r="G104" s="682">
        <f>$AB$55</f>
        <v>99.99</v>
      </c>
      <c r="H104" s="683">
        <f>$AB$57-176</f>
        <v>148</v>
      </c>
      <c r="I104" s="684">
        <f t="shared" ref="I104:I112" si="61">H104/$H$113</f>
        <v>9.2154420921544203E-2</v>
      </c>
      <c r="J104" s="663"/>
      <c r="K104" s="1464" t="s">
        <v>447</v>
      </c>
      <c r="L104" s="681">
        <f>$AB$53</f>
        <v>40.084274999999998</v>
      </c>
      <c r="M104" s="682">
        <f>$AB$55</f>
        <v>99.99</v>
      </c>
      <c r="N104" s="683">
        <f>$AB$59</f>
        <v>160</v>
      </c>
      <c r="O104" s="684">
        <f>N104/$N$113</f>
        <v>0.99378881987577639</v>
      </c>
      <c r="P104" s="663"/>
      <c r="Q104" s="1464" t="s">
        <v>447</v>
      </c>
      <c r="R104" s="681">
        <f>$AB$53</f>
        <v>40.084274999999998</v>
      </c>
      <c r="S104" s="682">
        <f>$AB$55</f>
        <v>99.99</v>
      </c>
      <c r="T104" s="683"/>
      <c r="U104" s="684" t="e">
        <f>T104/$T$113</f>
        <v>#DIV/0!</v>
      </c>
      <c r="V104" s="663"/>
      <c r="W104" s="1464" t="s">
        <v>447</v>
      </c>
      <c r="X104" s="681">
        <f>$AB$53</f>
        <v>40.084274999999998</v>
      </c>
      <c r="Y104" s="682">
        <f>$AB$55</f>
        <v>99.99</v>
      </c>
      <c r="Z104" s="683">
        <f>$AB$63-140</f>
        <v>115</v>
      </c>
      <c r="AA104" s="684">
        <f>Z104/$Z$113</f>
        <v>7.7807848443843031E-2</v>
      </c>
      <c r="AC104" s="1464" t="s">
        <v>447</v>
      </c>
      <c r="AD104" s="681">
        <f>$AB$53</f>
        <v>40.084274999999998</v>
      </c>
      <c r="AE104" s="682">
        <f>$AB$55</f>
        <v>99.99</v>
      </c>
      <c r="AF104" s="682"/>
      <c r="AG104" s="683">
        <f>Z104+N104+H104+T104</f>
        <v>423</v>
      </c>
      <c r="AH104" s="684">
        <f t="shared" si="59"/>
        <v>0.13035439137134053</v>
      </c>
      <c r="AI104" s="1460">
        <f>AH104+AH105</f>
        <v>0.25885978428351308</v>
      </c>
      <c r="AJ104" s="1457">
        <f>AI104+AI106</f>
        <v>0.5238828967642527</v>
      </c>
      <c r="AK104">
        <v>132.51</v>
      </c>
    </row>
    <row r="105" spans="5:37" ht="24.95" customHeight="1">
      <c r="E105" s="1466"/>
      <c r="F105" s="670">
        <f>$AB$53</f>
        <v>40.084274999999998</v>
      </c>
      <c r="G105" s="664">
        <f>$AB$55</f>
        <v>99.99</v>
      </c>
      <c r="H105" s="667">
        <f>$AB$57-84</f>
        <v>240</v>
      </c>
      <c r="I105" s="668">
        <f t="shared" si="61"/>
        <v>0.149439601494396</v>
      </c>
      <c r="J105" s="663"/>
      <c r="K105" s="1466"/>
      <c r="L105" s="670"/>
      <c r="M105" s="664"/>
      <c r="N105" s="667"/>
      <c r="O105" s="668"/>
      <c r="P105" s="663"/>
      <c r="Q105" s="1466"/>
      <c r="R105" s="670"/>
      <c r="S105" s="664"/>
      <c r="T105" s="667"/>
      <c r="U105" s="668"/>
      <c r="V105" s="663"/>
      <c r="W105" s="1466"/>
      <c r="X105" s="670">
        <f>$AB$53</f>
        <v>40.084274999999998</v>
      </c>
      <c r="Y105" s="664">
        <f>$AB$55</f>
        <v>99.99</v>
      </c>
      <c r="Z105" s="667">
        <f>$AB$63-78</f>
        <v>177</v>
      </c>
      <c r="AA105" s="668">
        <f>Z105/$Z$113</f>
        <v>0.11975642760487144</v>
      </c>
      <c r="AC105" s="1466"/>
      <c r="AD105" s="670">
        <f>$AB$53</f>
        <v>40.084274999999998</v>
      </c>
      <c r="AE105" s="664">
        <f>$AB$55</f>
        <v>99.99</v>
      </c>
      <c r="AF105" s="664"/>
      <c r="AG105" s="667">
        <f>Z105+H105</f>
        <v>417</v>
      </c>
      <c r="AH105" s="668">
        <f t="shared" si="59"/>
        <v>0.12850539291217258</v>
      </c>
      <c r="AI105" s="1461"/>
      <c r="AJ105" s="1459"/>
    </row>
    <row r="106" spans="5:37" ht="24.95" customHeight="1">
      <c r="E106" s="1464" t="s">
        <v>435</v>
      </c>
      <c r="F106" s="681">
        <f>$AC$53</f>
        <v>45.099724999999999</v>
      </c>
      <c r="G106" s="682">
        <f>$AC$55</f>
        <v>114.99</v>
      </c>
      <c r="H106" s="683">
        <f>$AC$57-385</f>
        <v>51</v>
      </c>
      <c r="I106" s="684">
        <f t="shared" si="61"/>
        <v>3.1755915317559155E-2</v>
      </c>
      <c r="J106" s="663"/>
      <c r="K106" s="1464" t="s">
        <v>435</v>
      </c>
      <c r="L106" s="681">
        <f>$AC$53</f>
        <v>45.099724999999999</v>
      </c>
      <c r="M106" s="682">
        <f>$AC$55</f>
        <v>114.99</v>
      </c>
      <c r="N106" s="683">
        <f>AC59</f>
        <v>185</v>
      </c>
      <c r="O106" s="684">
        <f>N106/$N$113</f>
        <v>1.1490683229813665</v>
      </c>
      <c r="P106" s="663"/>
      <c r="Q106" s="1464" t="s">
        <v>435</v>
      </c>
      <c r="R106" s="681">
        <f>$AC$53</f>
        <v>45.099724999999999</v>
      </c>
      <c r="S106" s="682">
        <f>$AC$55</f>
        <v>114.99</v>
      </c>
      <c r="T106" s="683"/>
      <c r="U106" s="684" t="e">
        <f>T106/$T$113</f>
        <v>#DIV/0!</v>
      </c>
      <c r="V106" s="663"/>
      <c r="W106" s="1464" t="s">
        <v>435</v>
      </c>
      <c r="X106" s="681">
        <f>$AC$53</f>
        <v>45.099724999999999</v>
      </c>
      <c r="Y106" s="682">
        <f>$AC$55</f>
        <v>114.99</v>
      </c>
      <c r="Z106" s="683">
        <f>$AC$63-150</f>
        <v>36</v>
      </c>
      <c r="AA106" s="684">
        <f>Z106/$Z$113</f>
        <v>2.4357239512855209E-2</v>
      </c>
      <c r="AC106" s="1464" t="s">
        <v>435</v>
      </c>
      <c r="AD106" s="681">
        <f>$AC$53</f>
        <v>45.099724999999999</v>
      </c>
      <c r="AE106" s="682">
        <f>$AC$55</f>
        <v>114.99</v>
      </c>
      <c r="AF106" s="682"/>
      <c r="AG106" s="683">
        <f>Z106+N106+H106+T106</f>
        <v>272</v>
      </c>
      <c r="AH106" s="684">
        <f t="shared" si="59"/>
        <v>8.3821263482280431E-2</v>
      </c>
      <c r="AI106" s="1457">
        <f>AH106+AH107</f>
        <v>0.26502311248073962</v>
      </c>
      <c r="AJ106" s="1459"/>
      <c r="AK106">
        <v>149.69</v>
      </c>
    </row>
    <row r="107" spans="5:37" ht="24.95" customHeight="1">
      <c r="E107" s="1466"/>
      <c r="F107" s="670">
        <f>$AC$53</f>
        <v>45.099724999999999</v>
      </c>
      <c r="G107" s="664">
        <f>$AC$55</f>
        <v>114.99</v>
      </c>
      <c r="H107" s="667">
        <f>$AC$57-10</f>
        <v>426</v>
      </c>
      <c r="I107" s="668">
        <f t="shared" si="61"/>
        <v>0.26525529265255293</v>
      </c>
      <c r="J107" s="663"/>
      <c r="K107" s="1466"/>
      <c r="L107" s="685">
        <f>$AC$53</f>
        <v>45.099724999999999</v>
      </c>
      <c r="M107" s="686">
        <f>$AC$55</f>
        <v>114.99</v>
      </c>
      <c r="N107" s="665"/>
      <c r="O107" s="666">
        <f>N107/$N$113</f>
        <v>0</v>
      </c>
      <c r="P107" s="663"/>
      <c r="Q107" s="1466"/>
      <c r="R107" s="685"/>
      <c r="S107" s="686"/>
      <c r="T107" s="665"/>
      <c r="U107" s="666"/>
      <c r="V107" s="663"/>
      <c r="W107" s="1466"/>
      <c r="X107" s="670">
        <f>$AC$53</f>
        <v>45.099724999999999</v>
      </c>
      <c r="Y107" s="664">
        <f>AC55</f>
        <v>114.99</v>
      </c>
      <c r="Z107" s="667">
        <f>$AC$63-24</f>
        <v>162</v>
      </c>
      <c r="AA107" s="668">
        <f>Z107/$Z$113</f>
        <v>0.10960757780784844</v>
      </c>
      <c r="AC107" s="1466"/>
      <c r="AD107" s="670">
        <f>$AC$53</f>
        <v>45.099724999999999</v>
      </c>
      <c r="AE107" s="664">
        <f>$AC$55</f>
        <v>114.99</v>
      </c>
      <c r="AF107" s="664"/>
      <c r="AG107" s="667">
        <f>Z107+H107</f>
        <v>588</v>
      </c>
      <c r="AH107" s="668">
        <f t="shared" si="59"/>
        <v>0.18120184899845918</v>
      </c>
      <c r="AI107" s="1458"/>
      <c r="AJ107" s="1458"/>
    </row>
    <row r="108" spans="5:37" ht="24.95" customHeight="1">
      <c r="E108" s="1464" t="s">
        <v>436</v>
      </c>
      <c r="F108" s="681">
        <f>$AD$53</f>
        <v>52.486774999999994</v>
      </c>
      <c r="G108" s="682">
        <f>$AD$55</f>
        <v>135.99</v>
      </c>
      <c r="H108" s="683">
        <f>$AD$57-147</f>
        <v>1</v>
      </c>
      <c r="I108" s="684">
        <f t="shared" si="61"/>
        <v>6.2266500622665006E-4</v>
      </c>
      <c r="J108" s="663"/>
      <c r="K108" s="1464" t="s">
        <v>436</v>
      </c>
      <c r="L108" s="685"/>
      <c r="M108" s="686"/>
      <c r="N108" s="665"/>
      <c r="O108" s="666"/>
      <c r="P108" s="663"/>
      <c r="Q108" s="1464" t="s">
        <v>436</v>
      </c>
      <c r="R108" s="685"/>
      <c r="S108" s="686"/>
      <c r="T108" s="665"/>
      <c r="U108" s="666"/>
      <c r="V108" s="663"/>
      <c r="W108" s="1464" t="s">
        <v>436</v>
      </c>
      <c r="X108" s="670"/>
      <c r="Y108" s="664"/>
      <c r="Z108" s="667"/>
      <c r="AA108" s="668"/>
      <c r="AC108" s="674"/>
      <c r="AD108" s="670"/>
      <c r="AE108" s="664"/>
      <c r="AF108" s="664"/>
      <c r="AG108" s="667"/>
      <c r="AH108" s="668"/>
      <c r="AI108" s="706"/>
      <c r="AJ108" s="706"/>
    </row>
    <row r="109" spans="5:37" ht="24.95" customHeight="1">
      <c r="E109" s="1466"/>
      <c r="F109" s="670">
        <f>$AD$53</f>
        <v>52.486774999999994</v>
      </c>
      <c r="G109" s="664">
        <f>$AD$55</f>
        <v>135.99</v>
      </c>
      <c r="H109" s="667">
        <f>$AD$57-10</f>
        <v>138</v>
      </c>
      <c r="I109" s="668">
        <f t="shared" si="61"/>
        <v>8.5927770859277705E-2</v>
      </c>
      <c r="J109" s="663"/>
      <c r="K109" s="1466"/>
      <c r="L109" s="685">
        <f>$AD$53</f>
        <v>52.486774999999994</v>
      </c>
      <c r="M109" s="686">
        <f>$AD$55</f>
        <v>135.99</v>
      </c>
      <c r="N109" s="665">
        <f>AD59</f>
        <v>0</v>
      </c>
      <c r="O109" s="666">
        <f>N109/$N$113</f>
        <v>0</v>
      </c>
      <c r="P109" s="663"/>
      <c r="Q109" s="1466"/>
      <c r="R109" s="685">
        <f>$AD$53</f>
        <v>52.486774999999994</v>
      </c>
      <c r="S109" s="686">
        <f>$AD$55</f>
        <v>135.99</v>
      </c>
      <c r="T109" s="665"/>
      <c r="U109" s="666" t="e">
        <f>T109/$T$113</f>
        <v>#DIV/0!</v>
      </c>
      <c r="V109" s="663"/>
      <c r="W109" s="1466"/>
      <c r="X109" s="681">
        <f>$AD$53</f>
        <v>52.486774999999994</v>
      </c>
      <c r="Y109" s="682">
        <f>$AD$55</f>
        <v>135.99</v>
      </c>
      <c r="Z109" s="683">
        <f>$AD$63</f>
        <v>46</v>
      </c>
      <c r="AA109" s="684">
        <f>Z109/$Z$113</f>
        <v>3.1123139377537211E-2</v>
      </c>
      <c r="AC109" s="1464" t="s">
        <v>436</v>
      </c>
      <c r="AD109" s="681">
        <f>$AD$53</f>
        <v>52.486774999999994</v>
      </c>
      <c r="AE109" s="682">
        <f>$AD$55</f>
        <v>135.99</v>
      </c>
      <c r="AF109" s="682"/>
      <c r="AG109" s="683">
        <f>Z109+H108</f>
        <v>47</v>
      </c>
      <c r="AH109" s="684">
        <f>AG109/$AG$114</f>
        <v>1.448382126348228E-2</v>
      </c>
      <c r="AI109" s="1457">
        <f>AH109+AH110</f>
        <v>5.7010785824345142E-2</v>
      </c>
      <c r="AJ109" s="1457">
        <f>AI109</f>
        <v>5.7010785824345142E-2</v>
      </c>
      <c r="AK109">
        <v>173.51</v>
      </c>
    </row>
    <row r="110" spans="5:37" ht="24.95" customHeight="1">
      <c r="E110" s="1464" t="s">
        <v>437</v>
      </c>
      <c r="F110" s="681">
        <f>$AE$53</f>
        <v>63.128724999999996</v>
      </c>
      <c r="G110" s="682">
        <f>$AE$55</f>
        <v>165.99</v>
      </c>
      <c r="H110" s="683">
        <f>$AE$57-58</f>
        <v>-11</v>
      </c>
      <c r="I110" s="684">
        <f t="shared" si="61"/>
        <v>-6.8493150684931503E-3</v>
      </c>
      <c r="J110" s="663"/>
      <c r="K110" s="1464" t="s">
        <v>437</v>
      </c>
      <c r="L110" s="685"/>
      <c r="M110" s="686"/>
      <c r="N110" s="665"/>
      <c r="O110" s="666"/>
      <c r="P110" s="663"/>
      <c r="Q110" s="1464" t="s">
        <v>437</v>
      </c>
      <c r="R110" s="685"/>
      <c r="S110" s="686"/>
      <c r="T110" s="665"/>
      <c r="U110" s="666"/>
      <c r="V110" s="663"/>
      <c r="W110" s="1464" t="s">
        <v>437</v>
      </c>
      <c r="X110" s="685"/>
      <c r="Y110" s="686"/>
      <c r="Z110" s="665"/>
      <c r="AA110" s="666"/>
      <c r="AC110" s="1466"/>
      <c r="AD110" s="670">
        <f>$AD$53</f>
        <v>52.486774999999994</v>
      </c>
      <c r="AE110" s="664">
        <f>$AD$55</f>
        <v>135.99</v>
      </c>
      <c r="AF110" s="664"/>
      <c r="AG110" s="667">
        <f>H109</f>
        <v>138</v>
      </c>
      <c r="AH110" s="668">
        <f>AG110/$AG$114</f>
        <v>4.2526964560862864E-2</v>
      </c>
      <c r="AI110" s="1458"/>
      <c r="AJ110" s="1458"/>
    </row>
    <row r="111" spans="5:37" ht="24.95" customHeight="1">
      <c r="E111" s="1466"/>
      <c r="F111" s="670">
        <f>$AE$53</f>
        <v>63.128724999999996</v>
      </c>
      <c r="G111" s="664">
        <f>$AE$55</f>
        <v>165.99</v>
      </c>
      <c r="H111" s="667">
        <f>$AE$57-1</f>
        <v>46</v>
      </c>
      <c r="I111" s="668">
        <f t="shared" si="61"/>
        <v>2.8642590286425903E-2</v>
      </c>
      <c r="J111" s="663"/>
      <c r="K111" s="1466"/>
      <c r="L111" s="685">
        <f>$AE$53</f>
        <v>63.128724999999996</v>
      </c>
      <c r="M111" s="686">
        <f>$AE$55</f>
        <v>165.99</v>
      </c>
      <c r="N111" s="665">
        <v>0</v>
      </c>
      <c r="O111" s="666">
        <f>N111/$N$113</f>
        <v>0</v>
      </c>
      <c r="P111" s="663"/>
      <c r="Q111" s="1466"/>
      <c r="R111" s="685">
        <f>$AE$53</f>
        <v>63.128724999999996</v>
      </c>
      <c r="S111" s="686">
        <f>$AE$55</f>
        <v>165.99</v>
      </c>
      <c r="T111" s="665"/>
      <c r="U111" s="666" t="e">
        <f>T111/$T$113</f>
        <v>#DIV/0!</v>
      </c>
      <c r="V111" s="663"/>
      <c r="W111" s="1466"/>
      <c r="X111" s="685">
        <f>$AE$53</f>
        <v>63.128724999999996</v>
      </c>
      <c r="Y111" s="686">
        <f>$AE$55</f>
        <v>165.99</v>
      </c>
      <c r="Z111" s="665">
        <f>$AE$63</f>
        <v>0</v>
      </c>
      <c r="AA111" s="666">
        <f>Z111/$Z$113</f>
        <v>0</v>
      </c>
      <c r="AC111" s="1464" t="s">
        <v>437</v>
      </c>
      <c r="AD111" s="681">
        <f>$AE$53</f>
        <v>63.128724999999996</v>
      </c>
      <c r="AE111" s="682">
        <f>$AE$55</f>
        <v>165.99</v>
      </c>
      <c r="AF111" s="682"/>
      <c r="AG111" s="683">
        <f>H110</f>
        <v>-11</v>
      </c>
      <c r="AH111" s="684">
        <f>AG111/$AG$114</f>
        <v>-3.3898305084745762E-3</v>
      </c>
      <c r="AI111" s="1457">
        <f>AH111+AH112</f>
        <v>1.0785824345146378E-2</v>
      </c>
      <c r="AJ111" s="1457">
        <f>AI111+AI113</f>
        <v>1.3867488443759629E-2</v>
      </c>
      <c r="AK111">
        <v>205.76</v>
      </c>
    </row>
    <row r="112" spans="5:37" ht="24.95" customHeight="1">
      <c r="E112" s="674" t="s">
        <v>448</v>
      </c>
      <c r="F112" s="681">
        <f>$AF$53</f>
        <v>66.897874999999999</v>
      </c>
      <c r="G112" s="682">
        <f>$AF$55</f>
        <v>175</v>
      </c>
      <c r="H112" s="683">
        <f>$AF$57</f>
        <v>3</v>
      </c>
      <c r="I112" s="684">
        <f t="shared" si="61"/>
        <v>1.8679950186799503E-3</v>
      </c>
      <c r="J112" s="663"/>
      <c r="K112" s="674" t="s">
        <v>448</v>
      </c>
      <c r="L112" s="681">
        <f>$AF$53</f>
        <v>66.897874999999999</v>
      </c>
      <c r="M112" s="682">
        <f>$AF$55</f>
        <v>175</v>
      </c>
      <c r="N112" s="683">
        <f>$AF$59</f>
        <v>2</v>
      </c>
      <c r="O112" s="684">
        <f>N112/$N$113</f>
        <v>1.2422360248447204E-2</v>
      </c>
      <c r="P112" s="663"/>
      <c r="Q112" s="674" t="s">
        <v>448</v>
      </c>
      <c r="R112" s="681">
        <f>$AF$53</f>
        <v>66.897874999999999</v>
      </c>
      <c r="S112" s="682">
        <f>$AF$55</f>
        <v>175</v>
      </c>
      <c r="T112" s="683">
        <f>$AF$61</f>
        <v>0</v>
      </c>
      <c r="U112" s="684" t="e">
        <f>T112/T113</f>
        <v>#DIV/0!</v>
      </c>
      <c r="V112" s="663"/>
      <c r="W112" s="674" t="s">
        <v>448</v>
      </c>
      <c r="X112" s="681">
        <f>$AF$53</f>
        <v>66.897874999999999</v>
      </c>
      <c r="Y112" s="682">
        <f>$AF$55</f>
        <v>175</v>
      </c>
      <c r="Z112" s="683">
        <f>$AF$63</f>
        <v>5</v>
      </c>
      <c r="AA112" s="684">
        <f>Z112/Z113</f>
        <v>3.3829499323410014E-3</v>
      </c>
      <c r="AC112" s="1466"/>
      <c r="AD112" s="670">
        <f>$AE$53</f>
        <v>63.128724999999996</v>
      </c>
      <c r="AE112" s="664">
        <f>$AE$55</f>
        <v>165.99</v>
      </c>
      <c r="AF112" s="664"/>
      <c r="AG112" s="667">
        <f>H111</f>
        <v>46</v>
      </c>
      <c r="AH112" s="668">
        <f>AG112/$AG$114</f>
        <v>1.4175654853620955E-2</v>
      </c>
      <c r="AI112" s="1458"/>
      <c r="AJ112" s="1459"/>
    </row>
    <row r="113" spans="5:36" ht="24.95" customHeight="1">
      <c r="E113" s="1489" t="s">
        <v>424</v>
      </c>
      <c r="F113" s="1490"/>
      <c r="G113" s="1491"/>
      <c r="H113" s="669">
        <f>SUM(H94:H112)</f>
        <v>1606</v>
      </c>
      <c r="I113" s="687">
        <f>SUM(I94:I112)</f>
        <v>1</v>
      </c>
      <c r="J113" s="663"/>
      <c r="K113" s="1489" t="s">
        <v>424</v>
      </c>
      <c r="L113" s="1490"/>
      <c r="M113" s="1491"/>
      <c r="N113" s="669">
        <f>SUM(N94:N112)</f>
        <v>161</v>
      </c>
      <c r="O113" s="687">
        <f>SUM(O94:O112)</f>
        <v>1.0000000000000002</v>
      </c>
      <c r="P113" s="663"/>
      <c r="Q113" s="1489" t="s">
        <v>424</v>
      </c>
      <c r="R113" s="1490"/>
      <c r="S113" s="1491"/>
      <c r="T113" s="669">
        <f>SUM(T94:T112)</f>
        <v>0</v>
      </c>
      <c r="U113" s="687" t="e">
        <f>SUM(U95:U112)</f>
        <v>#DIV/0!</v>
      </c>
      <c r="V113" s="663"/>
      <c r="W113" s="1489" t="s">
        <v>424</v>
      </c>
      <c r="X113" s="1490"/>
      <c r="Y113" s="1491"/>
      <c r="Z113" s="669">
        <f>SUM(Z94:Z112)</f>
        <v>1478</v>
      </c>
      <c r="AA113" s="687">
        <f>SUM(AA94:AA112)</f>
        <v>1</v>
      </c>
      <c r="AB113">
        <f>H113+N113+T113+Z113</f>
        <v>3245</v>
      </c>
      <c r="AC113" s="715" t="s">
        <v>454</v>
      </c>
      <c r="AD113" s="681">
        <f>$AF$53</f>
        <v>66.897874999999999</v>
      </c>
      <c r="AE113" s="682">
        <f>$AE$55</f>
        <v>165.99</v>
      </c>
      <c r="AF113" s="682"/>
      <c r="AG113" s="690">
        <f>Z112+T112+N112+H112</f>
        <v>10</v>
      </c>
      <c r="AH113" s="684">
        <f>AG113/$AG$114</f>
        <v>3.0816640986132513E-3</v>
      </c>
      <c r="AI113" s="714">
        <f>AH113</f>
        <v>3.0816640986132513E-3</v>
      </c>
      <c r="AJ113" s="1458"/>
    </row>
    <row r="114" spans="5:36" ht="24.95" customHeight="1">
      <c r="AC114" s="1489" t="s">
        <v>47</v>
      </c>
      <c r="AD114" s="1490"/>
      <c r="AE114" s="1491"/>
      <c r="AF114" s="691"/>
      <c r="AG114" s="669">
        <f>SUM(AG94:AG113)</f>
        <v>3245</v>
      </c>
      <c r="AH114" s="687">
        <f>SUM(AH94:AH113)</f>
        <v>1</v>
      </c>
      <c r="AI114" s="1452">
        <f>AJ94+AJ98+AJ104+AJ109+AJ111</f>
        <v>0.99999999999999989</v>
      </c>
      <c r="AJ114" s="1453"/>
    </row>
    <row r="115" spans="5:36" ht="24.95" customHeight="1">
      <c r="E115" s="705" t="s">
        <v>452</v>
      </c>
      <c r="F115" s="706">
        <f>H94+H99+H104+H106+H108+H110+H112+H97</f>
        <v>257</v>
      </c>
      <c r="K115" s="705" t="s">
        <v>452</v>
      </c>
      <c r="L115" s="706">
        <f>N94+N97+N99+N104+N106+N112</f>
        <v>-138</v>
      </c>
      <c r="Q115" s="705" t="s">
        <v>452</v>
      </c>
      <c r="R115" s="706">
        <f>T104+T112+T94+T106+T99+T97</f>
        <v>0</v>
      </c>
      <c r="W115" s="705" t="s">
        <v>452</v>
      </c>
      <c r="X115" s="706">
        <f>Z109+Z112+Z106+Z104+Z100+Z98+Z94</f>
        <v>319</v>
      </c>
    </row>
    <row r="116" spans="5:36" ht="24.95" customHeight="1">
      <c r="E116" s="707" t="s">
        <v>451</v>
      </c>
      <c r="F116" s="706">
        <f>H95+H100</f>
        <v>206</v>
      </c>
      <c r="K116" s="707" t="s">
        <v>451</v>
      </c>
      <c r="L116" s="706">
        <f>N95+N100</f>
        <v>12</v>
      </c>
      <c r="Q116" s="707" t="s">
        <v>451</v>
      </c>
      <c r="R116" s="706">
        <f>T95+T100</f>
        <v>0</v>
      </c>
      <c r="W116" s="707" t="s">
        <v>451</v>
      </c>
      <c r="X116" s="706">
        <f>Z95+Z101</f>
        <v>184</v>
      </c>
      <c r="AB116">
        <f>X115+R115+L115+F115</f>
        <v>438</v>
      </c>
      <c r="AC116" s="705" t="s">
        <v>452</v>
      </c>
      <c r="AD116" s="706">
        <f>AG94+AG98+AG100+AG104+AG106+AG109+AG111+AG113</f>
        <v>438</v>
      </c>
      <c r="AE116">
        <f>AB116-AD116</f>
        <v>0</v>
      </c>
    </row>
    <row r="117" spans="5:36" ht="24.95" customHeight="1">
      <c r="E117" s="706" t="s">
        <v>450</v>
      </c>
      <c r="F117" s="706">
        <f>H101+H105+H107+H109+H111+H98</f>
        <v>1143</v>
      </c>
      <c r="K117" s="706" t="s">
        <v>450</v>
      </c>
      <c r="L117" s="706">
        <f>N96+N98+N101</f>
        <v>287</v>
      </c>
      <c r="Q117" s="706" t="s">
        <v>450</v>
      </c>
      <c r="R117" s="706">
        <f>T96+T98+T101</f>
        <v>0</v>
      </c>
      <c r="T117">
        <f>SUM(H94:H111,N94:N111,T95:T111,Z94:Z111)</f>
        <v>3235</v>
      </c>
      <c r="W117" s="706" t="s">
        <v>450</v>
      </c>
      <c r="X117" s="706">
        <f>Z107+Z105+Z102+Z99+Z96</f>
        <v>975</v>
      </c>
      <c r="AB117">
        <f t="shared" ref="AB117" si="62">X116+R116+L116+F116</f>
        <v>402</v>
      </c>
      <c r="AC117" s="707" t="s">
        <v>451</v>
      </c>
      <c r="AD117" s="706">
        <f>AG95+AG101</f>
        <v>402</v>
      </c>
      <c r="AE117">
        <f t="shared" ref="AE117:AE119" si="63">AB117-AD117</f>
        <v>0</v>
      </c>
    </row>
    <row r="118" spans="5:36" ht="24.95" customHeight="1">
      <c r="E118" s="708" t="s">
        <v>453</v>
      </c>
      <c r="F118" s="708">
        <f>F115+F116+F117</f>
        <v>1606</v>
      </c>
      <c r="K118" s="708" t="s">
        <v>453</v>
      </c>
      <c r="L118" s="708">
        <f>L115+L116+L117</f>
        <v>161</v>
      </c>
      <c r="Q118" s="708" t="s">
        <v>453</v>
      </c>
      <c r="R118" s="708">
        <f>R115+R116+R117</f>
        <v>0</v>
      </c>
      <c r="W118" s="708" t="s">
        <v>453</v>
      </c>
      <c r="X118" s="708">
        <f>X115+X116+X117</f>
        <v>1478</v>
      </c>
      <c r="AB118">
        <f>X117+R117+L117+F117</f>
        <v>2405</v>
      </c>
      <c r="AC118" s="706" t="s">
        <v>450</v>
      </c>
      <c r="AD118" s="706">
        <f>AG96+AG99+AG102+AG105+AG107+AG110+AG112</f>
        <v>2405</v>
      </c>
      <c r="AE118">
        <f t="shared" si="63"/>
        <v>0</v>
      </c>
      <c r="AI118">
        <f>(E54*E65+F54*F65+G54*G65+H54*H65+I54*I65+J54*J65+K54*K65+L54*L65+M54*M65+N54*N65+O54*O65+P54*P65+Q54*Q65+R54*R65)/3100</f>
        <v>106.46145483870966</v>
      </c>
      <c r="AJ118" s="710">
        <f>AI118*0.3025</f>
        <v>32.204590088709672</v>
      </c>
    </row>
    <row r="119" spans="5:36" ht="24.95" customHeight="1">
      <c r="AB119">
        <f>AB116+AB117+AB118</f>
        <v>3245</v>
      </c>
      <c r="AC119" s="708" t="s">
        <v>453</v>
      </c>
      <c r="AD119" s="708">
        <f>AD116+AD117+AD118</f>
        <v>3245</v>
      </c>
      <c r="AE119">
        <f t="shared" si="63"/>
        <v>0</v>
      </c>
      <c r="AI119">
        <f>(AK98*AG99+AK100*AG102+AK104*AG105+AK106*AG107+AK109*AG110+AK111*AG112)/3100</f>
        <v>99.534787096774195</v>
      </c>
      <c r="AJ119" s="713">
        <f>AI119*0.3025</f>
        <v>30.109273096774192</v>
      </c>
    </row>
    <row r="120" spans="5:36" ht="24.95" customHeight="1">
      <c r="AJ120">
        <f>AJ119-AJ118</f>
        <v>-2.0953169919354799</v>
      </c>
    </row>
    <row r="121" spans="5:36" ht="24.95" customHeight="1"/>
    <row r="122" spans="5:36" ht="24.95" customHeight="1"/>
    <row r="123" spans="5:36" ht="24.95" customHeight="1"/>
    <row r="124" spans="5:36" ht="24.95" customHeight="1"/>
    <row r="125" spans="5:36" ht="24.95" customHeight="1"/>
    <row r="126" spans="5:36" ht="24.95" customHeight="1"/>
    <row r="127" spans="5:36" ht="24.95" customHeight="1"/>
    <row r="128" spans="5:36" ht="24.95" customHeight="1"/>
    <row r="129" ht="24.95" customHeight="1"/>
    <row r="130" ht="24.95" customHeight="1"/>
    <row r="131" ht="24.95" customHeight="1"/>
    <row r="132" ht="24.95" customHeight="1"/>
    <row r="133" ht="24.95" customHeight="1"/>
    <row r="134" ht="24.95" customHeight="1"/>
    <row r="135" ht="24.95" customHeight="1"/>
    <row r="136" ht="24.95" customHeight="1"/>
    <row r="137" ht="24.95" customHeight="1"/>
    <row r="138" ht="24.95" customHeight="1"/>
  </sheetData>
  <mergeCells count="150">
    <mergeCell ref="E113:G113"/>
    <mergeCell ref="K113:M113"/>
    <mergeCell ref="AC114:AE114"/>
    <mergeCell ref="K108:K109"/>
    <mergeCell ref="K110:K111"/>
    <mergeCell ref="AC109:AC110"/>
    <mergeCell ref="AC111:AC112"/>
    <mergeCell ref="K99:K103"/>
    <mergeCell ref="K104:K105"/>
    <mergeCell ref="Q104:Q105"/>
    <mergeCell ref="W108:W109"/>
    <mergeCell ref="W110:W111"/>
    <mergeCell ref="AC106:AC107"/>
    <mergeCell ref="AC104:AC105"/>
    <mergeCell ref="K106:K107"/>
    <mergeCell ref="Q106:Q107"/>
    <mergeCell ref="W106:W107"/>
    <mergeCell ref="Q113:S113"/>
    <mergeCell ref="W113:Y113"/>
    <mergeCell ref="AC76:AC78"/>
    <mergeCell ref="AC79:AC83"/>
    <mergeCell ref="AC84:AC85"/>
    <mergeCell ref="AC89:AE89"/>
    <mergeCell ref="AC92:AH92"/>
    <mergeCell ref="AC93:AD93"/>
    <mergeCell ref="AC94:AC97"/>
    <mergeCell ref="AC98:AC99"/>
    <mergeCell ref="AC100:AC103"/>
    <mergeCell ref="AC73:AH73"/>
    <mergeCell ref="AC74:AD74"/>
    <mergeCell ref="AC86:AC87"/>
    <mergeCell ref="E68:H68"/>
    <mergeCell ref="I68:O68"/>
    <mergeCell ref="P68:Q68"/>
    <mergeCell ref="S66:S68"/>
    <mergeCell ref="C65:D65"/>
    <mergeCell ref="C50:S50"/>
    <mergeCell ref="P67:Q67"/>
    <mergeCell ref="I67:O67"/>
    <mergeCell ref="E67:H67"/>
    <mergeCell ref="C63:D64"/>
    <mergeCell ref="S63:S64"/>
    <mergeCell ref="C61:D62"/>
    <mergeCell ref="S61:S62"/>
    <mergeCell ref="C59:D60"/>
    <mergeCell ref="S59:S60"/>
    <mergeCell ref="C52:D53"/>
    <mergeCell ref="C54:D54"/>
    <mergeCell ref="C55:D55"/>
    <mergeCell ref="C57:D58"/>
    <mergeCell ref="S57:S58"/>
    <mergeCell ref="U52:V53"/>
    <mergeCell ref="C25:D25"/>
    <mergeCell ref="C46:D46"/>
    <mergeCell ref="C4:D4"/>
    <mergeCell ref="C5:D5"/>
    <mergeCell ref="C2:D3"/>
    <mergeCell ref="C8:C18"/>
    <mergeCell ref="C35:C44"/>
    <mergeCell ref="C26:C33"/>
    <mergeCell ref="C20:C24"/>
    <mergeCell ref="C19:D19"/>
    <mergeCell ref="C45:D45"/>
    <mergeCell ref="C34:D34"/>
    <mergeCell ref="U54:V54"/>
    <mergeCell ref="U55:V55"/>
    <mergeCell ref="U65:V65"/>
    <mergeCell ref="U50:AG50"/>
    <mergeCell ref="AG57:AG58"/>
    <mergeCell ref="AG59:AG60"/>
    <mergeCell ref="AG61:AG62"/>
    <mergeCell ref="AG63:AG64"/>
    <mergeCell ref="U57:V58"/>
    <mergeCell ref="U59:V60"/>
    <mergeCell ref="U61:V62"/>
    <mergeCell ref="U63:V64"/>
    <mergeCell ref="AB67:AC67"/>
    <mergeCell ref="AB68:AC68"/>
    <mergeCell ref="AG66:AG68"/>
    <mergeCell ref="W67:X67"/>
    <mergeCell ref="W68:X68"/>
    <mergeCell ref="Y67:AA67"/>
    <mergeCell ref="Y68:AA68"/>
    <mergeCell ref="E89:G89"/>
    <mergeCell ref="K73:O73"/>
    <mergeCell ref="K86:K87"/>
    <mergeCell ref="K89:M89"/>
    <mergeCell ref="K74:L74"/>
    <mergeCell ref="E86:E87"/>
    <mergeCell ref="E74:F74"/>
    <mergeCell ref="E73:I73"/>
    <mergeCell ref="E76:E78"/>
    <mergeCell ref="E79:E83"/>
    <mergeCell ref="E84:E85"/>
    <mergeCell ref="Q89:S89"/>
    <mergeCell ref="W73:AA73"/>
    <mergeCell ref="W86:W87"/>
    <mergeCell ref="W89:Y89"/>
    <mergeCell ref="W74:X74"/>
    <mergeCell ref="Q74:R74"/>
    <mergeCell ref="Q73:U73"/>
    <mergeCell ref="Q86:Q87"/>
    <mergeCell ref="W76:W78"/>
    <mergeCell ref="W79:W83"/>
    <mergeCell ref="W84:W85"/>
    <mergeCell ref="Q76:Q78"/>
    <mergeCell ref="E92:I92"/>
    <mergeCell ref="K92:O92"/>
    <mergeCell ref="Q92:U92"/>
    <mergeCell ref="W92:AA92"/>
    <mergeCell ref="Q79:Q83"/>
    <mergeCell ref="Q84:Q85"/>
    <mergeCell ref="K76:K78"/>
    <mergeCell ref="K79:K83"/>
    <mergeCell ref="K84:K85"/>
    <mergeCell ref="E93:F93"/>
    <mergeCell ref="Q93:R93"/>
    <mergeCell ref="W93:X93"/>
    <mergeCell ref="K93:L93"/>
    <mergeCell ref="W94:W97"/>
    <mergeCell ref="E99:E103"/>
    <mergeCell ref="Q99:Q103"/>
    <mergeCell ref="E104:E105"/>
    <mergeCell ref="E110:E111"/>
    <mergeCell ref="E108:E109"/>
    <mergeCell ref="Q108:Q109"/>
    <mergeCell ref="Q110:Q111"/>
    <mergeCell ref="W104:W105"/>
    <mergeCell ref="W98:W99"/>
    <mergeCell ref="W100:W103"/>
    <mergeCell ref="E94:E96"/>
    <mergeCell ref="E97:E98"/>
    <mergeCell ref="K94:K96"/>
    <mergeCell ref="K97:K98"/>
    <mergeCell ref="Q97:Q98"/>
    <mergeCell ref="Q94:Q96"/>
    <mergeCell ref="E106:E107"/>
    <mergeCell ref="AI114:AJ114"/>
    <mergeCell ref="AI94:AI97"/>
    <mergeCell ref="AI98:AI99"/>
    <mergeCell ref="AI100:AI103"/>
    <mergeCell ref="AI104:AI105"/>
    <mergeCell ref="AI106:AI107"/>
    <mergeCell ref="AI109:AI110"/>
    <mergeCell ref="AI111:AI112"/>
    <mergeCell ref="AJ98:AJ103"/>
    <mergeCell ref="AJ94:AJ97"/>
    <mergeCell ref="AJ104:AJ107"/>
    <mergeCell ref="AJ109:AJ110"/>
    <mergeCell ref="AJ111:AJ113"/>
  </mergeCells>
  <phoneticPr fontId="2" type="noConversion"/>
  <pageMargins left="0.7" right="0.7" top="0.75" bottom="0.75" header="0.3" footer="0.3"/>
  <pageSetup paperSize="8" scale="56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6DA95-71C3-43C9-8E3B-EADD788BA5CB}">
  <dimension ref="A3:Q66"/>
  <sheetViews>
    <sheetView topLeftCell="A14" zoomScale="85" zoomScaleNormal="85" workbookViewId="0">
      <selection activeCell="G60" sqref="G60"/>
    </sheetView>
  </sheetViews>
  <sheetFormatPr defaultRowHeight="13.5"/>
  <cols>
    <col min="1" max="1" width="15.77734375" customWidth="1"/>
    <col min="2" max="17" width="12.77734375" customWidth="1"/>
  </cols>
  <sheetData>
    <row r="3" spans="1:17">
      <c r="C3" s="471" t="s">
        <v>487</v>
      </c>
      <c r="D3" s="471"/>
      <c r="F3" s="471" t="s">
        <v>492</v>
      </c>
      <c r="G3" s="471"/>
      <c r="I3" s="471" t="s">
        <v>493</v>
      </c>
      <c r="J3" s="471"/>
      <c r="L3" s="471" t="s">
        <v>494</v>
      </c>
      <c r="M3" s="471"/>
      <c r="O3" s="471" t="s">
        <v>1</v>
      </c>
      <c r="P3" s="471"/>
    </row>
    <row r="4" spans="1:17">
      <c r="B4" t="s">
        <v>490</v>
      </c>
      <c r="C4" s="471" t="s">
        <v>488</v>
      </c>
      <c r="D4" s="471" t="s">
        <v>489</v>
      </c>
      <c r="E4" t="s">
        <v>491</v>
      </c>
      <c r="F4" s="471" t="s">
        <v>488</v>
      </c>
      <c r="G4" s="471" t="s">
        <v>489</v>
      </c>
      <c r="H4" t="s">
        <v>491</v>
      </c>
      <c r="I4" s="471" t="s">
        <v>488</v>
      </c>
      <c r="J4" s="471" t="s">
        <v>489</v>
      </c>
      <c r="K4" t="s">
        <v>491</v>
      </c>
      <c r="L4" s="471" t="s">
        <v>488</v>
      </c>
      <c r="M4" s="471" t="s">
        <v>489</v>
      </c>
      <c r="N4" t="s">
        <v>491</v>
      </c>
      <c r="O4" s="471" t="s">
        <v>488</v>
      </c>
      <c r="P4" s="471" t="s">
        <v>489</v>
      </c>
      <c r="Q4" t="s">
        <v>491</v>
      </c>
    </row>
    <row r="5" spans="1:17">
      <c r="A5">
        <v>59</v>
      </c>
      <c r="B5" s="300">
        <f>'설계개요(통합개요-1)'!G62</f>
        <v>24</v>
      </c>
      <c r="C5" s="471">
        <v>244</v>
      </c>
      <c r="D5" s="471">
        <f>'설계개요(1단지)'!F85</f>
        <v>261</v>
      </c>
      <c r="E5">
        <f>D5-C5</f>
        <v>17</v>
      </c>
      <c r="F5" s="471">
        <v>176</v>
      </c>
      <c r="G5" s="471">
        <f>'설계개요(2단지)'!F83</f>
        <v>184</v>
      </c>
      <c r="H5">
        <f>G5-F5</f>
        <v>8</v>
      </c>
      <c r="I5" s="471">
        <v>231</v>
      </c>
      <c r="J5" s="471">
        <f>'설계개요(3단지)'!F82</f>
        <v>220</v>
      </c>
      <c r="K5">
        <f>J5-I5</f>
        <v>-11</v>
      </c>
      <c r="L5" s="471">
        <v>243</v>
      </c>
      <c r="M5" s="471">
        <f>'설계개요(4단지)'!F82</f>
        <v>250</v>
      </c>
      <c r="N5">
        <f>M5-L5</f>
        <v>7</v>
      </c>
      <c r="O5" s="471">
        <f>SUM(C5,F5,I5,L5)</f>
        <v>894</v>
      </c>
      <c r="P5" s="471">
        <f>SUM(D5,G5,J5,M5)</f>
        <v>915</v>
      </c>
      <c r="Q5">
        <f>P5-O5</f>
        <v>21</v>
      </c>
    </row>
    <row r="6" spans="1:17">
      <c r="A6">
        <v>74</v>
      </c>
      <c r="B6" s="300">
        <f>'설계개요(통합개요-1)'!G64</f>
        <v>30</v>
      </c>
      <c r="C6" s="471">
        <v>92</v>
      </c>
      <c r="D6" s="471">
        <f>'설계개요(1단지)'!F86</f>
        <v>96</v>
      </c>
      <c r="E6">
        <f t="shared" ref="E6:E12" si="0">D6-C6</f>
        <v>4</v>
      </c>
      <c r="F6" s="471">
        <v>161</v>
      </c>
      <c r="G6" s="471">
        <f>'설계개요(2단지)'!F86</f>
        <v>186</v>
      </c>
      <c r="H6">
        <f t="shared" ref="H6:H12" si="1">G6-F6</f>
        <v>25</v>
      </c>
      <c r="I6" s="471">
        <v>240</v>
      </c>
      <c r="J6" s="471">
        <f>'설계개요(3단지)'!F83</f>
        <v>246</v>
      </c>
      <c r="K6">
        <f t="shared" ref="K6:K12" si="2">J6-I6</f>
        <v>6</v>
      </c>
      <c r="L6" s="471">
        <v>242</v>
      </c>
      <c r="M6" s="471">
        <f>'설계개요(4단지)'!F83</f>
        <v>240</v>
      </c>
      <c r="N6">
        <f t="shared" ref="N6:N12" si="3">M6-L6</f>
        <v>-2</v>
      </c>
      <c r="O6" s="471">
        <f t="shared" ref="O6:O12" si="4">SUM(C6,F6,I6,L6)</f>
        <v>735</v>
      </c>
      <c r="P6" s="471">
        <f t="shared" ref="P6:P12" si="5">SUM(D6,G6,J6,M6)</f>
        <v>768</v>
      </c>
      <c r="Q6">
        <f t="shared" ref="Q6:Q12" si="6">P6-O6</f>
        <v>33</v>
      </c>
    </row>
    <row r="7" spans="1:17">
      <c r="A7">
        <v>84</v>
      </c>
      <c r="B7" s="300">
        <f>'설계개요(통합개요-1)'!G66</f>
        <v>34</v>
      </c>
      <c r="C7" s="471">
        <v>250</v>
      </c>
      <c r="D7" s="471">
        <f>'설계개요(1단지)'!F89</f>
        <v>238</v>
      </c>
      <c r="E7">
        <f t="shared" si="0"/>
        <v>-12</v>
      </c>
      <c r="F7" s="471">
        <v>245</v>
      </c>
      <c r="G7" s="471">
        <f>'설계개요(2단지)'!F87</f>
        <v>221</v>
      </c>
      <c r="H7">
        <f t="shared" si="1"/>
        <v>-24</v>
      </c>
      <c r="I7" s="471">
        <v>480</v>
      </c>
      <c r="J7" s="471">
        <f>'설계개요(3단지)'!F86</f>
        <v>492</v>
      </c>
      <c r="K7">
        <f t="shared" si="2"/>
        <v>12</v>
      </c>
      <c r="L7" s="471">
        <v>600</v>
      </c>
      <c r="M7" s="471">
        <f>'설계개요(4단지)'!F86</f>
        <v>560</v>
      </c>
      <c r="N7">
        <f t="shared" si="3"/>
        <v>-40</v>
      </c>
      <c r="O7" s="471">
        <f t="shared" si="4"/>
        <v>1575</v>
      </c>
      <c r="P7" s="471">
        <f t="shared" si="5"/>
        <v>1511</v>
      </c>
      <c r="Q7">
        <f t="shared" si="6"/>
        <v>-64</v>
      </c>
    </row>
    <row r="8" spans="1:17">
      <c r="A8">
        <v>99</v>
      </c>
      <c r="B8" s="300">
        <f>'설계개요(통합개요-1)'!G68</f>
        <v>40</v>
      </c>
      <c r="C8" s="471">
        <v>292</v>
      </c>
      <c r="D8" s="471">
        <f>'설계개요(1단지)'!F90</f>
        <v>324</v>
      </c>
      <c r="E8">
        <f t="shared" si="0"/>
        <v>32</v>
      </c>
      <c r="F8" s="471">
        <v>148</v>
      </c>
      <c r="G8" s="471">
        <f>'설계개요(2단지)'!F90</f>
        <v>160</v>
      </c>
      <c r="H8">
        <f t="shared" si="1"/>
        <v>12</v>
      </c>
      <c r="I8" s="471">
        <v>101</v>
      </c>
      <c r="J8" s="471">
        <f>'설계개요(3단지)'!F87</f>
        <v>83</v>
      </c>
      <c r="K8">
        <f t="shared" si="2"/>
        <v>-18</v>
      </c>
      <c r="L8" s="471">
        <v>218</v>
      </c>
      <c r="M8" s="471">
        <f>'설계개요(4단지)'!F87</f>
        <v>255</v>
      </c>
      <c r="N8">
        <f t="shared" si="3"/>
        <v>37</v>
      </c>
      <c r="O8" s="471">
        <f t="shared" si="4"/>
        <v>759</v>
      </c>
      <c r="P8" s="471">
        <f t="shared" si="5"/>
        <v>822</v>
      </c>
      <c r="Q8">
        <f t="shared" si="6"/>
        <v>63</v>
      </c>
    </row>
    <row r="9" spans="1:17">
      <c r="A9">
        <v>114</v>
      </c>
      <c r="B9" s="300">
        <f>'설계개요(통합개요-1)'!G70</f>
        <v>45</v>
      </c>
      <c r="C9" s="471">
        <v>434</v>
      </c>
      <c r="D9" s="471">
        <f>'설계개요(1단지)'!F93</f>
        <v>436</v>
      </c>
      <c r="E9">
        <f t="shared" si="0"/>
        <v>2</v>
      </c>
      <c r="F9" s="471">
        <v>196</v>
      </c>
      <c r="G9" s="471">
        <f>'설계개요(2단지)'!F91</f>
        <v>185</v>
      </c>
      <c r="H9">
        <f t="shared" si="1"/>
        <v>-11</v>
      </c>
      <c r="I9" s="471">
        <v>70</v>
      </c>
      <c r="J9" s="471">
        <f>'설계개요(3단지)'!F90</f>
        <v>83</v>
      </c>
      <c r="K9">
        <f t="shared" si="2"/>
        <v>13</v>
      </c>
      <c r="L9" s="471">
        <v>174</v>
      </c>
      <c r="M9" s="471">
        <f>'설계개요(4단지)'!F90</f>
        <v>186</v>
      </c>
      <c r="N9">
        <f t="shared" si="3"/>
        <v>12</v>
      </c>
      <c r="O9" s="471">
        <f t="shared" si="4"/>
        <v>874</v>
      </c>
      <c r="P9" s="471">
        <f t="shared" si="5"/>
        <v>890</v>
      </c>
      <c r="Q9">
        <f t="shared" si="6"/>
        <v>16</v>
      </c>
    </row>
    <row r="10" spans="1:17">
      <c r="A10">
        <v>135</v>
      </c>
      <c r="B10" s="300">
        <f>'설계개요(통합개요-1)'!G72</f>
        <v>52</v>
      </c>
      <c r="C10" s="471">
        <v>157</v>
      </c>
      <c r="D10" s="471">
        <f>'설계개요(1단지)'!F94</f>
        <v>148</v>
      </c>
      <c r="E10">
        <f t="shared" si="0"/>
        <v>-9</v>
      </c>
      <c r="F10" s="471">
        <v>0</v>
      </c>
      <c r="G10" s="471">
        <v>0</v>
      </c>
      <c r="H10">
        <f t="shared" si="1"/>
        <v>0</v>
      </c>
      <c r="I10" s="471">
        <v>0</v>
      </c>
      <c r="J10" s="471">
        <v>0</v>
      </c>
      <c r="K10">
        <f t="shared" si="2"/>
        <v>0</v>
      </c>
      <c r="L10" s="471">
        <v>58</v>
      </c>
      <c r="M10" s="471">
        <f>'설계개요(4단지)'!F91</f>
        <v>46</v>
      </c>
      <c r="N10">
        <f t="shared" si="3"/>
        <v>-12</v>
      </c>
      <c r="O10" s="471">
        <f t="shared" si="4"/>
        <v>215</v>
      </c>
      <c r="P10" s="471">
        <f t="shared" si="5"/>
        <v>194</v>
      </c>
      <c r="Q10">
        <f t="shared" si="6"/>
        <v>-21</v>
      </c>
    </row>
    <row r="11" spans="1:17">
      <c r="A11">
        <v>165</v>
      </c>
      <c r="B11" s="300">
        <f>'설계개요(통합개요-1)'!G76</f>
        <v>62</v>
      </c>
      <c r="C11" s="471">
        <v>59</v>
      </c>
      <c r="D11" s="471">
        <f>'설계개요(1단지)'!F95</f>
        <v>47</v>
      </c>
      <c r="E11">
        <f t="shared" si="0"/>
        <v>-12</v>
      </c>
      <c r="F11" s="471">
        <v>0</v>
      </c>
      <c r="G11" s="471">
        <v>0</v>
      </c>
      <c r="H11">
        <f t="shared" si="1"/>
        <v>0</v>
      </c>
      <c r="I11" s="471">
        <v>0</v>
      </c>
      <c r="J11" s="471">
        <v>0</v>
      </c>
      <c r="K11">
        <f t="shared" si="2"/>
        <v>0</v>
      </c>
      <c r="L11" s="471">
        <v>0</v>
      </c>
      <c r="M11" s="471">
        <f>'설계개요(4단지)'!F92</f>
        <v>0</v>
      </c>
      <c r="N11">
        <f t="shared" si="3"/>
        <v>0</v>
      </c>
      <c r="O11" s="471">
        <f t="shared" si="4"/>
        <v>59</v>
      </c>
      <c r="P11" s="471">
        <f t="shared" si="5"/>
        <v>47</v>
      </c>
      <c r="Q11">
        <f t="shared" si="6"/>
        <v>-12</v>
      </c>
    </row>
    <row r="12" spans="1:17">
      <c r="A12">
        <v>175</v>
      </c>
      <c r="B12" s="300">
        <f>'설계개요(통합개요-1)'!G78</f>
        <v>66</v>
      </c>
      <c r="C12" s="471">
        <v>4</v>
      </c>
      <c r="D12" s="471">
        <f>'설계개요(1단지)'!F96</f>
        <v>3</v>
      </c>
      <c r="E12">
        <f t="shared" si="0"/>
        <v>-1</v>
      </c>
      <c r="F12" s="471">
        <v>2</v>
      </c>
      <c r="G12" s="471">
        <f>'설계개요(2단지)'!F92</f>
        <v>2</v>
      </c>
      <c r="H12">
        <f t="shared" si="1"/>
        <v>0</v>
      </c>
      <c r="I12" s="471">
        <v>2</v>
      </c>
      <c r="J12" s="471">
        <f>'설계개요(3단지)'!F91</f>
        <v>1</v>
      </c>
      <c r="K12">
        <f t="shared" si="2"/>
        <v>-1</v>
      </c>
      <c r="L12" s="471">
        <v>4</v>
      </c>
      <c r="M12" s="471">
        <f>'설계개요(4단지)'!F93</f>
        <v>5</v>
      </c>
      <c r="N12">
        <f t="shared" si="3"/>
        <v>1</v>
      </c>
      <c r="O12" s="471">
        <f t="shared" si="4"/>
        <v>12</v>
      </c>
      <c r="P12" s="471">
        <f t="shared" si="5"/>
        <v>11</v>
      </c>
      <c r="Q12">
        <f t="shared" si="6"/>
        <v>-1</v>
      </c>
    </row>
    <row r="13" spans="1:17">
      <c r="B13" t="s">
        <v>47</v>
      </c>
      <c r="C13">
        <f t="shared" ref="C13:Q13" si="7">SUM(C5:C12)</f>
        <v>1532</v>
      </c>
      <c r="D13">
        <f t="shared" si="7"/>
        <v>1553</v>
      </c>
      <c r="E13">
        <f t="shared" si="7"/>
        <v>21</v>
      </c>
      <c r="F13">
        <f t="shared" si="7"/>
        <v>928</v>
      </c>
      <c r="G13">
        <f t="shared" si="7"/>
        <v>938</v>
      </c>
      <c r="H13">
        <f t="shared" si="7"/>
        <v>10</v>
      </c>
      <c r="I13">
        <f t="shared" si="7"/>
        <v>1124</v>
      </c>
      <c r="J13">
        <f t="shared" si="7"/>
        <v>1125</v>
      </c>
      <c r="K13">
        <f t="shared" si="7"/>
        <v>1</v>
      </c>
      <c r="L13">
        <f t="shared" si="7"/>
        <v>1539</v>
      </c>
      <c r="M13">
        <f t="shared" si="7"/>
        <v>1542</v>
      </c>
      <c r="N13">
        <f t="shared" si="7"/>
        <v>3</v>
      </c>
      <c r="O13">
        <f t="shared" si="7"/>
        <v>5123</v>
      </c>
      <c r="P13">
        <f t="shared" si="7"/>
        <v>5158</v>
      </c>
      <c r="Q13">
        <f t="shared" si="7"/>
        <v>35</v>
      </c>
    </row>
    <row r="15" spans="1:17">
      <c r="O15" s="835">
        <v>625999.42000000004</v>
      </c>
      <c r="P15" s="835">
        <v>614014.09</v>
      </c>
    </row>
    <row r="16" spans="1:17">
      <c r="O16" s="835">
        <v>625888.19999999995</v>
      </c>
      <c r="P16" s="835">
        <v>611902.87</v>
      </c>
    </row>
    <row r="17" spans="1:16">
      <c r="O17">
        <f>O15-O16</f>
        <v>111.22000000008848</v>
      </c>
      <c r="P17" s="835">
        <f>P15-P16</f>
        <v>2111.2199999999721</v>
      </c>
    </row>
    <row r="18" spans="1:16">
      <c r="P18">
        <f>P17*0.3025</f>
        <v>638.64404999999158</v>
      </c>
    </row>
    <row r="19" spans="1:16">
      <c r="B19" t="s">
        <v>495</v>
      </c>
      <c r="E19" t="s">
        <v>505</v>
      </c>
      <c r="H19" t="s">
        <v>497</v>
      </c>
      <c r="P19">
        <v>0.8</v>
      </c>
    </row>
    <row r="20" spans="1:16">
      <c r="B20" t="s">
        <v>488</v>
      </c>
      <c r="C20" t="s">
        <v>496</v>
      </c>
      <c r="D20" t="s">
        <v>502</v>
      </c>
      <c r="E20" t="s">
        <v>488</v>
      </c>
      <c r="F20" t="s">
        <v>496</v>
      </c>
      <c r="G20" t="s">
        <v>504</v>
      </c>
      <c r="H20" t="s">
        <v>488</v>
      </c>
      <c r="I20" t="s">
        <v>496</v>
      </c>
      <c r="J20" t="s">
        <v>504</v>
      </c>
      <c r="P20">
        <f>P18*P19</f>
        <v>510.91523999999328</v>
      </c>
    </row>
    <row r="21" spans="1:16">
      <c r="A21" t="s">
        <v>499</v>
      </c>
      <c r="B21" s="834">
        <v>12927.38</v>
      </c>
      <c r="C21" s="834">
        <f>'설계개요(통합개요-1)'!J22</f>
        <v>10167.376</v>
      </c>
      <c r="D21" s="834">
        <f>B21-C21</f>
        <v>2760.003999999999</v>
      </c>
      <c r="E21" s="834">
        <v>611902.87</v>
      </c>
      <c r="F21" s="834">
        <f>'설계개요(통합개요-1)'!N82</f>
        <v>614014.09</v>
      </c>
      <c r="G21" s="834">
        <f>F21-E21</f>
        <v>2111.2199999999721</v>
      </c>
      <c r="H21" s="834">
        <v>1064358.2</v>
      </c>
      <c r="I21" s="834">
        <f>'설계개요(통합개요-1)'!J28</f>
        <v>1182689.416</v>
      </c>
      <c r="J21" s="834">
        <f>I21-H21</f>
        <v>118331.21600000001</v>
      </c>
    </row>
    <row r="22" spans="1:16">
      <c r="A22" t="s">
        <v>500</v>
      </c>
      <c r="B22" s="834">
        <v>8247.3799999999992</v>
      </c>
      <c r="C22" s="834">
        <f>'설계개요(통합개요-1)'!J20</f>
        <v>6247.3760000000002</v>
      </c>
      <c r="D22" s="834">
        <f>B22-C22</f>
        <v>2000.003999999999</v>
      </c>
      <c r="E22" s="834"/>
      <c r="F22" s="834"/>
      <c r="G22" s="834"/>
      <c r="H22" s="834"/>
      <c r="I22" s="834"/>
    </row>
    <row r="23" spans="1:16">
      <c r="A23" t="s">
        <v>501</v>
      </c>
      <c r="B23" s="834">
        <f>B21-B22</f>
        <v>4680</v>
      </c>
      <c r="C23" s="834">
        <f>C21-C22</f>
        <v>3920</v>
      </c>
      <c r="D23" s="834">
        <f>B23-C23</f>
        <v>760</v>
      </c>
      <c r="E23" s="834"/>
      <c r="F23" s="834"/>
      <c r="G23" s="834"/>
      <c r="H23" s="834"/>
      <c r="I23" s="834"/>
    </row>
    <row r="24" spans="1:16">
      <c r="B24" s="834"/>
      <c r="C24" s="834"/>
      <c r="D24" s="834"/>
      <c r="E24" s="834"/>
      <c r="F24" s="834"/>
      <c r="G24" s="834"/>
      <c r="H24" s="834"/>
      <c r="I24" s="834"/>
    </row>
    <row r="25" spans="1:16">
      <c r="B25" t="s">
        <v>498</v>
      </c>
    </row>
    <row r="26" spans="1:16">
      <c r="B26" t="s">
        <v>487</v>
      </c>
      <c r="D26" t="s">
        <v>492</v>
      </c>
      <c r="F26" t="s">
        <v>493</v>
      </c>
      <c r="H26" t="s">
        <v>494</v>
      </c>
      <c r="J26" t="s">
        <v>1</v>
      </c>
    </row>
    <row r="27" spans="1:16">
      <c r="B27" t="s">
        <v>488</v>
      </c>
      <c r="C27" t="s">
        <v>496</v>
      </c>
      <c r="D27" t="s">
        <v>488</v>
      </c>
      <c r="E27" t="s">
        <v>496</v>
      </c>
      <c r="F27" t="s">
        <v>488</v>
      </c>
      <c r="G27" t="s">
        <v>496</v>
      </c>
      <c r="H27" t="s">
        <v>488</v>
      </c>
      <c r="I27" t="s">
        <v>496</v>
      </c>
      <c r="J27" t="s">
        <v>488</v>
      </c>
      <c r="K27" t="s">
        <v>496</v>
      </c>
    </row>
    <row r="28" spans="1:16">
      <c r="A28" t="s">
        <v>6</v>
      </c>
      <c r="B28" s="834">
        <v>200</v>
      </c>
      <c r="C28" s="834">
        <f>'설계개요(1단지)'!R6</f>
        <v>200</v>
      </c>
      <c r="D28" s="834">
        <v>200</v>
      </c>
      <c r="E28" s="834">
        <f>'설계개요(2단지)'!R6</f>
        <v>200</v>
      </c>
      <c r="F28" s="834">
        <v>200</v>
      </c>
      <c r="G28">
        <f>'설계개요(3단지)'!R6</f>
        <v>200</v>
      </c>
      <c r="H28" s="834">
        <v>200</v>
      </c>
      <c r="I28">
        <f>'설계개요(4단지)'!R6</f>
        <v>200</v>
      </c>
      <c r="J28" s="834">
        <f>B28+D28+F28+H28</f>
        <v>800</v>
      </c>
      <c r="K28" s="834">
        <f>C28+E28+G28+I28</f>
        <v>800</v>
      </c>
      <c r="L28" s="834">
        <f>K28-J28</f>
        <v>0</v>
      </c>
    </row>
    <row r="29" spans="1:16">
      <c r="A29" t="s">
        <v>506</v>
      </c>
      <c r="B29" s="834">
        <v>150</v>
      </c>
      <c r="C29" s="834">
        <f>'설계개요(1단지)'!R7</f>
        <v>150</v>
      </c>
      <c r="D29" s="834">
        <v>150</v>
      </c>
      <c r="E29" s="834">
        <f>'설계개요(2단지)'!R7</f>
        <v>150</v>
      </c>
      <c r="F29" s="834">
        <v>150</v>
      </c>
      <c r="G29">
        <f>'설계개요(3단지)'!R7</f>
        <v>150</v>
      </c>
      <c r="H29" s="834">
        <v>150</v>
      </c>
      <c r="I29">
        <f>'설계개요(4단지)'!R7</f>
        <v>150</v>
      </c>
      <c r="J29" s="834">
        <f t="shared" ref="J29:K37" si="8">B29+D29+F29+H29</f>
        <v>600</v>
      </c>
      <c r="K29" s="834">
        <f t="shared" si="8"/>
        <v>600</v>
      </c>
      <c r="L29" s="834">
        <f t="shared" ref="L29:L40" si="9">K29-J29</f>
        <v>0</v>
      </c>
    </row>
    <row r="30" spans="1:16">
      <c r="A30" t="s">
        <v>100</v>
      </c>
      <c r="B30" s="834">
        <v>1400</v>
      </c>
      <c r="C30" s="834">
        <f>'설계개요(1단지)'!R8</f>
        <v>920</v>
      </c>
      <c r="D30" s="834">
        <v>1100</v>
      </c>
      <c r="E30" s="834">
        <f>'설계개요(2단지)'!R8</f>
        <v>600</v>
      </c>
      <c r="F30" s="834">
        <v>1100</v>
      </c>
      <c r="G30">
        <f>'설계개요(3단지)'!R8</f>
        <v>820</v>
      </c>
      <c r="H30" s="834">
        <v>1100</v>
      </c>
      <c r="I30">
        <f>'설계개요(4단지)'!R8</f>
        <v>900</v>
      </c>
      <c r="J30" s="834">
        <f t="shared" si="8"/>
        <v>4700</v>
      </c>
      <c r="K30" s="834">
        <f t="shared" si="8"/>
        <v>3240</v>
      </c>
      <c r="L30" s="834">
        <f t="shared" si="9"/>
        <v>-1460</v>
      </c>
    </row>
    <row r="31" spans="1:16">
      <c r="A31" t="s">
        <v>24</v>
      </c>
      <c r="B31" s="834">
        <v>600</v>
      </c>
      <c r="C31" s="834">
        <f>'설계개요(1단지)'!R9</f>
        <v>1100</v>
      </c>
      <c r="D31" s="834">
        <v>550</v>
      </c>
      <c r="E31" s="834">
        <f>'설계개요(2단지)'!R9</f>
        <v>650</v>
      </c>
      <c r="F31" s="834">
        <v>600</v>
      </c>
      <c r="G31">
        <f>'설계개요(3단지)'!R9</f>
        <v>900</v>
      </c>
      <c r="H31" s="834">
        <v>600</v>
      </c>
      <c r="I31">
        <f>'설계개요(4단지)'!R9</f>
        <v>900</v>
      </c>
      <c r="J31" s="834">
        <f t="shared" si="8"/>
        <v>2350</v>
      </c>
      <c r="K31" s="834">
        <f t="shared" si="8"/>
        <v>3550</v>
      </c>
      <c r="L31" s="834">
        <f t="shared" si="9"/>
        <v>1200</v>
      </c>
    </row>
    <row r="32" spans="1:16">
      <c r="A32" t="s">
        <v>35</v>
      </c>
      <c r="B32" s="834">
        <v>900</v>
      </c>
      <c r="C32" s="834">
        <f>'설계개요(1단지)'!R10</f>
        <v>900</v>
      </c>
      <c r="D32" s="834">
        <v>700</v>
      </c>
      <c r="E32" s="834">
        <f>'설계개요(2단지)'!R10</f>
        <v>700</v>
      </c>
      <c r="F32" s="834">
        <v>700</v>
      </c>
      <c r="G32">
        <f>'설계개요(3단지)'!R10</f>
        <v>700</v>
      </c>
      <c r="H32" s="834">
        <v>700</v>
      </c>
      <c r="I32">
        <f>'설계개요(4단지)'!R10</f>
        <v>700</v>
      </c>
      <c r="J32" s="834">
        <f t="shared" si="8"/>
        <v>3000</v>
      </c>
      <c r="K32" s="834">
        <f t="shared" si="8"/>
        <v>3000</v>
      </c>
      <c r="L32" s="834">
        <f t="shared" si="9"/>
        <v>0</v>
      </c>
    </row>
    <row r="33" spans="1:12">
      <c r="A33" t="s">
        <v>507</v>
      </c>
      <c r="B33" s="834">
        <v>700</v>
      </c>
      <c r="C33" s="834">
        <f>'설계개요(1단지)'!R11</f>
        <v>400</v>
      </c>
      <c r="D33" s="834">
        <v>700</v>
      </c>
      <c r="E33" s="834">
        <f>'설계개요(2단지)'!R11</f>
        <v>250</v>
      </c>
      <c r="F33" s="834">
        <v>700</v>
      </c>
      <c r="G33">
        <f>'설계개요(3단지)'!R11</f>
        <v>250</v>
      </c>
      <c r="H33" s="834">
        <v>700</v>
      </c>
      <c r="I33">
        <f>'설계개요(4단지)'!R11</f>
        <v>400</v>
      </c>
      <c r="J33" s="834">
        <f t="shared" si="8"/>
        <v>2800</v>
      </c>
      <c r="K33" s="834">
        <f t="shared" si="8"/>
        <v>1300</v>
      </c>
      <c r="L33" s="834">
        <f t="shared" si="9"/>
        <v>-1500</v>
      </c>
    </row>
    <row r="34" spans="1:12">
      <c r="A34" t="s">
        <v>34</v>
      </c>
      <c r="B34" s="834">
        <v>3000</v>
      </c>
      <c r="C34" s="834">
        <f>'설계개요(1단지)'!R12</f>
        <v>7045</v>
      </c>
      <c r="D34" s="834">
        <v>2000</v>
      </c>
      <c r="E34" s="834">
        <f>'설계개요(2단지)'!R12</f>
        <v>3810</v>
      </c>
      <c r="F34" s="834">
        <v>2000</v>
      </c>
      <c r="G34">
        <f>'설계개요(3단지)'!R12</f>
        <v>4630</v>
      </c>
      <c r="H34" s="834">
        <v>2000</v>
      </c>
      <c r="I34">
        <f>'설계개요(4단지)'!R12</f>
        <v>8295</v>
      </c>
      <c r="J34" s="834">
        <f t="shared" si="8"/>
        <v>9000</v>
      </c>
      <c r="K34" s="834">
        <f t="shared" si="8"/>
        <v>23780</v>
      </c>
      <c r="L34" s="834">
        <f t="shared" si="9"/>
        <v>14780</v>
      </c>
    </row>
    <row r="35" spans="1:12">
      <c r="A35" t="s">
        <v>47</v>
      </c>
      <c r="B35" s="834">
        <f t="shared" ref="B35:I35" si="10">SUM(B28:B34)</f>
        <v>6950</v>
      </c>
      <c r="C35" s="834">
        <f t="shared" si="10"/>
        <v>10715</v>
      </c>
      <c r="D35" s="834">
        <f t="shared" si="10"/>
        <v>5400</v>
      </c>
      <c r="E35" s="834">
        <f t="shared" si="10"/>
        <v>6360</v>
      </c>
      <c r="F35" s="834">
        <f t="shared" si="10"/>
        <v>5450</v>
      </c>
      <c r="G35" s="834">
        <f t="shared" si="10"/>
        <v>7650</v>
      </c>
      <c r="H35" s="834">
        <f t="shared" si="10"/>
        <v>5450</v>
      </c>
      <c r="I35" s="834">
        <f t="shared" si="10"/>
        <v>11545</v>
      </c>
      <c r="J35" s="834">
        <f t="shared" si="8"/>
        <v>23250</v>
      </c>
      <c r="K35" s="834">
        <f t="shared" si="8"/>
        <v>36270</v>
      </c>
      <c r="L35" s="834">
        <f t="shared" si="9"/>
        <v>13020</v>
      </c>
    </row>
    <row r="36" spans="1:12">
      <c r="A36" t="s">
        <v>508</v>
      </c>
      <c r="B36" s="834">
        <f t="shared" ref="B36:K36" si="11">B35/B40*0.3025</f>
        <v>1.3723074412532636</v>
      </c>
      <c r="C36" s="834">
        <f t="shared" si="11"/>
        <v>2.0871136509980683</v>
      </c>
      <c r="D36" s="834">
        <f t="shared" si="11"/>
        <v>1.7602370689655171</v>
      </c>
      <c r="E36" s="834">
        <f t="shared" si="11"/>
        <v>2.0510660980810234</v>
      </c>
      <c r="F36" s="834">
        <f t="shared" si="11"/>
        <v>1.4667482206405693</v>
      </c>
      <c r="G36" s="834">
        <f t="shared" si="11"/>
        <v>2.0569999999999999</v>
      </c>
      <c r="H36" s="834">
        <f t="shared" si="11"/>
        <v>1.0712313190383367</v>
      </c>
      <c r="I36" s="834">
        <f t="shared" si="11"/>
        <v>2.2648265239948118</v>
      </c>
      <c r="J36" s="834">
        <f t="shared" si="11"/>
        <v>1.3728528206129222</v>
      </c>
      <c r="K36" s="834">
        <f t="shared" si="11"/>
        <v>2.1271180690189997</v>
      </c>
      <c r="L36" s="834">
        <f t="shared" si="9"/>
        <v>0.75426524840607745</v>
      </c>
    </row>
    <row r="37" spans="1:12">
      <c r="A37" t="s">
        <v>470</v>
      </c>
      <c r="B37" s="834">
        <v>1575</v>
      </c>
      <c r="C37" s="834">
        <f>'설계개요(1단지)'!R15</f>
        <v>1575</v>
      </c>
      <c r="D37" s="834">
        <v>412.95</v>
      </c>
      <c r="E37" s="834">
        <f>'설계개요(2단지)'!R15</f>
        <v>412.95000000000005</v>
      </c>
      <c r="F37" s="834">
        <v>1575</v>
      </c>
      <c r="G37">
        <f>'설계개요(3단지)'!R15</f>
        <v>1575</v>
      </c>
      <c r="H37" s="834">
        <v>1575</v>
      </c>
      <c r="I37">
        <f>'설계개요(4단지)'!R15</f>
        <v>1575</v>
      </c>
      <c r="J37" s="834">
        <f t="shared" si="8"/>
        <v>5137.95</v>
      </c>
      <c r="K37" s="834">
        <f t="shared" si="8"/>
        <v>5137.95</v>
      </c>
      <c r="L37" s="834">
        <f t="shared" si="9"/>
        <v>0</v>
      </c>
    </row>
    <row r="38" spans="1:12">
      <c r="A38" t="s">
        <v>1</v>
      </c>
      <c r="B38" s="834">
        <f t="shared" ref="B38:K38" si="12">B35+B37</f>
        <v>8525</v>
      </c>
      <c r="C38" s="834">
        <f t="shared" si="12"/>
        <v>12290</v>
      </c>
      <c r="D38" s="834">
        <f t="shared" si="12"/>
        <v>5812.95</v>
      </c>
      <c r="E38" s="834">
        <f t="shared" si="12"/>
        <v>6772.95</v>
      </c>
      <c r="F38" s="834">
        <f t="shared" si="12"/>
        <v>7025</v>
      </c>
      <c r="G38" s="834">
        <f t="shared" si="12"/>
        <v>9225</v>
      </c>
      <c r="H38" s="834">
        <f t="shared" si="12"/>
        <v>7025</v>
      </c>
      <c r="I38" s="834">
        <f t="shared" si="12"/>
        <v>13120</v>
      </c>
      <c r="J38" s="834">
        <f t="shared" si="12"/>
        <v>28387.95</v>
      </c>
      <c r="K38" s="834">
        <f t="shared" si="12"/>
        <v>41407.949999999997</v>
      </c>
      <c r="L38" s="834">
        <f t="shared" si="9"/>
        <v>13019.999999999996</v>
      </c>
    </row>
    <row r="39" spans="1:12">
      <c r="A39" t="s">
        <v>508</v>
      </c>
      <c r="B39" s="834">
        <f t="shared" ref="B39:K39" si="13">B38/B40*0.3025</f>
        <v>1.6832979765013054</v>
      </c>
      <c r="C39" s="834">
        <f t="shared" si="13"/>
        <v>2.3938989053444946</v>
      </c>
      <c r="D39" s="834">
        <f t="shared" si="13"/>
        <v>1.8948463092672412</v>
      </c>
      <c r="E39" s="834">
        <f t="shared" si="13"/>
        <v>2.1842402718550105</v>
      </c>
      <c r="F39" s="834">
        <f t="shared" si="13"/>
        <v>1.890625</v>
      </c>
      <c r="G39" s="834">
        <f t="shared" si="13"/>
        <v>2.4804999999999997</v>
      </c>
      <c r="H39" s="834">
        <f t="shared" si="13"/>
        <v>1.3808073424301495</v>
      </c>
      <c r="I39" s="834">
        <f t="shared" si="13"/>
        <v>2.573800259403372</v>
      </c>
      <c r="J39" s="834">
        <f t="shared" si="13"/>
        <v>1.6762355797384345</v>
      </c>
      <c r="K39" s="834">
        <f t="shared" si="13"/>
        <v>2.4284422014346645</v>
      </c>
      <c r="L39" s="834">
        <f>K39-J39</f>
        <v>0.75220662169622998</v>
      </c>
    </row>
    <row r="40" spans="1:12">
      <c r="A40" t="s">
        <v>2</v>
      </c>
      <c r="B40" s="834">
        <v>1532</v>
      </c>
      <c r="C40" s="834">
        <v>1553</v>
      </c>
      <c r="D40" s="834">
        <v>928</v>
      </c>
      <c r="E40" s="834">
        <v>938</v>
      </c>
      <c r="F40" s="834">
        <v>1124</v>
      </c>
      <c r="G40">
        <v>1125</v>
      </c>
      <c r="H40" s="834">
        <v>1539</v>
      </c>
      <c r="I40" s="834">
        <v>1542</v>
      </c>
      <c r="J40" s="834">
        <f t="shared" ref="J40:K40" si="14">B40+D40+F40+H40</f>
        <v>5123</v>
      </c>
      <c r="K40" s="834">
        <f t="shared" si="14"/>
        <v>5158</v>
      </c>
      <c r="L40" s="834">
        <f t="shared" si="9"/>
        <v>35</v>
      </c>
    </row>
    <row r="41" spans="1:12">
      <c r="B41" t="s">
        <v>503</v>
      </c>
      <c r="C41" s="834"/>
      <c r="E41" s="834"/>
    </row>
    <row r="42" spans="1:12">
      <c r="B42" t="s">
        <v>487</v>
      </c>
      <c r="D42" t="s">
        <v>492</v>
      </c>
      <c r="F42" t="s">
        <v>493</v>
      </c>
      <c r="H42" t="s">
        <v>494</v>
      </c>
      <c r="J42" t="s">
        <v>1</v>
      </c>
    </row>
    <row r="43" spans="1:12">
      <c r="B43" t="s">
        <v>488</v>
      </c>
      <c r="C43" t="s">
        <v>496</v>
      </c>
      <c r="D43" t="s">
        <v>488</v>
      </c>
      <c r="E43" t="s">
        <v>496</v>
      </c>
      <c r="F43" t="s">
        <v>488</v>
      </c>
      <c r="G43" t="s">
        <v>496</v>
      </c>
      <c r="H43" t="s">
        <v>488</v>
      </c>
      <c r="I43" t="s">
        <v>496</v>
      </c>
      <c r="J43" t="s">
        <v>488</v>
      </c>
      <c r="K43" t="s">
        <v>496</v>
      </c>
    </row>
    <row r="44" spans="1:12">
      <c r="B44" s="834">
        <v>122560</v>
      </c>
      <c r="C44" s="834">
        <f>'설계개요(1단지)'!Q82</f>
        <v>155300</v>
      </c>
      <c r="D44" s="834">
        <v>74240</v>
      </c>
      <c r="E44" s="834">
        <f>'설계개요(2단지)'!Q79</f>
        <v>93800</v>
      </c>
      <c r="F44" s="834">
        <v>89620</v>
      </c>
      <c r="G44" s="834">
        <f>'설계개요(3단지)'!Q79</f>
        <v>112200</v>
      </c>
      <c r="H44" s="834">
        <v>123120</v>
      </c>
      <c r="I44" s="834">
        <f>'설계개요(4단지)'!Q77</f>
        <v>138891.92550118445</v>
      </c>
      <c r="J44" s="834">
        <f>B44+D44+F44+H44</f>
        <v>409540</v>
      </c>
      <c r="K44" s="834">
        <f>C44+E44+G44+I44</f>
        <v>500191.92550118442</v>
      </c>
      <c r="L44" s="834">
        <f>K44-J44</f>
        <v>90651.925501184422</v>
      </c>
    </row>
    <row r="45" spans="1:12">
      <c r="B45" s="834"/>
      <c r="C45" s="834"/>
      <c r="D45" s="834"/>
      <c r="E45" s="834"/>
      <c r="F45" s="834"/>
      <c r="G45" s="834"/>
      <c r="H45" s="834"/>
      <c r="I45" s="834"/>
      <c r="J45" s="834"/>
      <c r="K45" s="834"/>
    </row>
    <row r="46" spans="1:12">
      <c r="B46" s="834"/>
      <c r="C46" s="834"/>
      <c r="D46" s="834"/>
      <c r="E46" s="834"/>
      <c r="F46" s="834"/>
      <c r="G46" s="834"/>
      <c r="H46" s="834"/>
      <c r="I46" s="834"/>
      <c r="J46" s="834"/>
      <c r="K46" s="834"/>
    </row>
    <row r="47" spans="1:12">
      <c r="B47" s="834"/>
      <c r="C47" s="834"/>
      <c r="D47" s="834"/>
      <c r="E47" s="834"/>
      <c r="F47" s="834"/>
      <c r="G47" s="834"/>
      <c r="H47" s="834"/>
      <c r="I47" s="834"/>
      <c r="J47" s="834"/>
      <c r="K47" s="834"/>
    </row>
    <row r="49" spans="1:4">
      <c r="A49" s="837"/>
      <c r="B49" s="837" t="s">
        <v>488</v>
      </c>
      <c r="C49" s="837" t="s">
        <v>496</v>
      </c>
      <c r="D49" s="837" t="s">
        <v>509</v>
      </c>
    </row>
    <row r="50" spans="1:4">
      <c r="A50" s="837" t="s">
        <v>510</v>
      </c>
      <c r="B50" s="836">
        <f t="shared" ref="B50:C52" si="15">B21</f>
        <v>12927.38</v>
      </c>
      <c r="C50" s="836">
        <f t="shared" si="15"/>
        <v>10167.376</v>
      </c>
      <c r="D50" s="836">
        <f>C50-B50</f>
        <v>-2760.003999999999</v>
      </c>
    </row>
    <row r="51" spans="1:4">
      <c r="A51" s="837" t="s">
        <v>511</v>
      </c>
      <c r="B51" s="836">
        <f t="shared" si="15"/>
        <v>8247.3799999999992</v>
      </c>
      <c r="C51" s="836">
        <f t="shared" si="15"/>
        <v>6247.3760000000002</v>
      </c>
      <c r="D51" s="836">
        <f t="shared" ref="D51:D66" si="16">C51-B51</f>
        <v>-2000.003999999999</v>
      </c>
    </row>
    <row r="52" spans="1:4">
      <c r="A52" s="837" t="s">
        <v>501</v>
      </c>
      <c r="B52" s="836">
        <f t="shared" si="15"/>
        <v>4680</v>
      </c>
      <c r="C52" s="836">
        <f t="shared" si="15"/>
        <v>3920</v>
      </c>
      <c r="D52" s="836">
        <f t="shared" si="16"/>
        <v>-760</v>
      </c>
    </row>
    <row r="53" spans="1:4">
      <c r="A53" s="837" t="s">
        <v>517</v>
      </c>
      <c r="B53" s="836">
        <f>E21</f>
        <v>611902.87</v>
      </c>
      <c r="C53" s="836">
        <f>F21</f>
        <v>614014.09</v>
      </c>
      <c r="D53" s="836">
        <f t="shared" si="16"/>
        <v>2111.2199999999721</v>
      </c>
    </row>
    <row r="54" spans="1:4">
      <c r="A54" s="837" t="s">
        <v>497</v>
      </c>
      <c r="B54" s="836">
        <f>H21</f>
        <v>1064358.2</v>
      </c>
      <c r="C54" s="836">
        <f>I21</f>
        <v>1182689.416</v>
      </c>
      <c r="D54" s="836">
        <f t="shared" si="16"/>
        <v>118331.21600000001</v>
      </c>
    </row>
    <row r="55" spans="1:4">
      <c r="A55" s="837" t="s">
        <v>32</v>
      </c>
      <c r="B55" s="836">
        <f>J44</f>
        <v>409540</v>
      </c>
      <c r="C55" s="836">
        <f>K44</f>
        <v>500191.92550118442</v>
      </c>
      <c r="D55" s="836">
        <f t="shared" si="16"/>
        <v>90651.925501184422</v>
      </c>
    </row>
    <row r="56" spans="1:4">
      <c r="A56" s="837" t="s">
        <v>512</v>
      </c>
      <c r="B56" s="836">
        <f>B35</f>
        <v>6950</v>
      </c>
      <c r="C56" s="836">
        <f>C35</f>
        <v>10715</v>
      </c>
      <c r="D56" s="836">
        <f t="shared" si="16"/>
        <v>3765</v>
      </c>
    </row>
    <row r="57" spans="1:4">
      <c r="A57" s="837" t="s">
        <v>518</v>
      </c>
      <c r="B57" s="836">
        <f>B36</f>
        <v>1.3723074412532636</v>
      </c>
      <c r="C57" s="836">
        <f>C36</f>
        <v>2.0871136509980683</v>
      </c>
      <c r="D57" s="836">
        <f t="shared" si="16"/>
        <v>0.71480620974480469</v>
      </c>
    </row>
    <row r="58" spans="1:4">
      <c r="A58" s="837" t="s">
        <v>513</v>
      </c>
      <c r="B58" s="836">
        <f>D35</f>
        <v>5400</v>
      </c>
      <c r="C58" s="836">
        <f>E35</f>
        <v>6360</v>
      </c>
      <c r="D58" s="836">
        <f t="shared" si="16"/>
        <v>960</v>
      </c>
    </row>
    <row r="59" spans="1:4">
      <c r="A59" s="837" t="s">
        <v>518</v>
      </c>
      <c r="B59" s="836">
        <f>D36</f>
        <v>1.7602370689655171</v>
      </c>
      <c r="C59" s="836">
        <f>E36</f>
        <v>2.0510660980810234</v>
      </c>
      <c r="D59" s="836">
        <f t="shared" si="16"/>
        <v>0.29082902911550623</v>
      </c>
    </row>
    <row r="60" spans="1:4">
      <c r="A60" s="837" t="s">
        <v>514</v>
      </c>
      <c r="B60" s="836">
        <f>F35</f>
        <v>5450</v>
      </c>
      <c r="C60" s="836">
        <f>G35</f>
        <v>7650</v>
      </c>
      <c r="D60" s="836">
        <f t="shared" si="16"/>
        <v>2200</v>
      </c>
    </row>
    <row r="61" spans="1:4">
      <c r="A61" s="837" t="s">
        <v>518</v>
      </c>
      <c r="B61" s="836">
        <f>F36</f>
        <v>1.4667482206405693</v>
      </c>
      <c r="C61" s="836">
        <f>G36</f>
        <v>2.0569999999999999</v>
      </c>
      <c r="D61" s="836">
        <f t="shared" si="16"/>
        <v>0.59025177935943063</v>
      </c>
    </row>
    <row r="62" spans="1:4">
      <c r="A62" s="837" t="s">
        <v>515</v>
      </c>
      <c r="B62" s="836">
        <f>H35</f>
        <v>5450</v>
      </c>
      <c r="C62" s="836">
        <f>I35</f>
        <v>11545</v>
      </c>
      <c r="D62" s="836">
        <f t="shared" si="16"/>
        <v>6095</v>
      </c>
    </row>
    <row r="63" spans="1:4">
      <c r="A63" s="837" t="s">
        <v>518</v>
      </c>
      <c r="B63" s="836">
        <f>H36</f>
        <v>1.0712313190383367</v>
      </c>
      <c r="C63" s="836">
        <f>I36</f>
        <v>2.2648265239948118</v>
      </c>
      <c r="D63" s="836">
        <f t="shared" si="16"/>
        <v>1.1935952049564751</v>
      </c>
    </row>
    <row r="64" spans="1:4">
      <c r="A64" s="837" t="s">
        <v>516</v>
      </c>
      <c r="B64" s="836">
        <f>J35</f>
        <v>23250</v>
      </c>
      <c r="C64" s="836">
        <f>K35</f>
        <v>36270</v>
      </c>
      <c r="D64" s="836">
        <f t="shared" si="16"/>
        <v>13020</v>
      </c>
    </row>
    <row r="65" spans="1:4">
      <c r="A65" s="837" t="s">
        <v>518</v>
      </c>
      <c r="B65" s="836">
        <f>J36</f>
        <v>1.3728528206129222</v>
      </c>
      <c r="C65" s="836">
        <f>K36</f>
        <v>2.1271180690189997</v>
      </c>
      <c r="D65" s="836">
        <f t="shared" si="16"/>
        <v>0.75426524840607745</v>
      </c>
    </row>
    <row r="66" spans="1:4">
      <c r="A66" s="837" t="s">
        <v>2</v>
      </c>
      <c r="B66" s="837">
        <f>O13</f>
        <v>5123</v>
      </c>
      <c r="C66" s="837">
        <f>P13</f>
        <v>5158</v>
      </c>
      <c r="D66" s="836">
        <f t="shared" si="16"/>
        <v>35</v>
      </c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4F81BD"/>
    <pageSetUpPr autoPageBreaks="0" fitToPage="1"/>
  </sheetPr>
  <dimension ref="B1:AQ127"/>
  <sheetViews>
    <sheetView topLeftCell="G14" zoomScaleNormal="100" zoomScaleSheetLayoutView="100" workbookViewId="0">
      <selection activeCell="O79" sqref="O79"/>
    </sheetView>
  </sheetViews>
  <sheetFormatPr defaultColWidth="8.77734375" defaultRowHeight="14.1" customHeight="1"/>
  <cols>
    <col min="1" max="2" width="8.77734375" style="2"/>
    <col min="3" max="3" width="10.21875" style="2" bestFit="1" customWidth="1"/>
    <col min="4" max="4" width="7.6640625" style="2" customWidth="1"/>
    <col min="5" max="5" width="9.77734375" style="2" bestFit="1" customWidth="1"/>
    <col min="6" max="6" width="8.77734375" style="2"/>
    <col min="7" max="7" width="13.21875" style="2" customWidth="1"/>
    <col min="8" max="9" width="9.21875" style="2" customWidth="1"/>
    <col min="10" max="13" width="11.6640625" style="2" customWidth="1"/>
    <col min="14" max="14" width="12.21875" style="2" bestFit="1" customWidth="1"/>
    <col min="15" max="15" width="14.44140625" style="2" customWidth="1"/>
    <col min="16" max="16" width="14.88671875" style="2" customWidth="1"/>
    <col min="17" max="17" width="13.5546875" style="2" customWidth="1"/>
    <col min="18" max="18" width="12.33203125" style="2" customWidth="1"/>
    <col min="19" max="19" width="11.109375" style="2" customWidth="1"/>
    <col min="20" max="20" width="14" style="2" customWidth="1"/>
    <col min="21" max="21" width="4.5546875" style="2" customWidth="1"/>
    <col min="22" max="22" width="10.77734375" style="2" customWidth="1"/>
    <col min="23" max="23" width="15.21875" style="2" bestFit="1" customWidth="1"/>
    <col min="24" max="24" width="10.33203125" style="2" bestFit="1" customWidth="1"/>
    <col min="25" max="25" width="10.6640625" style="2" bestFit="1" customWidth="1"/>
    <col min="26" max="26" width="18.33203125" style="2" customWidth="1"/>
    <col min="27" max="27" width="8.77734375" style="2" customWidth="1"/>
    <col min="28" max="28" width="11.77734375" style="2" customWidth="1"/>
    <col min="29" max="29" width="8.6640625" style="2" customWidth="1"/>
    <col min="30" max="30" width="9.6640625" style="2" customWidth="1"/>
    <col min="31" max="31" width="15.77734375" style="2" customWidth="1"/>
    <col min="32" max="32" width="13.5546875" style="2" bestFit="1" customWidth="1"/>
    <col min="33" max="33" width="14.44140625" style="2" bestFit="1" customWidth="1"/>
    <col min="34" max="34" width="15.44140625" style="2" bestFit="1" customWidth="1"/>
    <col min="35" max="35" width="10.5546875" style="2" bestFit="1" customWidth="1"/>
    <col min="36" max="16384" width="8.77734375" style="2"/>
  </cols>
  <sheetData>
    <row r="1" spans="3:31" ht="14.1" customHeight="1"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</row>
    <row r="2" spans="3:31" ht="18" customHeight="1" thickBot="1">
      <c r="F2" s="77"/>
      <c r="G2" s="839" t="s">
        <v>252</v>
      </c>
      <c r="H2" s="839"/>
      <c r="I2" s="839"/>
      <c r="J2" s="839"/>
      <c r="K2" s="839"/>
      <c r="L2" s="840"/>
      <c r="M2" s="70"/>
      <c r="N2" s="380" t="s">
        <v>33</v>
      </c>
      <c r="O2" s="381"/>
      <c r="P2" s="381"/>
      <c r="Q2" s="381"/>
      <c r="R2" s="381"/>
      <c r="T2" s="2">
        <v>7.21</v>
      </c>
      <c r="V2" s="1245">
        <v>44763</v>
      </c>
      <c r="W2" s="1246"/>
    </row>
    <row r="3" spans="3:31" ht="17.100000000000001" customHeight="1">
      <c r="E3" s="310">
        <v>0.7</v>
      </c>
      <c r="F3" s="77"/>
      <c r="G3" s="72" t="s">
        <v>52</v>
      </c>
      <c r="H3" s="844" t="s">
        <v>229</v>
      </c>
      <c r="I3" s="845"/>
      <c r="J3" s="845"/>
      <c r="K3" s="845"/>
      <c r="L3" s="846"/>
      <c r="M3" s="51"/>
      <c r="N3" s="53" t="s">
        <v>65</v>
      </c>
      <c r="O3" s="29"/>
      <c r="P3" s="84" t="s">
        <v>61</v>
      </c>
      <c r="Q3" s="30"/>
      <c r="R3" s="31" t="s">
        <v>10</v>
      </c>
      <c r="S3" s="847" t="s">
        <v>51</v>
      </c>
      <c r="T3" s="848"/>
    </row>
    <row r="4" spans="3:31" ht="17.100000000000001" customHeight="1" thickBot="1">
      <c r="E4" s="311">
        <f>J23/(J14*E3)</f>
        <v>1.1794444533558033</v>
      </c>
      <c r="F4" s="77"/>
      <c r="G4" s="73" t="s">
        <v>11</v>
      </c>
      <c r="H4" s="849" t="s">
        <v>230</v>
      </c>
      <c r="I4" s="850"/>
      <c r="J4" s="850"/>
      <c r="K4" s="850"/>
      <c r="L4" s="851"/>
      <c r="M4" s="51"/>
      <c r="N4" s="279" t="s">
        <v>4</v>
      </c>
      <c r="O4" s="852" t="str">
        <f>INDEX($N$103:$R$103,MATCH($H$78,$N$102:$R$102,1))</f>
        <v>1000~2000세대 미만</v>
      </c>
      <c r="P4" s="852"/>
      <c r="Q4" s="853"/>
      <c r="R4" s="32">
        <f>INDEX($N$104:$R$104,MATCH($H$78,$N$102:$R$102,1))</f>
        <v>15</v>
      </c>
      <c r="S4" s="21"/>
      <c r="T4" s="67"/>
    </row>
    <row r="5" spans="3:31" ht="17.100000000000001" customHeight="1">
      <c r="F5" s="77"/>
      <c r="G5" s="73" t="s">
        <v>27</v>
      </c>
      <c r="H5" s="849" t="s">
        <v>231</v>
      </c>
      <c r="I5" s="850"/>
      <c r="J5" s="850"/>
      <c r="K5" s="850"/>
      <c r="L5" s="851"/>
      <c r="M5" s="51"/>
      <c r="N5" s="280" t="s">
        <v>5</v>
      </c>
      <c r="O5" s="857" t="s">
        <v>25</v>
      </c>
      <c r="P5" s="857"/>
      <c r="Q5" s="861"/>
      <c r="R5" s="33" t="s">
        <v>12</v>
      </c>
      <c r="S5" s="22"/>
      <c r="T5" s="68"/>
    </row>
    <row r="6" spans="3:31" ht="17.100000000000001" customHeight="1">
      <c r="F6" s="77"/>
      <c r="G6" s="73" t="s">
        <v>39</v>
      </c>
      <c r="H6" s="50" t="s">
        <v>235</v>
      </c>
      <c r="I6" s="185">
        <f>ROUNDUP(E4,0)</f>
        <v>2</v>
      </c>
      <c r="J6" s="186"/>
      <c r="K6" s="186"/>
      <c r="L6" s="186"/>
      <c r="M6" s="51"/>
      <c r="N6" s="280" t="s">
        <v>6</v>
      </c>
      <c r="O6" s="862">
        <f>H78</f>
        <v>1120</v>
      </c>
      <c r="P6" s="862"/>
      <c r="Q6" s="23">
        <f>IF(H78&gt;=50, ROUNDUP((10+(H78-50)*0.05),2), "해당없음")</f>
        <v>63.5</v>
      </c>
      <c r="R6" s="277">
        <f>'설계개요(통합)'!R6-'설계개요(1단지)'!R6</f>
        <v>80</v>
      </c>
      <c r="S6" s="1143" t="s">
        <v>13</v>
      </c>
      <c r="T6" s="858"/>
    </row>
    <row r="7" spans="3:31" ht="17.100000000000001" customHeight="1">
      <c r="F7" s="77"/>
      <c r="G7" s="74" t="s">
        <v>40</v>
      </c>
      <c r="H7" s="863" t="s">
        <v>78</v>
      </c>
      <c r="I7" s="864"/>
      <c r="J7" s="864"/>
      <c r="K7" s="864"/>
      <c r="L7" s="865"/>
      <c r="M7" s="51"/>
      <c r="N7" s="281" t="s">
        <v>66</v>
      </c>
      <c r="O7" s="24"/>
      <c r="P7" s="63"/>
      <c r="Q7" s="25"/>
      <c r="R7" s="363">
        <v>80</v>
      </c>
      <c r="S7" s="1143"/>
      <c r="T7" s="858"/>
    </row>
    <row r="8" spans="3:31" ht="17.100000000000001" customHeight="1">
      <c r="F8" s="77"/>
      <c r="G8" s="1134" t="s">
        <v>41</v>
      </c>
      <c r="H8" s="884" t="s">
        <v>3</v>
      </c>
      <c r="I8" s="885"/>
      <c r="J8" s="325">
        <v>182618.4</v>
      </c>
      <c r="K8" s="331">
        <f t="shared" ref="K8" si="0">ROUNDDOWN(J8*0.3025,2)</f>
        <v>55242.06</v>
      </c>
      <c r="L8" s="105">
        <f>J8/$J$8</f>
        <v>1</v>
      </c>
      <c r="M8" s="51"/>
      <c r="N8" s="279" t="s">
        <v>67</v>
      </c>
      <c r="O8" s="1092" t="s">
        <v>75</v>
      </c>
      <c r="P8" s="868" t="s">
        <v>249</v>
      </c>
      <c r="Q8" s="26">
        <v>375</v>
      </c>
      <c r="R8" s="361">
        <v>400</v>
      </c>
      <c r="S8" s="1241" t="s">
        <v>247</v>
      </c>
      <c r="T8" s="1242"/>
      <c r="Y8" s="173"/>
    </row>
    <row r="9" spans="3:31" ht="17.100000000000001" customHeight="1">
      <c r="F9" s="77"/>
      <c r="G9" s="1135"/>
      <c r="H9" s="1137" t="s">
        <v>14</v>
      </c>
      <c r="I9" s="65"/>
      <c r="J9" s="326"/>
      <c r="K9" s="332">
        <f>ROUNDDOWN(J9*0.3025,2)</f>
        <v>0</v>
      </c>
      <c r="L9" s="15">
        <f>J9/$J$8</f>
        <v>0</v>
      </c>
      <c r="M9" s="189"/>
      <c r="N9" s="280" t="s">
        <v>24</v>
      </c>
      <c r="O9" s="1093"/>
      <c r="P9" s="869"/>
      <c r="Q9" s="26">
        <v>580</v>
      </c>
      <c r="R9" s="362">
        <v>600</v>
      </c>
      <c r="S9" s="1241" t="s">
        <v>247</v>
      </c>
      <c r="T9" s="1242"/>
    </row>
    <row r="10" spans="3:31" ht="17.100000000000001" customHeight="1">
      <c r="C10" s="130" t="s">
        <v>158</v>
      </c>
      <c r="D10" s="289">
        <v>3</v>
      </c>
      <c r="E10" s="312">
        <f>$H$78*D10</f>
        <v>3360</v>
      </c>
      <c r="F10" s="77"/>
      <c r="G10" s="1135"/>
      <c r="H10" s="1138"/>
      <c r="I10" s="65"/>
      <c r="J10" s="326"/>
      <c r="K10" s="332">
        <f>ROUNDDOWN(J10*0.3025,2)</f>
        <v>0</v>
      </c>
      <c r="L10" s="15">
        <f>J10/$J$8</f>
        <v>0</v>
      </c>
      <c r="M10" s="51"/>
      <c r="N10" s="280" t="s">
        <v>35</v>
      </c>
      <c r="O10" s="1093"/>
      <c r="P10" s="870"/>
      <c r="Q10" s="26">
        <v>203</v>
      </c>
      <c r="R10" s="277">
        <v>250</v>
      </c>
      <c r="S10" s="28"/>
      <c r="T10" s="68"/>
      <c r="W10" s="130"/>
      <c r="X10" s="149"/>
    </row>
    <row r="11" spans="3:31" ht="17.100000000000001" customHeight="1">
      <c r="F11" s="77"/>
      <c r="G11" s="1135"/>
      <c r="H11" s="1138"/>
      <c r="I11" s="65"/>
      <c r="J11" s="326"/>
      <c r="K11" s="332">
        <f>ROUNDDOWN(J11*0.3025,2)</f>
        <v>0</v>
      </c>
      <c r="L11" s="15">
        <f>J11/$J$8</f>
        <v>0</v>
      </c>
      <c r="M11" s="51"/>
      <c r="N11" s="55" t="s">
        <v>88</v>
      </c>
      <c r="O11" s="1093"/>
      <c r="P11" s="147" t="str">
        <f>IF(H78&gt;=500,"500세대이상 의무설치", "해당없음")</f>
        <v>500세대이상 의무설치</v>
      </c>
      <c r="Q11" s="26" t="str">
        <f>IF(H78&gt;=500,"66㎡ 이상", "해당없음")</f>
        <v>66㎡ 이상</v>
      </c>
      <c r="R11" s="250">
        <v>200</v>
      </c>
      <c r="S11" s="28"/>
      <c r="T11" s="68"/>
    </row>
    <row r="12" spans="3:31" ht="17.100000000000001" customHeight="1">
      <c r="F12" s="77"/>
      <c r="G12" s="1135"/>
      <c r="H12" s="1138"/>
      <c r="I12" s="65"/>
      <c r="J12" s="326"/>
      <c r="K12" s="332"/>
      <c r="L12" s="15"/>
      <c r="M12" s="51"/>
      <c r="N12" s="55" t="s">
        <v>34</v>
      </c>
      <c r="O12" s="1093"/>
      <c r="P12" s="61"/>
      <c r="Q12" s="47"/>
      <c r="R12" s="277">
        <v>2500</v>
      </c>
      <c r="S12" s="1140"/>
      <c r="T12" s="1141"/>
    </row>
    <row r="13" spans="3:31" ht="16.5" customHeight="1">
      <c r="F13" s="77"/>
      <c r="G13" s="1135"/>
      <c r="H13" s="1139"/>
      <c r="I13" s="65"/>
      <c r="J13" s="327"/>
      <c r="K13" s="333">
        <f>ROUNDDOWN(J13*0.3025,2)</f>
        <v>0</v>
      </c>
      <c r="L13" s="102">
        <f>J13/$J$8</f>
        <v>0</v>
      </c>
      <c r="M13" s="51"/>
      <c r="N13" s="55" t="s">
        <v>76</v>
      </c>
      <c r="O13" s="1093"/>
      <c r="P13" s="202" t="str">
        <f>IF(H78&gt;=500,"500세대이상 의무설치", "해당없음")</f>
        <v>500세대이상 의무설치</v>
      </c>
      <c r="Q13" s="47"/>
      <c r="R13" s="277">
        <v>800</v>
      </c>
      <c r="S13" s="22"/>
      <c r="T13" s="68"/>
      <c r="W13" s="130"/>
      <c r="X13" s="177"/>
    </row>
    <row r="14" spans="3:31" ht="17.100000000000001" customHeight="1">
      <c r="F14" s="77"/>
      <c r="G14" s="1136"/>
      <c r="H14" s="1115" t="s">
        <v>42</v>
      </c>
      <c r="I14" s="1116"/>
      <c r="J14" s="328">
        <f>'설계개요(통합)'!J14-'설계개요(1단지)'!J14</f>
        <v>90841.799999999959</v>
      </c>
      <c r="K14" s="334">
        <f>ROUNDDOWN(J14*0.3025,2)</f>
        <v>27479.64</v>
      </c>
      <c r="L14" s="18">
        <f>J14/$J$8</f>
        <v>0.49744056458713887</v>
      </c>
      <c r="M14" s="51"/>
      <c r="N14" s="55" t="s">
        <v>77</v>
      </c>
      <c r="O14" s="1094"/>
      <c r="P14" s="202" t="str">
        <f>IF(H78&lt;100,"해당없음",IF(H78&lt;300,"지역여건에 맞게 설치",IF(H78&lt;1000,"200㎡+세대당 1㎡",IF(H78&gt;1000,"500㎡+세대당 0.7㎡"))))</f>
        <v>500㎡+세대당 0.7㎡</v>
      </c>
      <c r="Q14" s="26">
        <f>500+(H78*0.7)</f>
        <v>1284</v>
      </c>
      <c r="R14" s="283">
        <v>1300</v>
      </c>
      <c r="S14" s="1095"/>
      <c r="T14" s="1142"/>
      <c r="W14" s="177"/>
    </row>
    <row r="15" spans="3:31" ht="17.100000000000001" customHeight="1">
      <c r="C15" s="2">
        <v>120698</v>
      </c>
      <c r="F15" s="77"/>
      <c r="G15" s="881" t="s">
        <v>43</v>
      </c>
      <c r="H15" s="1145" t="s">
        <v>70</v>
      </c>
      <c r="I15" s="1082"/>
      <c r="J15" s="1146" t="s">
        <v>71</v>
      </c>
      <c r="K15" s="1147"/>
      <c r="L15" s="335" t="s">
        <v>72</v>
      </c>
      <c r="M15" s="51"/>
      <c r="N15" s="282" t="s">
        <v>26</v>
      </c>
      <c r="O15" s="892" t="s">
        <v>238</v>
      </c>
      <c r="P15" s="893"/>
      <c r="Q15" s="198">
        <f>500+($H$78*2)*1.25</f>
        <v>3300</v>
      </c>
      <c r="R15" s="254">
        <f>R8+R9+R10+R11+R12+R13+R14</f>
        <v>6050</v>
      </c>
      <c r="S15" s="894" t="s">
        <v>80</v>
      </c>
      <c r="T15" s="895"/>
      <c r="W15" s="177"/>
      <c r="X15" s="889"/>
      <c r="Y15" s="889"/>
      <c r="Z15" s="889"/>
      <c r="AA15" s="889"/>
      <c r="AB15" s="889"/>
      <c r="AC15" s="889"/>
      <c r="AD15" s="889"/>
      <c r="AE15" s="889"/>
    </row>
    <row r="16" spans="3:31" ht="17.100000000000001" customHeight="1">
      <c r="C16" s="2">
        <v>93504.3</v>
      </c>
      <c r="D16" s="145">
        <f>C16/C15</f>
        <v>0.77469634956668709</v>
      </c>
      <c r="F16" s="77"/>
      <c r="G16" s="882"/>
      <c r="H16" s="1112" t="s">
        <v>44</v>
      </c>
      <c r="I16" s="66" t="s">
        <v>45</v>
      </c>
      <c r="J16" s="329">
        <f>N78+R8+R9+R7</f>
        <v>115472.95000000001</v>
      </c>
      <c r="K16" s="332">
        <f t="shared" ref="K16:K24" si="1">ROUNDDOWN(J16*0.3025,2)</f>
        <v>34930.559999999998</v>
      </c>
      <c r="L16" s="1148">
        <f>J16/$J$22</f>
        <v>0.99551696891923169</v>
      </c>
      <c r="M16" s="51"/>
      <c r="N16" s="279" t="s">
        <v>36</v>
      </c>
      <c r="O16" s="1151" t="s">
        <v>85</v>
      </c>
      <c r="P16" s="1152"/>
      <c r="Q16" s="199">
        <f>J14*0.15</f>
        <v>13626.269999999993</v>
      </c>
      <c r="R16" s="200">
        <f>ROUNDUP(Q16,-2)+100</f>
        <v>13800</v>
      </c>
      <c r="S16" s="1153"/>
      <c r="T16" s="1154"/>
      <c r="V16" s="337" t="s">
        <v>188</v>
      </c>
      <c r="X16" s="889"/>
      <c r="Y16" s="889"/>
      <c r="Z16" s="889"/>
      <c r="AA16" s="889"/>
      <c r="AB16" s="889"/>
      <c r="AC16" s="889"/>
      <c r="AD16" s="889"/>
      <c r="AE16" s="889"/>
    </row>
    <row r="17" spans="6:30" ht="17.100000000000001" customHeight="1">
      <c r="F17" s="77"/>
      <c r="G17" s="882"/>
      <c r="H17" s="1113"/>
      <c r="I17" s="66" t="s">
        <v>46</v>
      </c>
      <c r="J17" s="329">
        <f>O78+Q78+R6+R10+R12+R11</f>
        <v>70580</v>
      </c>
      <c r="K17" s="332">
        <f t="shared" si="1"/>
        <v>21350.45</v>
      </c>
      <c r="L17" s="1149"/>
      <c r="M17" s="51"/>
      <c r="N17" s="279"/>
      <c r="O17" s="1151"/>
      <c r="P17" s="1152"/>
      <c r="Q17" s="199"/>
      <c r="R17" s="200"/>
      <c r="S17" s="1153"/>
      <c r="T17" s="1154"/>
      <c r="V17" s="338">
        <v>40</v>
      </c>
      <c r="X17" s="174"/>
      <c r="Y17" s="890"/>
      <c r="Z17" s="891"/>
      <c r="AA17" s="907"/>
      <c r="AB17" s="891"/>
      <c r="AC17" s="891"/>
      <c r="AD17" s="891"/>
    </row>
    <row r="18" spans="6:30" ht="17.100000000000001" customHeight="1">
      <c r="F18" s="77"/>
      <c r="G18" s="882"/>
      <c r="H18" s="1114"/>
      <c r="I18" s="66" t="s">
        <v>47</v>
      </c>
      <c r="J18" s="329">
        <f>SUM(J16:J17)</f>
        <v>186052.95</v>
      </c>
      <c r="K18" s="332">
        <f t="shared" si="1"/>
        <v>56281.01</v>
      </c>
      <c r="L18" s="1150"/>
      <c r="M18" s="51"/>
      <c r="N18" s="1155" t="s">
        <v>37</v>
      </c>
      <c r="O18" s="874" t="s">
        <v>81</v>
      </c>
      <c r="P18" s="197" t="s">
        <v>122</v>
      </c>
      <c r="Q18" s="284">
        <f>ROUNDUP((SUMPRODUCT(H36:H51,J36:J51)+SUMPRODUCT(H56:H63,J56:J63))/75,0)</f>
        <v>1029</v>
      </c>
      <c r="R18" s="1158">
        <f>H78*S18</f>
        <v>1680</v>
      </c>
      <c r="S18" s="968">
        <v>1.5</v>
      </c>
      <c r="T18" s="969"/>
      <c r="X18" s="175"/>
      <c r="Y18" s="908"/>
      <c r="Z18" s="909"/>
      <c r="AA18" s="910"/>
      <c r="AB18" s="911"/>
      <c r="AC18" s="911"/>
      <c r="AD18" s="911"/>
    </row>
    <row r="19" spans="6:30" ht="17.100000000000001" customHeight="1">
      <c r="F19" s="77"/>
      <c r="G19" s="882"/>
      <c r="H19" s="1161" t="s">
        <v>38</v>
      </c>
      <c r="I19" s="65" t="s">
        <v>45</v>
      </c>
      <c r="J19" s="329">
        <f>M85</f>
        <v>520</v>
      </c>
      <c r="K19" s="332">
        <f t="shared" si="1"/>
        <v>157.30000000000001</v>
      </c>
      <c r="L19" s="1148">
        <f>J19/$J$22</f>
        <v>4.4830310807682707E-3</v>
      </c>
      <c r="M19" s="51"/>
      <c r="N19" s="1156"/>
      <c r="O19" s="875"/>
      <c r="P19" s="150" t="s">
        <v>123</v>
      </c>
      <c r="Q19" s="286">
        <f>ROUNDUP((SUMPRODUCT(H64:H75,J64:J75))/65,0)</f>
        <v>128</v>
      </c>
      <c r="R19" s="1159"/>
      <c r="S19" s="970"/>
      <c r="T19" s="971"/>
      <c r="X19" s="176"/>
      <c r="Y19" s="908"/>
      <c r="Z19" s="909"/>
      <c r="AA19" s="910"/>
      <c r="AB19" s="911"/>
      <c r="AC19" s="911"/>
      <c r="AD19" s="911"/>
    </row>
    <row r="20" spans="6:30" ht="17.100000000000001" customHeight="1">
      <c r="F20" s="77"/>
      <c r="G20" s="882"/>
      <c r="H20" s="1162"/>
      <c r="I20" s="65" t="s">
        <v>46</v>
      </c>
      <c r="J20" s="329">
        <f>M87+O89+P89</f>
        <v>4420</v>
      </c>
      <c r="K20" s="332">
        <f t="shared" si="1"/>
        <v>1337.05</v>
      </c>
      <c r="L20" s="1149"/>
      <c r="M20" s="51"/>
      <c r="N20" s="1156"/>
      <c r="O20" s="876"/>
      <c r="P20" s="151" t="s">
        <v>82</v>
      </c>
      <c r="Q20" s="285">
        <f>SUM(Q18:Q19)</f>
        <v>1157</v>
      </c>
      <c r="R20" s="1159"/>
      <c r="S20" s="970"/>
      <c r="T20" s="971"/>
    </row>
    <row r="21" spans="6:30" ht="17.100000000000001" customHeight="1">
      <c r="F21" s="77"/>
      <c r="G21" s="882"/>
      <c r="H21" s="1163"/>
      <c r="I21" s="65" t="s">
        <v>47</v>
      </c>
      <c r="J21" s="329">
        <f>J19+J20</f>
        <v>4940</v>
      </c>
      <c r="K21" s="332">
        <f t="shared" si="1"/>
        <v>1494.35</v>
      </c>
      <c r="L21" s="1150"/>
      <c r="M21" s="51"/>
      <c r="N21" s="1156"/>
      <c r="O21" s="874" t="s">
        <v>86</v>
      </c>
      <c r="P21" s="159" t="s">
        <v>240</v>
      </c>
      <c r="Q21" s="284">
        <f>(SUM(H36:H47)+SUM(H56:H59))*0.8</f>
        <v>318.40000000000003</v>
      </c>
      <c r="R21" s="1159"/>
      <c r="S21" s="970"/>
      <c r="T21" s="971"/>
      <c r="U21"/>
      <c r="V21"/>
    </row>
    <row r="22" spans="6:30" ht="17.100000000000001" customHeight="1">
      <c r="F22" s="77"/>
      <c r="G22" s="882"/>
      <c r="H22" s="1161" t="s">
        <v>1</v>
      </c>
      <c r="I22" s="65" t="s">
        <v>45</v>
      </c>
      <c r="J22" s="326">
        <f>J16+J19</f>
        <v>115992.95000000001</v>
      </c>
      <c r="K22" s="332">
        <f t="shared" si="1"/>
        <v>35087.86</v>
      </c>
      <c r="L22" s="1148">
        <f>J22/$J$22</f>
        <v>1</v>
      </c>
      <c r="M22" s="276"/>
      <c r="N22" s="1156"/>
      <c r="O22" s="875"/>
      <c r="P22" s="160" t="s">
        <v>241</v>
      </c>
      <c r="Q22" s="286">
        <f>(SUM(H48:H51)+SUM(H60:H75))*1</f>
        <v>722</v>
      </c>
      <c r="R22" s="1159"/>
      <c r="S22" s="970"/>
      <c r="T22" s="971"/>
      <c r="U22"/>
      <c r="V22"/>
    </row>
    <row r="23" spans="6:30" ht="17.100000000000001" customHeight="1">
      <c r="F23" s="77"/>
      <c r="G23" s="882"/>
      <c r="H23" s="1162"/>
      <c r="I23" s="65" t="s">
        <v>46</v>
      </c>
      <c r="J23" s="326">
        <f>J17+J20</f>
        <v>75000</v>
      </c>
      <c r="K23" s="332">
        <f t="shared" si="1"/>
        <v>22687.5</v>
      </c>
      <c r="L23" s="1149"/>
      <c r="M23" s="51"/>
      <c r="N23" s="1156"/>
      <c r="O23" s="876"/>
      <c r="P23" s="152" t="s">
        <v>82</v>
      </c>
      <c r="Q23" s="285">
        <f>SUM(Q21:Q22)</f>
        <v>1040.4000000000001</v>
      </c>
      <c r="R23" s="1160"/>
      <c r="S23" s="972"/>
      <c r="T23" s="973"/>
      <c r="U23"/>
      <c r="V23"/>
    </row>
    <row r="24" spans="6:30" ht="17.100000000000001" customHeight="1">
      <c r="F24" s="77"/>
      <c r="G24" s="1144"/>
      <c r="H24" s="1164"/>
      <c r="I24" s="263" t="s">
        <v>1</v>
      </c>
      <c r="J24" s="330">
        <f>J18+J21</f>
        <v>190992.95</v>
      </c>
      <c r="K24" s="334">
        <f t="shared" si="1"/>
        <v>57775.360000000001</v>
      </c>
      <c r="L24" s="1165"/>
      <c r="M24" s="51"/>
      <c r="N24" s="1156"/>
      <c r="O24" s="153" t="s">
        <v>38</v>
      </c>
      <c r="P24" s="154">
        <v>134</v>
      </c>
      <c r="Q24" s="287">
        <f>(M89+O89)/P24</f>
        <v>27.014925373134329</v>
      </c>
      <c r="R24" s="290">
        <f>ROUNDUP(Q24*S24,0)</f>
        <v>33</v>
      </c>
      <c r="S24" s="1243">
        <v>1.2</v>
      </c>
      <c r="T24" s="1244"/>
      <c r="U24"/>
      <c r="V24"/>
      <c r="X24" s="918"/>
      <c r="Y24" s="161"/>
      <c r="Z24" s="162"/>
      <c r="AA24" s="162"/>
      <c r="AB24" s="163"/>
      <c r="AC24" s="921"/>
      <c r="AD24" s="922"/>
    </row>
    <row r="25" spans="6:30" ht="17.100000000000001" customHeight="1">
      <c r="F25" s="77"/>
      <c r="G25" s="309"/>
      <c r="H25" s="1168"/>
      <c r="I25" s="1169"/>
      <c r="J25" s="303"/>
      <c r="K25" s="304"/>
      <c r="M25" s="51"/>
      <c r="N25" s="1157"/>
      <c r="O25" s="912" t="s">
        <v>69</v>
      </c>
      <c r="P25" s="913"/>
      <c r="Q25" s="288">
        <f>Q20+Q24</f>
        <v>1184.0149253731342</v>
      </c>
      <c r="R25" s="291">
        <f>SUM(R18+R24)</f>
        <v>1713</v>
      </c>
      <c r="S25" s="306"/>
      <c r="T25" s="307"/>
      <c r="U25"/>
      <c r="V25" s="313"/>
      <c r="X25" s="919"/>
      <c r="Y25" s="165"/>
      <c r="Z25" s="157"/>
      <c r="AA25" s="171"/>
      <c r="AB25" s="157"/>
      <c r="AC25" s="923"/>
      <c r="AD25" s="924"/>
    </row>
    <row r="26" spans="6:30" ht="17.100000000000001" customHeight="1">
      <c r="F26" s="77"/>
      <c r="G26" s="72" t="s">
        <v>48</v>
      </c>
      <c r="H26" s="1105">
        <f>6929.97+R7+R8+R9</f>
        <v>8009.97</v>
      </c>
      <c r="I26" s="1106"/>
      <c r="J26" s="1107"/>
      <c r="K26" s="12">
        <f>ROUNDDOWN(H26*0.3025,2)</f>
        <v>2423.0100000000002</v>
      </c>
      <c r="L26" s="1170">
        <v>50</v>
      </c>
      <c r="M26" s="51"/>
      <c r="N26" s="1172"/>
      <c r="O26" s="1173"/>
      <c r="P26" s="1173"/>
      <c r="Q26" s="1173"/>
      <c r="R26" s="1173"/>
      <c r="S26" s="1173"/>
      <c r="T26" s="1173"/>
      <c r="U26"/>
      <c r="V26" s="313"/>
      <c r="X26" s="919"/>
      <c r="Y26" s="165"/>
      <c r="Z26" s="157"/>
      <c r="AA26" s="314"/>
      <c r="AB26" s="157"/>
      <c r="AC26" s="925"/>
      <c r="AD26" s="926"/>
    </row>
    <row r="27" spans="6:30" ht="17.100000000000001" customHeight="1">
      <c r="F27" s="77"/>
      <c r="G27" s="74" t="s">
        <v>0</v>
      </c>
      <c r="H27" s="1108">
        <f>H26/J14</f>
        <v>8.8174937088432895E-2</v>
      </c>
      <c r="I27" s="1109"/>
      <c r="J27" s="1109"/>
      <c r="K27" s="1110"/>
      <c r="L27" s="1171"/>
      <c r="M27" s="51"/>
      <c r="N27" s="879" t="s">
        <v>236</v>
      </c>
      <c r="O27" s="339">
        <f>H29</f>
        <v>1.2658594391568645</v>
      </c>
      <c r="P27" s="340">
        <v>2.5</v>
      </c>
      <c r="Q27" s="341">
        <v>2</v>
      </c>
      <c r="R27" s="342">
        <f>(O27-P27)/Q27</f>
        <v>-0.61707028042156775</v>
      </c>
      <c r="S27" s="1175">
        <f>R28</f>
        <v>-56055.774999999951</v>
      </c>
      <c r="T27" s="1177">
        <f>P29+P30+P31</f>
        <v>123</v>
      </c>
      <c r="U27"/>
      <c r="V27" s="313"/>
      <c r="X27" s="919"/>
      <c r="Y27" s="165"/>
      <c r="Z27" s="157"/>
      <c r="AA27" s="314"/>
      <c r="AB27" s="157"/>
      <c r="AC27" s="925"/>
      <c r="AD27" s="926"/>
    </row>
    <row r="28" spans="6:30" ht="17.100000000000001" customHeight="1">
      <c r="F28" s="77"/>
      <c r="G28" s="75" t="s">
        <v>64</v>
      </c>
      <c r="H28" s="1105">
        <f>J22-R8-R9</f>
        <v>114992.95000000001</v>
      </c>
      <c r="I28" s="1106"/>
      <c r="J28" s="1107"/>
      <c r="K28" s="12">
        <f>ROUNDDOWN(H28*0.3025,2)</f>
        <v>34785.360000000001</v>
      </c>
      <c r="L28" s="1180" t="s">
        <v>201</v>
      </c>
      <c r="M28" s="51"/>
      <c r="N28" s="1174"/>
      <c r="O28" s="343"/>
      <c r="P28" s="344">
        <f>J14</f>
        <v>90841.799999999959</v>
      </c>
      <c r="Q28" s="345">
        <f>R27</f>
        <v>-0.61707028042156775</v>
      </c>
      <c r="R28" s="346">
        <f>P28*Q28</f>
        <v>-56055.774999999951</v>
      </c>
      <c r="S28" s="1176"/>
      <c r="T28" s="1178"/>
      <c r="U28" s="274"/>
      <c r="V28" s="275"/>
      <c r="X28" s="919"/>
      <c r="Y28" s="167"/>
      <c r="Z28" s="168"/>
      <c r="AA28" s="172"/>
      <c r="AB28" s="168"/>
      <c r="AC28" s="925"/>
      <c r="AD28" s="926"/>
    </row>
    <row r="29" spans="6:30" ht="17.100000000000001" customHeight="1">
      <c r="F29" s="77"/>
      <c r="G29" s="74" t="s">
        <v>62</v>
      </c>
      <c r="H29" s="854">
        <f>H28/J14</f>
        <v>1.2658594391568645</v>
      </c>
      <c r="I29" s="855"/>
      <c r="J29" s="855"/>
      <c r="K29" s="856"/>
      <c r="L29" s="1181"/>
      <c r="M29" s="51"/>
      <c r="N29" s="1174"/>
      <c r="O29" s="347">
        <f>G45</f>
        <v>49</v>
      </c>
      <c r="P29" s="348">
        <f>H42</f>
        <v>55</v>
      </c>
      <c r="Q29" s="349">
        <f>N42</f>
        <v>67.699999999999989</v>
      </c>
      <c r="R29" s="350">
        <f>P29*Q29</f>
        <v>3723.4999999999995</v>
      </c>
      <c r="S29" s="1182">
        <f>R29+R30+R31</f>
        <v>9616.4</v>
      </c>
      <c r="T29" s="1178"/>
      <c r="U29" s="274"/>
      <c r="V29" s="378">
        <f>S29-S27</f>
        <v>65672.174999999945</v>
      </c>
      <c r="W29" s="169"/>
      <c r="X29" s="919"/>
      <c r="Y29" s="165"/>
      <c r="Z29" s="157"/>
      <c r="AA29" s="170"/>
      <c r="AB29" s="157"/>
      <c r="AC29" s="927"/>
      <c r="AD29" s="929"/>
    </row>
    <row r="30" spans="6:30" ht="17.100000000000001" customHeight="1">
      <c r="F30" s="77"/>
      <c r="G30" s="72" t="s">
        <v>63</v>
      </c>
      <c r="H30" s="1088">
        <f>H78</f>
        <v>1120</v>
      </c>
      <c r="I30" s="1089"/>
      <c r="J30" s="1089"/>
      <c r="K30" s="1090"/>
      <c r="L30" s="20"/>
      <c r="M30" s="51"/>
      <c r="N30" s="1174"/>
      <c r="O30" s="351">
        <f>G47</f>
        <v>59</v>
      </c>
      <c r="P30" s="352">
        <f>H46</f>
        <v>59</v>
      </c>
      <c r="Q30" s="353">
        <f>N46</f>
        <v>82.65</v>
      </c>
      <c r="R30" s="354">
        <f>P30*Q30</f>
        <v>4876.3500000000004</v>
      </c>
      <c r="S30" s="1183"/>
      <c r="T30" s="1178"/>
      <c r="U30"/>
      <c r="V30" s="1185"/>
      <c r="W30" s="169"/>
      <c r="X30" s="919"/>
      <c r="Y30" s="230"/>
      <c r="Z30" s="231"/>
      <c r="AA30" s="232"/>
      <c r="AB30" s="231"/>
      <c r="AC30" s="927"/>
      <c r="AD30" s="929"/>
    </row>
    <row r="31" spans="6:30" ht="17.100000000000001" customHeight="1">
      <c r="F31" s="77"/>
      <c r="G31" s="74" t="s">
        <v>37</v>
      </c>
      <c r="H31" s="949">
        <f>R25</f>
        <v>1713</v>
      </c>
      <c r="I31" s="950"/>
      <c r="J31" s="950"/>
      <c r="K31" s="164"/>
      <c r="L31" s="62">
        <f>$R$18/$H$78</f>
        <v>1.5</v>
      </c>
      <c r="M31" s="51"/>
      <c r="N31" s="1174"/>
      <c r="O31" s="355">
        <f>G51</f>
        <v>84</v>
      </c>
      <c r="P31" s="356">
        <f>H50</f>
        <v>9</v>
      </c>
      <c r="Q31" s="357">
        <f>N50</f>
        <v>112.95</v>
      </c>
      <c r="R31" s="346">
        <f>P31*Q31</f>
        <v>1016.5500000000001</v>
      </c>
      <c r="S31" s="1184"/>
      <c r="T31" s="1179"/>
      <c r="U31"/>
      <c r="V31" s="1186"/>
      <c r="X31" s="920"/>
      <c r="Y31" s="166"/>
      <c r="Z31" s="158"/>
      <c r="AA31" s="166"/>
      <c r="AB31" s="158"/>
      <c r="AC31" s="928"/>
      <c r="AD31" s="930"/>
    </row>
    <row r="32" spans="6:30" ht="6.75" customHeight="1">
      <c r="F32" s="77"/>
      <c r="G32" s="76"/>
      <c r="H32" s="57"/>
      <c r="I32" s="57"/>
      <c r="J32" s="57"/>
      <c r="K32" s="57"/>
      <c r="L32" s="57"/>
      <c r="M32" s="52"/>
      <c r="N32" s="57"/>
      <c r="O32" s="57"/>
      <c r="P32" s="57"/>
      <c r="Q32" s="57"/>
      <c r="R32" s="57"/>
      <c r="S32" s="57"/>
      <c r="T32" s="57"/>
      <c r="U32"/>
      <c r="V32" s="10"/>
    </row>
    <row r="33" spans="2:23" ht="17.25">
      <c r="F33" s="77"/>
      <c r="G33" s="951" t="s">
        <v>31</v>
      </c>
      <c r="H33" s="951"/>
      <c r="I33" s="951"/>
      <c r="J33" s="951"/>
      <c r="K33" s="951"/>
      <c r="L33" s="951"/>
      <c r="M33" s="951"/>
      <c r="N33" s="951"/>
      <c r="O33" s="951"/>
      <c r="P33" s="951"/>
      <c r="Q33" s="951"/>
      <c r="R33" s="951"/>
      <c r="S33" s="951"/>
      <c r="T33" s="952"/>
      <c r="W33" s="4"/>
    </row>
    <row r="34" spans="2:23" s="4" customFormat="1" ht="15.75" customHeight="1">
      <c r="B34" s="1122"/>
      <c r="C34" s="1122"/>
      <c r="D34" s="1122"/>
      <c r="E34" s="1122"/>
      <c r="F34" s="78"/>
      <c r="G34" s="957" t="s">
        <v>16</v>
      </c>
      <c r="H34" s="877" t="s">
        <v>2</v>
      </c>
      <c r="I34" s="877" t="s">
        <v>17</v>
      </c>
      <c r="J34" s="877" t="s">
        <v>18</v>
      </c>
      <c r="K34" s="877" t="s">
        <v>19</v>
      </c>
      <c r="L34" s="877"/>
      <c r="M34" s="877"/>
      <c r="N34" s="877" t="s">
        <v>8</v>
      </c>
      <c r="O34" s="877" t="s">
        <v>30</v>
      </c>
      <c r="P34" s="877"/>
      <c r="Q34" s="877"/>
      <c r="R34" s="877" t="s">
        <v>23</v>
      </c>
      <c r="S34" s="877" t="s">
        <v>20</v>
      </c>
      <c r="T34" s="956" t="s">
        <v>68</v>
      </c>
    </row>
    <row r="35" spans="2:23" s="4" customFormat="1" ht="15.75" customHeight="1">
      <c r="B35" s="1122"/>
      <c r="C35" s="1122"/>
      <c r="D35" s="1122"/>
      <c r="E35" s="1122"/>
      <c r="F35" s="78"/>
      <c r="G35" s="958"/>
      <c r="H35" s="878"/>
      <c r="I35" s="878"/>
      <c r="J35" s="878"/>
      <c r="K35" s="80" t="s">
        <v>21</v>
      </c>
      <c r="L35" s="80" t="s">
        <v>142</v>
      </c>
      <c r="M35" s="80" t="s">
        <v>22</v>
      </c>
      <c r="N35" s="878"/>
      <c r="O35" s="80" t="s">
        <v>28</v>
      </c>
      <c r="P35" s="80" t="s">
        <v>15</v>
      </c>
      <c r="Q35" s="80" t="s">
        <v>32</v>
      </c>
      <c r="R35" s="878"/>
      <c r="S35" s="878"/>
      <c r="T35" s="878"/>
      <c r="W35" s="2"/>
    </row>
    <row r="36" spans="2:23" ht="11.25" hidden="1" customHeight="1">
      <c r="B36" s="1127"/>
      <c r="C36" s="1121"/>
      <c r="D36" s="1121"/>
      <c r="E36" s="1121">
        <f>ROUNDUP(H78*0.05,0)</f>
        <v>56</v>
      </c>
      <c r="F36" s="1187" t="e">
        <f>H36/#REF!</f>
        <v>#REF!</v>
      </c>
      <c r="G36" s="297">
        <f>ROUNDDOWN(N37,0)</f>
        <v>17</v>
      </c>
      <c r="H36" s="1194"/>
      <c r="I36" s="1195">
        <f>H36/$H$78</f>
        <v>0</v>
      </c>
      <c r="J36" s="299">
        <f>J54</f>
        <v>39.96</v>
      </c>
      <c r="K36" s="299">
        <f>K54</f>
        <v>3.65</v>
      </c>
      <c r="L36" s="299">
        <f>L54</f>
        <v>14.8</v>
      </c>
      <c r="M36" s="299">
        <f>K36+L36</f>
        <v>18.45</v>
      </c>
      <c r="N36" s="299">
        <f>J36+M36</f>
        <v>58.41</v>
      </c>
      <c r="O36" s="299">
        <f>$O$78/$J$78*J36</f>
        <v>0.16371690998086691</v>
      </c>
      <c r="P36" s="299">
        <f>$P$78/$J$78*J36</f>
        <v>1.9225042857753227</v>
      </c>
      <c r="Q36" s="299">
        <f>$Q$78/$J$78*J36</f>
        <v>31.433646716326447</v>
      </c>
      <c r="R36" s="299">
        <f>O36+P36+Q36</f>
        <v>33.519867912082638</v>
      </c>
      <c r="S36" s="299">
        <f>N36+R36</f>
        <v>91.929867912082642</v>
      </c>
      <c r="T36" s="1196" t="s">
        <v>216</v>
      </c>
      <c r="V36" s="905"/>
    </row>
    <row r="37" spans="2:23" ht="11.25" hidden="1" customHeight="1">
      <c r="B37" s="1076"/>
      <c r="C37" s="1121"/>
      <c r="D37" s="1121"/>
      <c r="E37" s="1121"/>
      <c r="F37" s="1187"/>
      <c r="G37" s="296">
        <v>39</v>
      </c>
      <c r="H37" s="1189"/>
      <c r="I37" s="1191"/>
      <c r="J37" s="298">
        <f t="shared" ref="J37:S37" si="2">ROUNDDOWN(J36*0.3025,2)</f>
        <v>12.08</v>
      </c>
      <c r="K37" s="298">
        <f t="shared" si="2"/>
        <v>1.1000000000000001</v>
      </c>
      <c r="L37" s="298">
        <f t="shared" si="2"/>
        <v>4.47</v>
      </c>
      <c r="M37" s="298">
        <f t="shared" si="2"/>
        <v>5.58</v>
      </c>
      <c r="N37" s="298">
        <f t="shared" si="2"/>
        <v>17.66</v>
      </c>
      <c r="O37" s="298">
        <f t="shared" si="2"/>
        <v>0.04</v>
      </c>
      <c r="P37" s="298">
        <f t="shared" si="2"/>
        <v>0.57999999999999996</v>
      </c>
      <c r="Q37" s="298">
        <f t="shared" si="2"/>
        <v>9.5</v>
      </c>
      <c r="R37" s="298">
        <f t="shared" si="2"/>
        <v>10.130000000000001</v>
      </c>
      <c r="S37" s="298">
        <f t="shared" si="2"/>
        <v>27.8</v>
      </c>
      <c r="T37" s="1197"/>
      <c r="V37" s="906"/>
    </row>
    <row r="38" spans="2:23" ht="12" hidden="1" customHeight="1">
      <c r="B38" s="1127"/>
      <c r="C38" s="1121"/>
      <c r="D38" s="1121"/>
      <c r="E38" s="1121"/>
      <c r="F38" s="1187" t="e">
        <f>H38/#REF!</f>
        <v>#REF!</v>
      </c>
      <c r="G38" s="300">
        <f>ROUNDDOWN(N39,0)</f>
        <v>20</v>
      </c>
      <c r="H38" s="1188"/>
      <c r="I38" s="1190">
        <f>H38/$H$78</f>
        <v>0</v>
      </c>
      <c r="J38" s="302">
        <f>J56</f>
        <v>49.8</v>
      </c>
      <c r="K38" s="302">
        <f>K56</f>
        <v>3.7</v>
      </c>
      <c r="L38" s="302">
        <f>L56</f>
        <v>14.2</v>
      </c>
      <c r="M38" s="302">
        <f>K38+L38</f>
        <v>17.899999999999999</v>
      </c>
      <c r="N38" s="302">
        <f>M38+J38</f>
        <v>67.699999999999989</v>
      </c>
      <c r="O38" s="302">
        <f>$O$78/$J$78*J38</f>
        <v>0.20403158451068998</v>
      </c>
      <c r="P38" s="302">
        <f>$P$78/$J$78*J38</f>
        <v>2.3959137495398166</v>
      </c>
      <c r="Q38" s="302">
        <f>$Q$78/$J$78*J38</f>
        <v>39.174064226052472</v>
      </c>
      <c r="R38" s="315">
        <f>O38+P38+Q38</f>
        <v>41.774009560102982</v>
      </c>
      <c r="S38" s="302">
        <f>N38+R38</f>
        <v>109.47400956010297</v>
      </c>
      <c r="T38" s="1197"/>
      <c r="V38" s="130"/>
    </row>
    <row r="39" spans="2:23" ht="12" hidden="1" customHeight="1">
      <c r="B39" s="1076"/>
      <c r="C39" s="1121"/>
      <c r="D39" s="1121"/>
      <c r="E39" s="1121"/>
      <c r="F39" s="1187"/>
      <c r="G39" s="296">
        <f>ROUNDDOWN(J38,0)</f>
        <v>49</v>
      </c>
      <c r="H39" s="1189"/>
      <c r="I39" s="1191"/>
      <c r="J39" s="298">
        <f t="shared" ref="J39:S39" si="3">ROUNDDOWN(J38*0.3025,2)</f>
        <v>15.06</v>
      </c>
      <c r="K39" s="298">
        <f t="shared" si="3"/>
        <v>1.1100000000000001</v>
      </c>
      <c r="L39" s="298">
        <f t="shared" si="3"/>
        <v>4.29</v>
      </c>
      <c r="M39" s="298">
        <f t="shared" si="3"/>
        <v>5.41</v>
      </c>
      <c r="N39" s="298">
        <f t="shared" si="3"/>
        <v>20.47</v>
      </c>
      <c r="O39" s="298">
        <f t="shared" si="3"/>
        <v>0.06</v>
      </c>
      <c r="P39" s="298">
        <f t="shared" si="3"/>
        <v>0.72</v>
      </c>
      <c r="Q39" s="301">
        <f t="shared" si="3"/>
        <v>11.85</v>
      </c>
      <c r="R39" s="301">
        <f t="shared" si="3"/>
        <v>12.63</v>
      </c>
      <c r="S39" s="301">
        <f t="shared" si="3"/>
        <v>33.11</v>
      </c>
      <c r="T39" s="1197"/>
      <c r="V39" s="148"/>
    </row>
    <row r="40" spans="2:23" ht="12" hidden="1" customHeight="1">
      <c r="B40" s="130"/>
      <c r="C40" s="308"/>
      <c r="D40" s="308"/>
      <c r="E40" s="308"/>
      <c r="F40" s="1187" t="e">
        <f>H40/#REF!</f>
        <v>#REF!</v>
      </c>
      <c r="G40" s="300">
        <f>ROUNDDOWN(N41,0)</f>
        <v>25</v>
      </c>
      <c r="H40" s="1188"/>
      <c r="I40" s="1190">
        <f>H40/$H$78</f>
        <v>0</v>
      </c>
      <c r="J40" s="302">
        <f>J58</f>
        <v>59.95</v>
      </c>
      <c r="K40" s="302">
        <f>K58</f>
        <v>6.2</v>
      </c>
      <c r="L40" s="302">
        <f>L58</f>
        <v>16.5</v>
      </c>
      <c r="M40" s="302">
        <f>K40+L40</f>
        <v>22.7</v>
      </c>
      <c r="N40" s="302">
        <f>M40+J40</f>
        <v>82.65</v>
      </c>
      <c r="O40" s="302">
        <f>$O$78/$J$78*J40</f>
        <v>0.24561633516899328</v>
      </c>
      <c r="P40" s="302">
        <f>$P$78/$J$78*J40</f>
        <v>2.8842375358416068</v>
      </c>
      <c r="Q40" s="302">
        <f>$Q$78/$J$78*J40</f>
        <v>47.15833635244671</v>
      </c>
      <c r="R40" s="315">
        <f>O40+P40+Q40</f>
        <v>50.288190223457313</v>
      </c>
      <c r="S40" s="302">
        <f>N40+R40</f>
        <v>132.93819022345733</v>
      </c>
      <c r="T40" s="1197"/>
      <c r="V40" s="193"/>
    </row>
    <row r="41" spans="2:23" ht="12" hidden="1" customHeight="1">
      <c r="B41" s="130"/>
      <c r="C41" s="308"/>
      <c r="D41" s="308"/>
      <c r="E41" s="308"/>
      <c r="F41" s="1187"/>
      <c r="G41" s="296">
        <f>ROUNDDOWN(J40,0)</f>
        <v>59</v>
      </c>
      <c r="H41" s="1189"/>
      <c r="I41" s="1191"/>
      <c r="J41" s="298">
        <f t="shared" ref="J41:S41" si="4">ROUNDDOWN(J40*0.3025,2)</f>
        <v>18.13</v>
      </c>
      <c r="K41" s="298">
        <f t="shared" si="4"/>
        <v>1.87</v>
      </c>
      <c r="L41" s="298">
        <f t="shared" si="4"/>
        <v>4.99</v>
      </c>
      <c r="M41" s="298">
        <f t="shared" si="4"/>
        <v>6.86</v>
      </c>
      <c r="N41" s="298">
        <f t="shared" si="4"/>
        <v>25</v>
      </c>
      <c r="O41" s="298">
        <f t="shared" si="4"/>
        <v>7.0000000000000007E-2</v>
      </c>
      <c r="P41" s="298">
        <f t="shared" si="4"/>
        <v>0.87</v>
      </c>
      <c r="Q41" s="301">
        <f t="shared" si="4"/>
        <v>14.26</v>
      </c>
      <c r="R41" s="301">
        <f t="shared" si="4"/>
        <v>15.21</v>
      </c>
      <c r="S41" s="301">
        <f t="shared" si="4"/>
        <v>40.21</v>
      </c>
      <c r="T41" s="1197"/>
      <c r="V41" s="193"/>
    </row>
    <row r="42" spans="2:23" ht="12" customHeight="1">
      <c r="B42" s="130"/>
      <c r="C42" s="308"/>
      <c r="D42" s="308"/>
      <c r="E42" s="1128">
        <f>H42/$H$52</f>
        <v>0.44715447154471544</v>
      </c>
      <c r="F42" s="336"/>
      <c r="G42" s="316">
        <f>ROUNDDOWN(N43,0)</f>
        <v>20</v>
      </c>
      <c r="H42" s="1192">
        <v>55</v>
      </c>
      <c r="I42" s="369">
        <f>H42/$H$78</f>
        <v>4.9107142857142856E-2</v>
      </c>
      <c r="J42" s="364">
        <v>49.8</v>
      </c>
      <c r="K42" s="364">
        <v>3.7</v>
      </c>
      <c r="L42" s="364">
        <v>14.2</v>
      </c>
      <c r="M42" s="364">
        <f>K42+L42</f>
        <v>17.899999999999999</v>
      </c>
      <c r="N42" s="364">
        <f>M42+J42</f>
        <v>67.699999999999989</v>
      </c>
      <c r="O42" s="364">
        <f>$O$78/$J$78*J42</f>
        <v>0.20403158451068998</v>
      </c>
      <c r="P42" s="364">
        <f>$P$78/$J$78*J42</f>
        <v>2.3959137495398166</v>
      </c>
      <c r="Q42" s="364">
        <f>$Q$78/$J$78*J42</f>
        <v>39.174064226052472</v>
      </c>
      <c r="R42" s="364">
        <f>O42+P42+Q42</f>
        <v>41.774009560102982</v>
      </c>
      <c r="S42" s="364">
        <f>N42+R42</f>
        <v>109.47400956010297</v>
      </c>
      <c r="T42" s="1198" t="s">
        <v>159</v>
      </c>
      <c r="U42" s="173">
        <f>J42/N42</f>
        <v>0.73559822747415071</v>
      </c>
      <c r="V42" s="193"/>
    </row>
    <row r="43" spans="2:23" ht="12" customHeight="1">
      <c r="B43" s="130"/>
      <c r="C43" s="308"/>
      <c r="D43" s="308"/>
      <c r="E43" s="1129"/>
      <c r="F43" s="336"/>
      <c r="G43" s="318">
        <f>ROUNDDOWN(J42,0)</f>
        <v>49</v>
      </c>
      <c r="H43" s="1193"/>
      <c r="I43" s="373">
        <f>H42/$H$52</f>
        <v>0.44715447154471544</v>
      </c>
      <c r="J43" s="319">
        <f t="shared" ref="J43:S43" si="5">ROUNDDOWN(J42*0.3025,2)</f>
        <v>15.06</v>
      </c>
      <c r="K43" s="319">
        <f t="shared" si="5"/>
        <v>1.1100000000000001</v>
      </c>
      <c r="L43" s="319">
        <f t="shared" si="5"/>
        <v>4.29</v>
      </c>
      <c r="M43" s="319">
        <f t="shared" si="5"/>
        <v>5.41</v>
      </c>
      <c r="N43" s="319">
        <f t="shared" si="5"/>
        <v>20.47</v>
      </c>
      <c r="O43" s="319">
        <f t="shared" si="5"/>
        <v>0.06</v>
      </c>
      <c r="P43" s="319">
        <f t="shared" si="5"/>
        <v>0.72</v>
      </c>
      <c r="Q43" s="320">
        <f t="shared" si="5"/>
        <v>11.85</v>
      </c>
      <c r="R43" s="320">
        <f t="shared" si="5"/>
        <v>12.63</v>
      </c>
      <c r="S43" s="320">
        <f t="shared" si="5"/>
        <v>33.11</v>
      </c>
      <c r="T43" s="1198"/>
      <c r="U43" s="173"/>
      <c r="V43" s="193"/>
    </row>
    <row r="44" spans="2:23" ht="12" hidden="1" customHeight="1">
      <c r="B44" s="130"/>
      <c r="C44" s="308"/>
      <c r="D44" s="308"/>
      <c r="E44" s="1130">
        <f>C44/$H$78</f>
        <v>0</v>
      </c>
      <c r="F44" s="336"/>
      <c r="G44" s="316">
        <f>ROUNDDOWN(N43,0)</f>
        <v>20</v>
      </c>
      <c r="H44" s="1192"/>
      <c r="I44" s="1130">
        <f>H44/$H$78</f>
        <v>0</v>
      </c>
      <c r="T44" s="1198"/>
      <c r="U44" s="173"/>
      <c r="V44" s="193"/>
    </row>
    <row r="45" spans="2:23" ht="12" hidden="1" customHeight="1">
      <c r="B45" s="130"/>
      <c r="C45" s="308"/>
      <c r="D45" s="308"/>
      <c r="E45" s="1129"/>
      <c r="F45" s="336"/>
      <c r="G45" s="318">
        <f>ROUNDDOWN(J42,0)</f>
        <v>49</v>
      </c>
      <c r="H45" s="1193"/>
      <c r="I45" s="1129"/>
      <c r="T45" s="1198"/>
      <c r="U45" s="173"/>
      <c r="V45" s="193"/>
    </row>
    <row r="46" spans="2:23" ht="12" customHeight="1">
      <c r="B46" s="1127"/>
      <c r="C46" s="1121"/>
      <c r="D46" s="1121"/>
      <c r="E46" s="1128">
        <f>H46/$H$52</f>
        <v>0.47967479674796748</v>
      </c>
      <c r="F46" s="130"/>
      <c r="G46" s="316">
        <f>ROUNDDOWN(N47,0)</f>
        <v>25</v>
      </c>
      <c r="H46" s="1200">
        <v>59</v>
      </c>
      <c r="I46" s="369">
        <f>H46/$H$78</f>
        <v>5.2678571428571429E-2</v>
      </c>
      <c r="J46" s="364">
        <f>J58</f>
        <v>59.95</v>
      </c>
      <c r="K46" s="364">
        <v>6.2</v>
      </c>
      <c r="L46" s="364">
        <v>16.5</v>
      </c>
      <c r="M46" s="364">
        <f>K46+L46</f>
        <v>22.7</v>
      </c>
      <c r="N46" s="364">
        <f>M46+J46</f>
        <v>82.65</v>
      </c>
      <c r="O46" s="364">
        <f>$O$78/$J$78*J46</f>
        <v>0.24561633516899328</v>
      </c>
      <c r="P46" s="364">
        <f>$P$78/$J$78*J46</f>
        <v>2.8842375358416068</v>
      </c>
      <c r="Q46" s="364">
        <f>$Q$78/$J$78*J46</f>
        <v>47.15833635244671</v>
      </c>
      <c r="R46" s="364">
        <f>O46+P46+Q46</f>
        <v>50.288190223457313</v>
      </c>
      <c r="S46" s="364">
        <f>N46+R46</f>
        <v>132.93819022345733</v>
      </c>
      <c r="T46" s="1198"/>
      <c r="U46" s="173">
        <f>J46/N46</f>
        <v>0.72534785238959465</v>
      </c>
      <c r="V46" s="193"/>
    </row>
    <row r="47" spans="2:23" ht="12" customHeight="1">
      <c r="B47" s="1076"/>
      <c r="C47" s="1121"/>
      <c r="D47" s="1121"/>
      <c r="E47" s="1129"/>
      <c r="F47" s="130"/>
      <c r="G47" s="318">
        <f>ROUNDDOWN(J46,0)</f>
        <v>59</v>
      </c>
      <c r="H47" s="1193"/>
      <c r="I47" s="373">
        <f>H46/$H$52</f>
        <v>0.47967479674796748</v>
      </c>
      <c r="J47" s="319">
        <f t="shared" ref="J47:S47" si="6">ROUNDDOWN(J46*0.3025,2)</f>
        <v>18.13</v>
      </c>
      <c r="K47" s="319">
        <f t="shared" si="6"/>
        <v>1.87</v>
      </c>
      <c r="L47" s="319">
        <f t="shared" si="6"/>
        <v>4.99</v>
      </c>
      <c r="M47" s="319">
        <f t="shared" si="6"/>
        <v>6.86</v>
      </c>
      <c r="N47" s="319">
        <f t="shared" si="6"/>
        <v>25</v>
      </c>
      <c r="O47" s="319">
        <f t="shared" si="6"/>
        <v>7.0000000000000007E-2</v>
      </c>
      <c r="P47" s="319">
        <f t="shared" si="6"/>
        <v>0.87</v>
      </c>
      <c r="Q47" s="320">
        <f t="shared" si="6"/>
        <v>14.26</v>
      </c>
      <c r="R47" s="320">
        <f t="shared" si="6"/>
        <v>15.21</v>
      </c>
      <c r="S47" s="320">
        <f t="shared" si="6"/>
        <v>40.21</v>
      </c>
      <c r="T47" s="1198"/>
      <c r="U47" s="173"/>
      <c r="V47" s="193"/>
    </row>
    <row r="48" spans="2:23" ht="12" hidden="1" customHeight="1">
      <c r="B48" s="130"/>
      <c r="C48" s="308"/>
      <c r="D48" s="308"/>
      <c r="E48" s="1128">
        <f>C48/$H$78</f>
        <v>0</v>
      </c>
      <c r="F48" s="130"/>
      <c r="G48" s="316">
        <f>ROUNDDOWN(N49,0)</f>
        <v>30</v>
      </c>
      <c r="H48" s="1200"/>
      <c r="I48" s="1128">
        <f>H48/$H$78</f>
        <v>0</v>
      </c>
      <c r="J48" s="317">
        <f>J60</f>
        <v>74</v>
      </c>
      <c r="K48" s="317">
        <f>K60</f>
        <v>7.03</v>
      </c>
      <c r="L48" s="317">
        <f>L60</f>
        <v>18.5</v>
      </c>
      <c r="M48" s="317">
        <f>K48+L48</f>
        <v>25.53</v>
      </c>
      <c r="N48" s="317">
        <f>M48+J48</f>
        <v>99.53</v>
      </c>
      <c r="O48" s="317">
        <f>$O$78/$J$78*J48</f>
        <v>0.30317946292753134</v>
      </c>
      <c r="P48" s="317">
        <f>$P$78/$J$78*J48</f>
        <v>3.5601931218061531</v>
      </c>
      <c r="Q48" s="317">
        <f>$Q$78/$J$78*J48</f>
        <v>58.210456882086007</v>
      </c>
      <c r="R48" s="317">
        <f>O48+P48+Q48</f>
        <v>62.073829466819689</v>
      </c>
      <c r="S48" s="317">
        <f>N48+R48</f>
        <v>161.60382946681969</v>
      </c>
      <c r="T48" s="1198"/>
      <c r="U48" s="173"/>
      <c r="V48" s="193"/>
    </row>
    <row r="49" spans="2:23" ht="12" hidden="1" customHeight="1">
      <c r="B49" s="130"/>
      <c r="C49" s="308"/>
      <c r="D49" s="308"/>
      <c r="E49" s="1129"/>
      <c r="F49" s="130"/>
      <c r="G49" s="318">
        <f>ROUNDDOWN(J48,0)</f>
        <v>74</v>
      </c>
      <c r="H49" s="1193"/>
      <c r="I49" s="1129"/>
      <c r="J49" s="319">
        <f t="shared" ref="J49:S49" si="7">ROUNDDOWN(J48*0.3025,2)</f>
        <v>22.38</v>
      </c>
      <c r="K49" s="319">
        <f t="shared" si="7"/>
        <v>2.12</v>
      </c>
      <c r="L49" s="319">
        <f t="shared" si="7"/>
        <v>5.59</v>
      </c>
      <c r="M49" s="319">
        <f t="shared" si="7"/>
        <v>7.72</v>
      </c>
      <c r="N49" s="319">
        <f t="shared" si="7"/>
        <v>30.1</v>
      </c>
      <c r="O49" s="319">
        <f t="shared" si="7"/>
        <v>0.09</v>
      </c>
      <c r="P49" s="319">
        <f t="shared" si="7"/>
        <v>1.07</v>
      </c>
      <c r="Q49" s="320">
        <f t="shared" si="7"/>
        <v>17.600000000000001</v>
      </c>
      <c r="R49" s="320">
        <f t="shared" si="7"/>
        <v>18.77</v>
      </c>
      <c r="S49" s="320">
        <f t="shared" si="7"/>
        <v>48.88</v>
      </c>
      <c r="T49" s="1198"/>
      <c r="U49" s="173"/>
      <c r="V49" s="193"/>
    </row>
    <row r="50" spans="2:23" ht="12" customHeight="1">
      <c r="B50" s="1127"/>
      <c r="C50" s="1121"/>
      <c r="D50" s="1121"/>
      <c r="E50" s="1128">
        <f>H50/$H$52</f>
        <v>7.3170731707317069E-2</v>
      </c>
      <c r="F50" s="130">
        <f>H50/H52*100</f>
        <v>7.3170731707317067</v>
      </c>
      <c r="G50" s="316">
        <f>ROUNDDOWN(N51,0)</f>
        <v>34</v>
      </c>
      <c r="H50" s="1200">
        <v>9</v>
      </c>
      <c r="I50" s="369">
        <f>H50/$H$78</f>
        <v>8.0357142857142849E-3</v>
      </c>
      <c r="J50" s="364">
        <f>J62</f>
        <v>84.95</v>
      </c>
      <c r="K50" s="364">
        <v>7.5</v>
      </c>
      <c r="L50" s="364">
        <v>20.5</v>
      </c>
      <c r="M50" s="364">
        <f>K50+L50</f>
        <v>28</v>
      </c>
      <c r="N50" s="364">
        <f>M50+J50</f>
        <v>112.95</v>
      </c>
      <c r="O50" s="364">
        <f>$O$78/$J$78*J50</f>
        <v>0.34804182940126738</v>
      </c>
      <c r="P50" s="364">
        <f>$P$78/$J$78*J50</f>
        <v>4.08700548239774</v>
      </c>
      <c r="Q50" s="364">
        <f>$Q$78/$J$78*J50</f>
        <v>66.824031245043329</v>
      </c>
      <c r="R50" s="364">
        <f>O50+P50+Q50</f>
        <v>71.25907855684234</v>
      </c>
      <c r="S50" s="364">
        <f>N50+R50</f>
        <v>184.20907855684234</v>
      </c>
      <c r="T50" s="1198"/>
      <c r="U50" s="173">
        <f>J50/N50</f>
        <v>0.75210270030987159</v>
      </c>
      <c r="V50" s="193"/>
    </row>
    <row r="51" spans="2:23" ht="12" customHeight="1">
      <c r="B51" s="1076"/>
      <c r="C51" s="1121"/>
      <c r="D51" s="1121"/>
      <c r="E51" s="1129"/>
      <c r="G51" s="318">
        <f>ROUNDDOWN(J50,0)</f>
        <v>84</v>
      </c>
      <c r="H51" s="1193"/>
      <c r="I51" s="373">
        <f>H50/$H$52</f>
        <v>7.3170731707317069E-2</v>
      </c>
      <c r="J51" s="319">
        <f t="shared" ref="J51:S51" si="8">ROUNDDOWN(J50*0.3025,2)</f>
        <v>25.69</v>
      </c>
      <c r="K51" s="319">
        <f t="shared" si="8"/>
        <v>2.2599999999999998</v>
      </c>
      <c r="L51" s="319">
        <f t="shared" si="8"/>
        <v>6.2</v>
      </c>
      <c r="M51" s="319">
        <f t="shared" si="8"/>
        <v>8.4700000000000006</v>
      </c>
      <c r="N51" s="319">
        <f t="shared" si="8"/>
        <v>34.159999999999997</v>
      </c>
      <c r="O51" s="319">
        <f t="shared" si="8"/>
        <v>0.1</v>
      </c>
      <c r="P51" s="319">
        <f t="shared" si="8"/>
        <v>1.23</v>
      </c>
      <c r="Q51" s="320">
        <f t="shared" si="8"/>
        <v>20.21</v>
      </c>
      <c r="R51" s="320">
        <f t="shared" si="8"/>
        <v>21.55</v>
      </c>
      <c r="S51" s="320">
        <f t="shared" si="8"/>
        <v>55.72</v>
      </c>
      <c r="T51" s="1199"/>
      <c r="U51" s="173"/>
      <c r="V51" s="193"/>
    </row>
    <row r="52" spans="2:23" ht="12" customHeight="1">
      <c r="B52" s="1127"/>
      <c r="C52" s="1121"/>
      <c r="D52" s="1121"/>
      <c r="E52" s="1201">
        <f>SUM(E42:E51)</f>
        <v>0.99999999999999989</v>
      </c>
      <c r="G52" s="1202" t="s">
        <v>82</v>
      </c>
      <c r="H52" s="1257">
        <f>SUM(H36:H51)</f>
        <v>123</v>
      </c>
      <c r="I52" s="370">
        <f>I42+I46+I50</f>
        <v>0.10982142857142857</v>
      </c>
      <c r="J52" s="365">
        <f>SUMPRODUCT(H36:H51,J36:J51)</f>
        <v>7040.6</v>
      </c>
      <c r="K52" s="365">
        <f>SUMPRODUCT(H36:H51,K36:K51)</f>
        <v>636.79999999999995</v>
      </c>
      <c r="L52" s="365">
        <f>SUMPRODUCT(H36:H51,L36:L51)</f>
        <v>1939</v>
      </c>
      <c r="M52" s="365">
        <f>K52+L52</f>
        <v>2575.8000000000002</v>
      </c>
      <c r="N52" s="365">
        <f>J52+M52</f>
        <v>9616.4000000000015</v>
      </c>
      <c r="O52" s="365">
        <f>SUMPRODUCT(H36:H51,O36:O51)</f>
        <v>28.845477387669959</v>
      </c>
      <c r="P52" s="365">
        <f>SUMPRODUCT(H36:H51,P36:P51)</f>
        <v>338.72832018092441</v>
      </c>
      <c r="Q52" s="365">
        <f>SUMPRODUCT(H36:H51,Q36:Q51)</f>
        <v>5538.3316584326321</v>
      </c>
      <c r="R52" s="365">
        <f>O52+P52+Q52</f>
        <v>5905.9054560012264</v>
      </c>
      <c r="S52" s="365">
        <f>N52+R52</f>
        <v>15522.305456001228</v>
      </c>
      <c r="T52" s="1206"/>
      <c r="U52" s="173"/>
    </row>
    <row r="53" spans="2:23" ht="12" customHeight="1">
      <c r="B53" s="1076"/>
      <c r="C53" s="1121"/>
      <c r="D53" s="1121"/>
      <c r="E53" s="1132"/>
      <c r="G53" s="1203"/>
      <c r="H53" s="1254"/>
      <c r="I53" s="376">
        <f>I43+I47+I51</f>
        <v>0.99999999999999989</v>
      </c>
      <c r="J53" s="292">
        <f t="shared" ref="J53:S53" si="9">ROUNDDOWN(J52*0.3025,2)</f>
        <v>2129.7800000000002</v>
      </c>
      <c r="K53" s="292">
        <f t="shared" si="9"/>
        <v>192.63</v>
      </c>
      <c r="L53" s="292">
        <f t="shared" si="9"/>
        <v>586.54</v>
      </c>
      <c r="M53" s="292">
        <f t="shared" si="9"/>
        <v>779.17</v>
      </c>
      <c r="N53" s="292">
        <f t="shared" si="9"/>
        <v>2908.96</v>
      </c>
      <c r="O53" s="292">
        <f t="shared" si="9"/>
        <v>8.7200000000000006</v>
      </c>
      <c r="P53" s="292">
        <f t="shared" si="9"/>
        <v>102.46</v>
      </c>
      <c r="Q53" s="292">
        <f t="shared" si="9"/>
        <v>1675.34</v>
      </c>
      <c r="R53" s="292">
        <f t="shared" si="9"/>
        <v>1786.53</v>
      </c>
      <c r="S53" s="292">
        <f t="shared" si="9"/>
        <v>4695.49</v>
      </c>
      <c r="T53" s="1207"/>
      <c r="U53" s="173"/>
    </row>
    <row r="54" spans="2:23" ht="12" hidden="1" customHeight="1">
      <c r="B54" s="86"/>
      <c r="C54" s="1121"/>
      <c r="D54" s="937"/>
      <c r="E54" s="937">
        <f>C54/$H$78</f>
        <v>0</v>
      </c>
      <c r="F54" s="1075"/>
      <c r="G54" s="86">
        <f>ROUNDDOWN(N55,0)</f>
        <v>17</v>
      </c>
      <c r="H54" s="935"/>
      <c r="I54" s="937">
        <f>H54/$H$78</f>
        <v>0</v>
      </c>
      <c r="J54" s="89">
        <v>39.96</v>
      </c>
      <c r="K54" s="89">
        <v>3.65</v>
      </c>
      <c r="L54" s="89">
        <v>14.8</v>
      </c>
      <c r="M54" s="89">
        <f>K54+L54</f>
        <v>18.45</v>
      </c>
      <c r="N54" s="89">
        <f>J54+M54</f>
        <v>58.41</v>
      </c>
      <c r="O54" s="89">
        <f>$O$78/$J$78*J54</f>
        <v>0.16371690998086691</v>
      </c>
      <c r="P54" s="89">
        <f>$P$78/$J$78*J54</f>
        <v>1.9225042857753227</v>
      </c>
      <c r="Q54" s="89">
        <f>$Q$78/$J$78*J54</f>
        <v>31.433646716326447</v>
      </c>
      <c r="R54" s="89">
        <f>O54+P54+Q54</f>
        <v>33.519867912082638</v>
      </c>
      <c r="S54" s="89">
        <f>N54+R54</f>
        <v>91.929867912082642</v>
      </c>
      <c r="T54" s="898" t="s">
        <v>137</v>
      </c>
      <c r="U54" s="173"/>
    </row>
    <row r="55" spans="2:23" ht="12" hidden="1" customHeight="1">
      <c r="B55" s="87"/>
      <c r="C55" s="1121"/>
      <c r="D55" s="938"/>
      <c r="E55" s="938"/>
      <c r="F55" s="1076"/>
      <c r="G55" s="87">
        <v>39</v>
      </c>
      <c r="H55" s="936"/>
      <c r="I55" s="938"/>
      <c r="J55" s="111">
        <f t="shared" ref="J55:S55" si="10">ROUNDDOWN(J54*0.3025,2)</f>
        <v>12.08</v>
      </c>
      <c r="K55" s="111">
        <f t="shared" si="10"/>
        <v>1.1000000000000001</v>
      </c>
      <c r="L55" s="111">
        <f t="shared" si="10"/>
        <v>4.47</v>
      </c>
      <c r="M55" s="111">
        <f t="shared" si="10"/>
        <v>5.58</v>
      </c>
      <c r="N55" s="111">
        <f t="shared" si="10"/>
        <v>17.66</v>
      </c>
      <c r="O55" s="111">
        <f t="shared" si="10"/>
        <v>0.04</v>
      </c>
      <c r="P55" s="111">
        <f t="shared" si="10"/>
        <v>0.57999999999999996</v>
      </c>
      <c r="Q55" s="111">
        <f t="shared" si="10"/>
        <v>9.5</v>
      </c>
      <c r="R55" s="111">
        <f t="shared" si="10"/>
        <v>10.130000000000001</v>
      </c>
      <c r="S55" s="111">
        <f t="shared" si="10"/>
        <v>27.8</v>
      </c>
      <c r="T55" s="899"/>
      <c r="U55" s="173"/>
    </row>
    <row r="56" spans="2:23" ht="12" customHeight="1">
      <c r="B56" s="88"/>
      <c r="C56" s="1121"/>
      <c r="D56" s="940"/>
      <c r="E56" s="940">
        <f>H56/$H$76</f>
        <v>4.212637913741224E-2</v>
      </c>
      <c r="F56" s="1075"/>
      <c r="G56" s="88">
        <f>ROUNDDOWN(N57,0)</f>
        <v>20</v>
      </c>
      <c r="H56" s="1085">
        <v>42</v>
      </c>
      <c r="I56" s="372">
        <f>H56/$H$78</f>
        <v>3.7499999999999999E-2</v>
      </c>
      <c r="J56" s="366">
        <v>49.8</v>
      </c>
      <c r="K56" s="366">
        <v>3.7</v>
      </c>
      <c r="L56" s="366">
        <v>14.2</v>
      </c>
      <c r="M56" s="366">
        <f>K56+L56</f>
        <v>17.899999999999999</v>
      </c>
      <c r="N56" s="366">
        <f>M56+J56</f>
        <v>67.699999999999989</v>
      </c>
      <c r="O56" s="366">
        <f>$O$78/$J$78*J56</f>
        <v>0.20403158451068998</v>
      </c>
      <c r="P56" s="366">
        <f>$P$78/$J$78*J56</f>
        <v>2.3959137495398166</v>
      </c>
      <c r="Q56" s="366">
        <f>$Q$78/$J$78*J56</f>
        <v>39.174064226052472</v>
      </c>
      <c r="R56" s="366">
        <f>O56+P56+Q56</f>
        <v>41.774009560102982</v>
      </c>
      <c r="S56" s="366">
        <f>N56+R56</f>
        <v>109.47400956010297</v>
      </c>
      <c r="T56" s="899"/>
      <c r="U56" s="173">
        <f>J56/N56</f>
        <v>0.73559822747415071</v>
      </c>
    </row>
    <row r="57" spans="2:23" ht="12" customHeight="1">
      <c r="B57" s="87"/>
      <c r="C57" s="1121"/>
      <c r="D57" s="938"/>
      <c r="E57" s="938"/>
      <c r="F57" s="1076"/>
      <c r="G57" s="87">
        <f>ROUNDDOWN(J56,0)</f>
        <v>49</v>
      </c>
      <c r="H57" s="936"/>
      <c r="I57" s="374">
        <f>H56/$H$76</f>
        <v>4.212637913741224E-2</v>
      </c>
      <c r="J57" s="111">
        <f t="shared" ref="J57:S57" si="11">ROUNDDOWN(J56*0.3025,2)</f>
        <v>15.06</v>
      </c>
      <c r="K57" s="111">
        <f t="shared" si="11"/>
        <v>1.1100000000000001</v>
      </c>
      <c r="L57" s="111">
        <f t="shared" si="11"/>
        <v>4.29</v>
      </c>
      <c r="M57" s="111">
        <f t="shared" si="11"/>
        <v>5.41</v>
      </c>
      <c r="N57" s="111">
        <f t="shared" si="11"/>
        <v>20.47</v>
      </c>
      <c r="O57" s="111">
        <f t="shared" si="11"/>
        <v>0.06</v>
      </c>
      <c r="P57" s="111">
        <f t="shared" si="11"/>
        <v>0.72</v>
      </c>
      <c r="Q57" s="278">
        <f t="shared" si="11"/>
        <v>11.85</v>
      </c>
      <c r="R57" s="278">
        <f t="shared" si="11"/>
        <v>12.63</v>
      </c>
      <c r="S57" s="278">
        <f t="shared" si="11"/>
        <v>33.11</v>
      </c>
      <c r="T57" s="899"/>
      <c r="U57" s="173"/>
    </row>
    <row r="58" spans="2:23" ht="12" customHeight="1">
      <c r="B58" s="88"/>
      <c r="C58" s="1121"/>
      <c r="D58" s="940"/>
      <c r="E58" s="940">
        <f>H58/$H$76</f>
        <v>0.24272818455366099</v>
      </c>
      <c r="F58" s="1075"/>
      <c r="G58" s="88">
        <f>ROUNDDOWN(N59,0)</f>
        <v>25</v>
      </c>
      <c r="H58" s="939">
        <v>242</v>
      </c>
      <c r="I58" s="372">
        <f>H58/$H$78</f>
        <v>0.21607142857142858</v>
      </c>
      <c r="J58" s="366">
        <v>59.95</v>
      </c>
      <c r="K58" s="366">
        <v>6.2</v>
      </c>
      <c r="L58" s="366">
        <v>16.5</v>
      </c>
      <c r="M58" s="366">
        <f>K58+L58</f>
        <v>22.7</v>
      </c>
      <c r="N58" s="366">
        <f>M58+J58</f>
        <v>82.65</v>
      </c>
      <c r="O58" s="366">
        <f>$O$78/$J$78*J58</f>
        <v>0.24561633516899328</v>
      </c>
      <c r="P58" s="366">
        <f>$P$78/$J$78*J58</f>
        <v>2.8842375358416068</v>
      </c>
      <c r="Q58" s="366">
        <f>$Q$78/$J$78*J58</f>
        <v>47.15833635244671</v>
      </c>
      <c r="R58" s="366">
        <f>O58+P58+Q58</f>
        <v>50.288190223457313</v>
      </c>
      <c r="S58" s="367">
        <f>N58+R58</f>
        <v>132.93819022345733</v>
      </c>
      <c r="T58" s="899"/>
      <c r="U58" s="173">
        <f>J58/N58</f>
        <v>0.72534785238959465</v>
      </c>
    </row>
    <row r="59" spans="2:23" ht="12" customHeight="1">
      <c r="B59" s="87"/>
      <c r="C59" s="1121"/>
      <c r="D59" s="938"/>
      <c r="E59" s="938"/>
      <c r="F59" s="1076"/>
      <c r="G59" s="87">
        <f>ROUNDDOWN(J58,0)</f>
        <v>59</v>
      </c>
      <c r="H59" s="936"/>
      <c r="I59" s="374">
        <f>H58/$H$76</f>
        <v>0.24272818455366099</v>
      </c>
      <c r="J59" s="111">
        <f t="shared" ref="J59:S59" si="12">ROUNDDOWN(J58*0.3025,2)</f>
        <v>18.13</v>
      </c>
      <c r="K59" s="111">
        <f t="shared" si="12"/>
        <v>1.87</v>
      </c>
      <c r="L59" s="111">
        <f t="shared" si="12"/>
        <v>4.99</v>
      </c>
      <c r="M59" s="111">
        <f t="shared" si="12"/>
        <v>6.86</v>
      </c>
      <c r="N59" s="111">
        <f t="shared" si="12"/>
        <v>25</v>
      </c>
      <c r="O59" s="111">
        <f t="shared" si="12"/>
        <v>7.0000000000000007E-2</v>
      </c>
      <c r="P59" s="111">
        <f t="shared" si="12"/>
        <v>0.87</v>
      </c>
      <c r="Q59" s="111">
        <f t="shared" si="12"/>
        <v>14.26</v>
      </c>
      <c r="R59" s="111">
        <f t="shared" si="12"/>
        <v>15.21</v>
      </c>
      <c r="S59" s="111">
        <f t="shared" si="12"/>
        <v>40.21</v>
      </c>
      <c r="T59" s="899"/>
      <c r="U59" s="173"/>
    </row>
    <row r="60" spans="2:23" ht="12" customHeight="1">
      <c r="B60" s="88"/>
      <c r="C60" s="1121"/>
      <c r="D60" s="940"/>
      <c r="E60" s="940">
        <f>H60/$H$76</f>
        <v>0.10030090270812438</v>
      </c>
      <c r="F60" s="1076"/>
      <c r="G60" s="88">
        <f>ROUNDDOWN(N61,0)</f>
        <v>30</v>
      </c>
      <c r="H60" s="939">
        <v>100</v>
      </c>
      <c r="I60" s="377">
        <f>H60/$H$78</f>
        <v>8.9285714285714288E-2</v>
      </c>
      <c r="J60" s="366">
        <v>74</v>
      </c>
      <c r="K60" s="366">
        <v>7.03</v>
      </c>
      <c r="L60" s="366">
        <v>18.5</v>
      </c>
      <c r="M60" s="366">
        <f>K60+L60</f>
        <v>25.53</v>
      </c>
      <c r="N60" s="366">
        <f>J60+M60</f>
        <v>99.53</v>
      </c>
      <c r="O60" s="366">
        <f>$O$78/$J$78*J60</f>
        <v>0.30317946292753134</v>
      </c>
      <c r="P60" s="366">
        <f>$P$78/$J$78*J60</f>
        <v>3.5601931218061531</v>
      </c>
      <c r="Q60" s="366">
        <f>$Q$78/$J$78*J60</f>
        <v>58.210456882086007</v>
      </c>
      <c r="R60" s="366">
        <f>O60+P60+Q60</f>
        <v>62.073829466819689</v>
      </c>
      <c r="S60" s="366">
        <f>N60+R60</f>
        <v>161.60382946681969</v>
      </c>
      <c r="T60" s="899"/>
      <c r="U60" s="173">
        <f>J60/N60</f>
        <v>0.74349442379182151</v>
      </c>
    </row>
    <row r="61" spans="2:23" ht="12" customHeight="1">
      <c r="B61" s="87"/>
      <c r="C61" s="1121"/>
      <c r="D61" s="938"/>
      <c r="E61" s="938"/>
      <c r="F61" s="1076"/>
      <c r="G61" s="87">
        <f>ROUNDDOWN(J60,0)</f>
        <v>74</v>
      </c>
      <c r="H61" s="936"/>
      <c r="I61" s="374">
        <f>H60/$H$76</f>
        <v>0.10030090270812438</v>
      </c>
      <c r="J61" s="111">
        <f t="shared" ref="J61:S61" si="13">ROUNDDOWN(J60*0.3025,2)</f>
        <v>22.38</v>
      </c>
      <c r="K61" s="111">
        <f t="shared" si="13"/>
        <v>2.12</v>
      </c>
      <c r="L61" s="111">
        <f t="shared" si="13"/>
        <v>5.59</v>
      </c>
      <c r="M61" s="111">
        <f t="shared" si="13"/>
        <v>7.72</v>
      </c>
      <c r="N61" s="111">
        <f t="shared" si="13"/>
        <v>30.1</v>
      </c>
      <c r="O61" s="111">
        <f t="shared" si="13"/>
        <v>0.09</v>
      </c>
      <c r="P61" s="111">
        <f t="shared" si="13"/>
        <v>1.07</v>
      </c>
      <c r="Q61" s="111">
        <f t="shared" si="13"/>
        <v>17.600000000000001</v>
      </c>
      <c r="R61" s="111">
        <f t="shared" si="13"/>
        <v>18.77</v>
      </c>
      <c r="S61" s="111">
        <f t="shared" si="13"/>
        <v>48.88</v>
      </c>
      <c r="T61" s="899"/>
      <c r="U61" s="173"/>
    </row>
    <row r="62" spans="2:23" ht="12" customHeight="1">
      <c r="B62" s="88"/>
      <c r="C62" s="1121"/>
      <c r="D62" s="940"/>
      <c r="E62" s="940">
        <f>H62/$H$76</f>
        <v>0.54463390170511539</v>
      </c>
      <c r="F62" s="1075"/>
      <c r="G62" s="88">
        <f>ROUNDDOWN(N63,0)</f>
        <v>34</v>
      </c>
      <c r="H62" s="939">
        <v>543</v>
      </c>
      <c r="I62" s="372">
        <f>H62/$H$78</f>
        <v>0.48482142857142857</v>
      </c>
      <c r="J62" s="366">
        <v>84.95</v>
      </c>
      <c r="K62" s="366">
        <v>7.5</v>
      </c>
      <c r="L62" s="366">
        <v>20.5</v>
      </c>
      <c r="M62" s="366">
        <f>K62+L62</f>
        <v>28</v>
      </c>
      <c r="N62" s="366">
        <f>J62+M62</f>
        <v>112.95</v>
      </c>
      <c r="O62" s="366">
        <f>$O$78/$J$78*J62</f>
        <v>0.34804182940126738</v>
      </c>
      <c r="P62" s="366">
        <f>$P$78/$J$78*J62</f>
        <v>4.08700548239774</v>
      </c>
      <c r="Q62" s="366">
        <f>$Q$78/$J$78*J62</f>
        <v>66.824031245043329</v>
      </c>
      <c r="R62" s="366">
        <f>O62+P62+Q62</f>
        <v>71.25907855684234</v>
      </c>
      <c r="S62" s="366">
        <f>N62+R62</f>
        <v>184.20907855684234</v>
      </c>
      <c r="T62" s="899"/>
      <c r="U62" s="173">
        <f>J62/N62</f>
        <v>0.75210270030987159</v>
      </c>
      <c r="W62" s="2">
        <f>30.01-29.94</f>
        <v>7.0000000000000284E-2</v>
      </c>
    </row>
    <row r="63" spans="2:23" ht="12" customHeight="1">
      <c r="B63" s="87"/>
      <c r="C63" s="1121"/>
      <c r="D63" s="938"/>
      <c r="E63" s="938"/>
      <c r="F63" s="1076"/>
      <c r="G63" s="87">
        <f>ROUNDDOWN(J62,0)</f>
        <v>84</v>
      </c>
      <c r="H63" s="936"/>
      <c r="I63" s="374">
        <f>H62/$H$76</f>
        <v>0.54463390170511539</v>
      </c>
      <c r="J63" s="111">
        <f t="shared" ref="J63:S63" si="14">ROUNDDOWN(J62*0.3025,2)</f>
        <v>25.69</v>
      </c>
      <c r="K63" s="111">
        <f t="shared" si="14"/>
        <v>2.2599999999999998</v>
      </c>
      <c r="L63" s="111">
        <f t="shared" si="14"/>
        <v>6.2</v>
      </c>
      <c r="M63" s="111">
        <f t="shared" si="14"/>
        <v>8.4700000000000006</v>
      </c>
      <c r="N63" s="111">
        <f t="shared" si="14"/>
        <v>34.159999999999997</v>
      </c>
      <c r="O63" s="111">
        <f t="shared" si="14"/>
        <v>0.1</v>
      </c>
      <c r="P63" s="111">
        <f t="shared" si="14"/>
        <v>1.23</v>
      </c>
      <c r="Q63" s="111">
        <f t="shared" si="14"/>
        <v>20.21</v>
      </c>
      <c r="R63" s="111">
        <f t="shared" si="14"/>
        <v>21.55</v>
      </c>
      <c r="S63" s="111">
        <f t="shared" si="14"/>
        <v>55.72</v>
      </c>
      <c r="T63" s="899"/>
      <c r="U63" s="173"/>
      <c r="W63" s="173">
        <f>0.07+K60</f>
        <v>7.1000000000000005</v>
      </c>
    </row>
    <row r="64" spans="2:23" ht="12" hidden="1" customHeight="1">
      <c r="B64" s="88"/>
      <c r="C64" s="1121"/>
      <c r="D64" s="940"/>
      <c r="E64" s="940">
        <f>C64/$H$78</f>
        <v>0</v>
      </c>
      <c r="F64" s="1076"/>
      <c r="G64" s="88">
        <f>ROUNDDOWN(N65,0)</f>
        <v>40</v>
      </c>
      <c r="H64" s="939"/>
      <c r="I64" s="1210">
        <f>H64/$H$78</f>
        <v>0</v>
      </c>
      <c r="J64" s="90">
        <v>102.98</v>
      </c>
      <c r="K64" s="90">
        <v>8.7200000000000006</v>
      </c>
      <c r="L64" s="90">
        <v>22.8</v>
      </c>
      <c r="M64" s="90">
        <f>K64+L64</f>
        <v>31.520000000000003</v>
      </c>
      <c r="N64" s="90">
        <f>J64+M64</f>
        <v>134.5</v>
      </c>
      <c r="O64" s="90">
        <f>$O$78/$J$78*J64</f>
        <v>0.42191109584158348</v>
      </c>
      <c r="P64" s="90">
        <f>$P$78/$J$78*J64</f>
        <v>4.9544417254540223</v>
      </c>
      <c r="Q64" s="90">
        <f>$Q$78/$J$78*J64</f>
        <v>81.006930401584015</v>
      </c>
      <c r="R64" s="90">
        <f>O64+P64+Q64</f>
        <v>86.383283222879626</v>
      </c>
      <c r="S64" s="90">
        <f>N64+R64</f>
        <v>220.88328322287964</v>
      </c>
      <c r="T64" s="899"/>
      <c r="U64" s="173"/>
    </row>
    <row r="65" spans="2:22" ht="12" hidden="1" customHeight="1">
      <c r="B65" s="272"/>
      <c r="C65" s="1121"/>
      <c r="D65" s="938"/>
      <c r="E65" s="938"/>
      <c r="F65" s="838"/>
      <c r="G65" s="87">
        <f>ROUNDDOWN(J64,0)</f>
        <v>102</v>
      </c>
      <c r="H65" s="936"/>
      <c r="I65" s="1209"/>
      <c r="J65" s="111">
        <f t="shared" ref="J65:S65" si="15">ROUNDDOWN(J64*0.3025,2)</f>
        <v>31.15</v>
      </c>
      <c r="K65" s="111">
        <f t="shared" si="15"/>
        <v>2.63</v>
      </c>
      <c r="L65" s="111">
        <f t="shared" si="15"/>
        <v>6.89</v>
      </c>
      <c r="M65" s="111">
        <f t="shared" si="15"/>
        <v>9.5299999999999994</v>
      </c>
      <c r="N65" s="111">
        <f t="shared" si="15"/>
        <v>40.68</v>
      </c>
      <c r="O65" s="111">
        <f t="shared" si="15"/>
        <v>0.12</v>
      </c>
      <c r="P65" s="111">
        <f t="shared" si="15"/>
        <v>1.49</v>
      </c>
      <c r="Q65" s="111">
        <f t="shared" si="15"/>
        <v>24.5</v>
      </c>
      <c r="R65" s="111">
        <f t="shared" si="15"/>
        <v>26.13</v>
      </c>
      <c r="S65" s="111">
        <f t="shared" si="15"/>
        <v>66.81</v>
      </c>
      <c r="T65" s="899"/>
      <c r="U65" s="173"/>
    </row>
    <row r="66" spans="2:22" ht="12" customHeight="1">
      <c r="B66" s="323"/>
      <c r="C66" s="308"/>
      <c r="D66" s="305"/>
      <c r="E66" s="940">
        <f>H66/$H$76</f>
        <v>7.0210631895687062E-2</v>
      </c>
      <c r="F66" s="203"/>
      <c r="G66" s="88">
        <f>ROUNDDOWN(N67,0)</f>
        <v>46</v>
      </c>
      <c r="H66" s="939">
        <v>70</v>
      </c>
      <c r="I66" s="372">
        <f>H66/$H$78</f>
        <v>6.25E-2</v>
      </c>
      <c r="J66" s="366">
        <v>118</v>
      </c>
      <c r="K66" s="366">
        <v>8.6</v>
      </c>
      <c r="L66" s="366">
        <v>25.5</v>
      </c>
      <c r="M66" s="366">
        <f>K66+L66</f>
        <v>34.1</v>
      </c>
      <c r="N66" s="366">
        <f>J66+M66</f>
        <v>152.1</v>
      </c>
      <c r="O66" s="366">
        <f>$O$78/$J$78*J66</f>
        <v>0.4834483327763337</v>
      </c>
      <c r="P66" s="366">
        <f>$P$78/$J$78*J66</f>
        <v>5.6770647077449468</v>
      </c>
      <c r="Q66" s="366">
        <f>$Q$78/$J$78*J66</f>
        <v>92.82207989305607</v>
      </c>
      <c r="R66" s="366">
        <f>O66+P66+Q66</f>
        <v>98.982592933577351</v>
      </c>
      <c r="S66" s="366">
        <f>N66+R66</f>
        <v>251.08259293357736</v>
      </c>
      <c r="T66" s="899"/>
      <c r="U66" s="173">
        <f>J66/N66</f>
        <v>0.77580539119000658</v>
      </c>
    </row>
    <row r="67" spans="2:22" ht="12" customHeight="1">
      <c r="B67" s="323"/>
      <c r="C67" s="308"/>
      <c r="D67" s="305"/>
      <c r="E67" s="938"/>
      <c r="F67" s="203"/>
      <c r="G67" s="87">
        <f>ROUNDDOWN(J66,0)</f>
        <v>118</v>
      </c>
      <c r="H67" s="936"/>
      <c r="I67" s="374">
        <f>H66/$H$76</f>
        <v>7.0210631895687062E-2</v>
      </c>
      <c r="J67" s="111">
        <f t="shared" ref="J67:S67" si="16">ROUNDDOWN(J66*0.3025,2)</f>
        <v>35.69</v>
      </c>
      <c r="K67" s="111">
        <f t="shared" si="16"/>
        <v>2.6</v>
      </c>
      <c r="L67" s="111">
        <f t="shared" si="16"/>
        <v>7.71</v>
      </c>
      <c r="M67" s="111">
        <f t="shared" si="16"/>
        <v>10.31</v>
      </c>
      <c r="N67" s="111">
        <f t="shared" si="16"/>
        <v>46.01</v>
      </c>
      <c r="O67" s="111">
        <f t="shared" si="16"/>
        <v>0.14000000000000001</v>
      </c>
      <c r="P67" s="111">
        <f t="shared" si="16"/>
        <v>1.71</v>
      </c>
      <c r="Q67" s="111">
        <f t="shared" si="16"/>
        <v>28.07</v>
      </c>
      <c r="R67" s="111">
        <f t="shared" si="16"/>
        <v>29.94</v>
      </c>
      <c r="S67" s="111">
        <f t="shared" si="16"/>
        <v>75.95</v>
      </c>
      <c r="T67" s="899"/>
      <c r="U67" s="173"/>
    </row>
    <row r="68" spans="2:22" ht="12" hidden="1" customHeight="1">
      <c r="B68" s="323"/>
      <c r="C68" s="308"/>
      <c r="D68" s="305"/>
      <c r="E68" s="1084">
        <f>C68/$H$78</f>
        <v>0</v>
      </c>
      <c r="F68" s="203"/>
      <c r="G68" s="88">
        <f>ROUNDDOWN(N69,0)</f>
        <v>47</v>
      </c>
      <c r="H68" s="1085"/>
      <c r="I68" s="1084">
        <f>H68/$H$78</f>
        <v>0</v>
      </c>
      <c r="J68" s="90">
        <v>120.97</v>
      </c>
      <c r="K68" s="90">
        <v>10.72</v>
      </c>
      <c r="L68" s="90">
        <v>24.8</v>
      </c>
      <c r="M68" s="90">
        <f>K68+L68</f>
        <v>35.520000000000003</v>
      </c>
      <c r="N68" s="90">
        <f>J68+M68</f>
        <v>156.49</v>
      </c>
      <c r="O68" s="90">
        <f>$O$78/$J$78*J68</f>
        <v>0.49561648149112786</v>
      </c>
      <c r="P68" s="90">
        <f>$P$78/$J$78*J68</f>
        <v>5.819953539795816</v>
      </c>
      <c r="Q68" s="90">
        <f>$Q$78/$J$78*J68</f>
        <v>95.158364446296545</v>
      </c>
      <c r="R68" s="90">
        <f>O68+P68+Q68</f>
        <v>101.47393446758349</v>
      </c>
      <c r="S68" s="90">
        <f>N68+R68</f>
        <v>257.9639344675835</v>
      </c>
      <c r="T68" s="899"/>
      <c r="U68" s="173"/>
    </row>
    <row r="69" spans="2:22" ht="12" hidden="1" customHeight="1">
      <c r="B69" s="323"/>
      <c r="C69" s="308"/>
      <c r="D69" s="305"/>
      <c r="E69" s="938"/>
      <c r="F69" s="203"/>
      <c r="G69" s="87">
        <f>ROUNDDOWN(J68,0)</f>
        <v>120</v>
      </c>
      <c r="H69" s="936"/>
      <c r="I69" s="938"/>
      <c r="J69" s="111">
        <f t="shared" ref="J69:S69" si="17">ROUNDDOWN(J68*0.3025,2)</f>
        <v>36.590000000000003</v>
      </c>
      <c r="K69" s="111">
        <f t="shared" si="17"/>
        <v>3.24</v>
      </c>
      <c r="L69" s="111">
        <f t="shared" si="17"/>
        <v>7.5</v>
      </c>
      <c r="M69" s="111">
        <f t="shared" si="17"/>
        <v>10.74</v>
      </c>
      <c r="N69" s="111">
        <f t="shared" si="17"/>
        <v>47.33</v>
      </c>
      <c r="O69" s="111">
        <f t="shared" si="17"/>
        <v>0.14000000000000001</v>
      </c>
      <c r="P69" s="111">
        <f t="shared" si="17"/>
        <v>1.76</v>
      </c>
      <c r="Q69" s="111">
        <f t="shared" si="17"/>
        <v>28.78</v>
      </c>
      <c r="R69" s="111">
        <f t="shared" si="17"/>
        <v>30.69</v>
      </c>
      <c r="S69" s="111">
        <f t="shared" si="17"/>
        <v>78.03</v>
      </c>
      <c r="T69" s="899"/>
      <c r="U69" s="173"/>
    </row>
    <row r="70" spans="2:22" ht="12" hidden="1" customHeight="1">
      <c r="B70" s="88"/>
      <c r="C70" s="1121"/>
      <c r="D70" s="1084"/>
      <c r="E70" s="1084">
        <f>C70/$H$78</f>
        <v>0</v>
      </c>
      <c r="F70" s="1211"/>
      <c r="G70" s="88">
        <f>ROUNDDOWN(N71,0)</f>
        <v>52</v>
      </c>
      <c r="H70" s="1085"/>
      <c r="I70" s="1084">
        <f>H70/$H$78</f>
        <v>0</v>
      </c>
      <c r="J70" s="90">
        <v>137.35</v>
      </c>
      <c r="K70" s="90">
        <v>11.28</v>
      </c>
      <c r="L70" s="90">
        <v>25.54</v>
      </c>
      <c r="M70" s="90">
        <f>K70+L70</f>
        <v>36.82</v>
      </c>
      <c r="N70" s="90">
        <f>J70+M70</f>
        <v>174.17</v>
      </c>
      <c r="O70" s="90">
        <f>$O$78/$J$78*J70</f>
        <v>0.56272566531211388</v>
      </c>
      <c r="P70" s="90">
        <f>$P$78/$J$78*J70</f>
        <v>6.6080070983793933</v>
      </c>
      <c r="Q70" s="90">
        <f>$Q$78/$J$78*J70</f>
        <v>108.04332773992586</v>
      </c>
      <c r="R70" s="90">
        <f>O70+P70+Q70</f>
        <v>115.21406050361736</v>
      </c>
      <c r="S70" s="90">
        <f>N70+R70</f>
        <v>289.38406050361732</v>
      </c>
      <c r="T70" s="899"/>
      <c r="U70" s="173"/>
    </row>
    <row r="71" spans="2:22" ht="12" hidden="1" customHeight="1">
      <c r="B71" s="87"/>
      <c r="C71" s="1121"/>
      <c r="D71" s="938"/>
      <c r="E71" s="938"/>
      <c r="F71" s="838"/>
      <c r="G71" s="87">
        <f>ROUNDDOWN(J70,0)</f>
        <v>137</v>
      </c>
      <c r="H71" s="936"/>
      <c r="I71" s="938"/>
      <c r="J71" s="111">
        <f t="shared" ref="J71:S71" si="18">ROUNDDOWN(J70*0.3025,2)</f>
        <v>41.54</v>
      </c>
      <c r="K71" s="111">
        <f t="shared" si="18"/>
        <v>3.41</v>
      </c>
      <c r="L71" s="111">
        <f t="shared" si="18"/>
        <v>7.72</v>
      </c>
      <c r="M71" s="111">
        <f t="shared" si="18"/>
        <v>11.13</v>
      </c>
      <c r="N71" s="111">
        <f t="shared" si="18"/>
        <v>52.68</v>
      </c>
      <c r="O71" s="111">
        <f t="shared" si="18"/>
        <v>0.17</v>
      </c>
      <c r="P71" s="111">
        <f t="shared" si="18"/>
        <v>1.99</v>
      </c>
      <c r="Q71" s="111">
        <f t="shared" si="18"/>
        <v>32.68</v>
      </c>
      <c r="R71" s="111">
        <f t="shared" si="18"/>
        <v>34.85</v>
      </c>
      <c r="S71" s="111">
        <f t="shared" si="18"/>
        <v>87.53</v>
      </c>
      <c r="T71" s="899"/>
      <c r="U71" s="173"/>
    </row>
    <row r="72" spans="2:22" ht="12" hidden="1" customHeight="1">
      <c r="B72" s="324"/>
      <c r="C72" s="308"/>
      <c r="D72" s="305"/>
      <c r="E72" s="940" t="e">
        <f>C72/$H$75</f>
        <v>#DIV/0!</v>
      </c>
      <c r="F72" s="203"/>
      <c r="G72" s="88">
        <f>ROUNDDOWN(N73,0)</f>
        <v>62</v>
      </c>
      <c r="H72" s="939"/>
      <c r="I72" s="940" t="e">
        <f>H72/$H$75</f>
        <v>#DIV/0!</v>
      </c>
      <c r="J72" s="90">
        <v>165.89</v>
      </c>
      <c r="K72" s="90">
        <v>13.45</v>
      </c>
      <c r="L72" s="90">
        <v>26.42</v>
      </c>
      <c r="M72" s="90">
        <f>K72+L72</f>
        <v>39.870000000000005</v>
      </c>
      <c r="N72" s="90">
        <f>J72+M72</f>
        <v>205.76</v>
      </c>
      <c r="O72" s="90">
        <f>$O$75/$J$75*J72</f>
        <v>0.65846784863720564</v>
      </c>
      <c r="P72" s="90">
        <f>$P$75/$J$75*J72</f>
        <v>7.9455120402222814</v>
      </c>
      <c r="Q72" s="90">
        <f>$Q$75/$J$75*J72</f>
        <v>130.50832759989416</v>
      </c>
      <c r="R72" s="90">
        <f>O72+P72+Q72</f>
        <v>139.11230748875366</v>
      </c>
      <c r="S72" s="90">
        <f>N72+R72</f>
        <v>344.87230748875368</v>
      </c>
      <c r="T72" s="899"/>
      <c r="U72" s="173"/>
    </row>
    <row r="73" spans="2:22" ht="12" hidden="1" customHeight="1">
      <c r="B73" s="324"/>
      <c r="C73" s="308"/>
      <c r="D73" s="305"/>
      <c r="E73" s="938"/>
      <c r="F73" s="203"/>
      <c r="G73" s="87">
        <f>ROUNDDOWN(J72,0)</f>
        <v>165</v>
      </c>
      <c r="H73" s="936"/>
      <c r="I73" s="938"/>
      <c r="J73" s="111">
        <f t="shared" ref="J73:S73" si="19">ROUNDDOWN(J72*0.3025,2)</f>
        <v>50.18</v>
      </c>
      <c r="K73" s="111">
        <f t="shared" si="19"/>
        <v>4.0599999999999996</v>
      </c>
      <c r="L73" s="111">
        <f t="shared" si="19"/>
        <v>7.99</v>
      </c>
      <c r="M73" s="111">
        <f t="shared" si="19"/>
        <v>12.06</v>
      </c>
      <c r="N73" s="111">
        <f t="shared" si="19"/>
        <v>62.24</v>
      </c>
      <c r="O73" s="111">
        <f t="shared" si="19"/>
        <v>0.19</v>
      </c>
      <c r="P73" s="111">
        <f t="shared" si="19"/>
        <v>2.4</v>
      </c>
      <c r="Q73" s="111">
        <f t="shared" si="19"/>
        <v>39.47</v>
      </c>
      <c r="R73" s="111">
        <f t="shared" si="19"/>
        <v>42.08</v>
      </c>
      <c r="S73" s="111">
        <f t="shared" si="19"/>
        <v>104.32</v>
      </c>
      <c r="T73" s="899"/>
      <c r="U73" s="173"/>
    </row>
    <row r="74" spans="2:22" ht="12" hidden="1" customHeight="1">
      <c r="B74" s="88"/>
      <c r="C74" s="1121"/>
      <c r="D74" s="940"/>
      <c r="E74" s="940">
        <f>C74/$H$78</f>
        <v>0</v>
      </c>
      <c r="F74" s="838"/>
      <c r="G74" s="88">
        <f>ROUNDDOWN(N75,0)</f>
        <v>49</v>
      </c>
      <c r="H74" s="939"/>
      <c r="I74" s="940">
        <f>H74/$H$78</f>
        <v>0</v>
      </c>
      <c r="J74" s="90">
        <v>124.94</v>
      </c>
      <c r="K74" s="90">
        <v>11.85</v>
      </c>
      <c r="L74" s="90">
        <v>27.85</v>
      </c>
      <c r="M74" s="90">
        <f>K74+L74</f>
        <v>39.700000000000003</v>
      </c>
      <c r="N74" s="90">
        <f>J74+M74</f>
        <v>164.64</v>
      </c>
      <c r="O74" s="90">
        <f>$O$78/$J$78*J74</f>
        <v>0.51188164997521302</v>
      </c>
      <c r="P74" s="90">
        <f>$P$78/$J$78*J74</f>
        <v>6.0109530897089298</v>
      </c>
      <c r="Q74" s="90">
        <f>$Q$78/$J$78*J74</f>
        <v>98.281276795240885</v>
      </c>
      <c r="R74" s="90">
        <f>O74+P74+Q74</f>
        <v>104.80411153492503</v>
      </c>
      <c r="S74" s="90">
        <f>N74+R74</f>
        <v>269.44411153492501</v>
      </c>
      <c r="T74" s="899"/>
      <c r="U74" s="173"/>
      <c r="V74" s="173">
        <f>N52+N76</f>
        <v>114392.95000000001</v>
      </c>
    </row>
    <row r="75" spans="2:22" ht="12" hidden="1" customHeight="1">
      <c r="B75" s="87"/>
      <c r="C75" s="1121"/>
      <c r="D75" s="938"/>
      <c r="E75" s="938"/>
      <c r="F75" s="838"/>
      <c r="G75" s="273">
        <f>ROUNDDOWN(J74,0)</f>
        <v>124</v>
      </c>
      <c r="H75" s="936"/>
      <c r="I75" s="938"/>
      <c r="J75" s="111">
        <f t="shared" ref="J75:S75" si="20">ROUNDDOWN(J74*0.3025,2)</f>
        <v>37.79</v>
      </c>
      <c r="K75" s="111">
        <f t="shared" si="20"/>
        <v>3.58</v>
      </c>
      <c r="L75" s="111">
        <f t="shared" si="20"/>
        <v>8.42</v>
      </c>
      <c r="M75" s="111">
        <f t="shared" si="20"/>
        <v>12</v>
      </c>
      <c r="N75" s="111">
        <f t="shared" si="20"/>
        <v>49.8</v>
      </c>
      <c r="O75" s="111">
        <f t="shared" si="20"/>
        <v>0.15</v>
      </c>
      <c r="P75" s="111">
        <f t="shared" si="20"/>
        <v>1.81</v>
      </c>
      <c r="Q75" s="111">
        <f t="shared" si="20"/>
        <v>29.73</v>
      </c>
      <c r="R75" s="111">
        <f t="shared" si="20"/>
        <v>31.7</v>
      </c>
      <c r="S75" s="111">
        <f t="shared" si="20"/>
        <v>81.5</v>
      </c>
      <c r="T75" s="899"/>
      <c r="U75" s="173"/>
      <c r="V75" s="144">
        <f>R52+R76</f>
        <v>71660</v>
      </c>
    </row>
    <row r="76" spans="2:22" ht="12" customHeight="1">
      <c r="B76" s="130"/>
      <c r="C76" s="130"/>
      <c r="D76" s="1131"/>
      <c r="E76" s="1131">
        <f>E56+E58+E60+E62+E66</f>
        <v>1</v>
      </c>
      <c r="F76" s="77"/>
      <c r="G76" s="1202" t="s">
        <v>82</v>
      </c>
      <c r="H76" s="1253">
        <f>SUM(H54:H75)</f>
        <v>997</v>
      </c>
      <c r="I76" s="371">
        <f>I56+I58+I60+I62+I66</f>
        <v>0.89017857142857149</v>
      </c>
      <c r="J76" s="365">
        <f>SUMPRODUCT(H54:H75,J54:J75)</f>
        <v>78387.350000000006</v>
      </c>
      <c r="K76" s="365">
        <f>SUMPRODUCT(H54:H75,K54:K75)</f>
        <v>7033.3</v>
      </c>
      <c r="L76" s="365">
        <f>SUMPRODUCT(H54:H75,L54:L75)</f>
        <v>19355.900000000001</v>
      </c>
      <c r="M76" s="365">
        <f>K76+L76</f>
        <v>26389.200000000001</v>
      </c>
      <c r="N76" s="365">
        <f>J76+M76</f>
        <v>104776.55</v>
      </c>
      <c r="O76" s="365">
        <f>SUMPRODUCT(H54:H75,O54:O75)</f>
        <v>321.15452261233003</v>
      </c>
      <c r="P76" s="365">
        <f>SUMPRODUCT(H54:H75,P54:P75)</f>
        <v>3771.2716798190759</v>
      </c>
      <c r="Q76" s="365">
        <f>SUMPRODUCT(H54:H75,Q54:Q75)</f>
        <v>61661.668341567361</v>
      </c>
      <c r="R76" s="365">
        <f>O76+P76+Q76</f>
        <v>65754.09454399877</v>
      </c>
      <c r="S76" s="365">
        <f>N76+R76</f>
        <v>170530.64454399876</v>
      </c>
      <c r="T76" s="1220"/>
      <c r="U76" s="173"/>
      <c r="V76" s="173">
        <f>S52+S76</f>
        <v>186052.94999999998</v>
      </c>
    </row>
    <row r="77" spans="2:22" ht="12" customHeight="1">
      <c r="D77" s="1132"/>
      <c r="E77" s="1132"/>
      <c r="F77" s="77"/>
      <c r="G77" s="1203"/>
      <c r="H77" s="1254"/>
      <c r="I77" s="375">
        <f>H76/$H$76</f>
        <v>1</v>
      </c>
      <c r="J77" s="292">
        <f t="shared" ref="J77:S77" si="21">ROUNDDOWN(J76*0.3025,2)</f>
        <v>23712.17</v>
      </c>
      <c r="K77" s="292">
        <f t="shared" si="21"/>
        <v>2127.5700000000002</v>
      </c>
      <c r="L77" s="292">
        <f t="shared" si="21"/>
        <v>5855.15</v>
      </c>
      <c r="M77" s="292">
        <f t="shared" si="21"/>
        <v>7982.73</v>
      </c>
      <c r="N77" s="292">
        <f t="shared" si="21"/>
        <v>31694.9</v>
      </c>
      <c r="O77" s="292">
        <f t="shared" si="21"/>
        <v>97.14</v>
      </c>
      <c r="P77" s="292">
        <f t="shared" si="21"/>
        <v>1140.8</v>
      </c>
      <c r="Q77" s="292">
        <f t="shared" si="21"/>
        <v>18652.650000000001</v>
      </c>
      <c r="R77" s="292">
        <f t="shared" si="21"/>
        <v>19890.61</v>
      </c>
      <c r="S77" s="292">
        <f t="shared" si="21"/>
        <v>51585.51</v>
      </c>
      <c r="T77" s="1207"/>
    </row>
    <row r="78" spans="2:22" ht="17.25" customHeight="1">
      <c r="C78" s="1212"/>
      <c r="D78" s="940"/>
      <c r="F78" s="77"/>
      <c r="G78" s="1213" t="s">
        <v>69</v>
      </c>
      <c r="H78" s="1255">
        <f>H52+H76</f>
        <v>1120</v>
      </c>
      <c r="I78" s="1217">
        <f>I52+I76</f>
        <v>1</v>
      </c>
      <c r="J78" s="368">
        <f>J52+J76</f>
        <v>85427.950000000012</v>
      </c>
      <c r="K78" s="368">
        <f>K52+K76</f>
        <v>7670.1</v>
      </c>
      <c r="L78" s="368">
        <f>L52+L76</f>
        <v>21294.9</v>
      </c>
      <c r="M78" s="368">
        <f>K78+L78</f>
        <v>28965</v>
      </c>
      <c r="N78" s="368">
        <f>J78+M78</f>
        <v>114392.95000000001</v>
      </c>
      <c r="O78" s="368">
        <v>350</v>
      </c>
      <c r="P78" s="368">
        <f>R6+R7+R8+R9+R10+R11+R12</f>
        <v>4110</v>
      </c>
      <c r="Q78" s="368">
        <f>(R18*V17)</f>
        <v>67200</v>
      </c>
      <c r="R78" s="368">
        <f>O78+P78+Q78</f>
        <v>71660</v>
      </c>
      <c r="S78" s="368">
        <f>N78+R78</f>
        <v>186052.95</v>
      </c>
      <c r="T78" s="358"/>
    </row>
    <row r="79" spans="2:22" ht="17.25" customHeight="1">
      <c r="C79" s="1076"/>
      <c r="D79" s="938"/>
      <c r="F79" s="77"/>
      <c r="G79" s="1214"/>
      <c r="H79" s="1256"/>
      <c r="I79" s="1218"/>
      <c r="J79" s="359">
        <f t="shared" ref="J79:S79" si="22">ROUNDDOWN(J78*0.3025,2)</f>
        <v>25841.95</v>
      </c>
      <c r="K79" s="359">
        <f t="shared" si="22"/>
        <v>2320.1999999999998</v>
      </c>
      <c r="L79" s="359">
        <f t="shared" si="22"/>
        <v>6441.7</v>
      </c>
      <c r="M79" s="359">
        <f t="shared" si="22"/>
        <v>8761.91</v>
      </c>
      <c r="N79" s="359">
        <f t="shared" si="22"/>
        <v>34603.86</v>
      </c>
      <c r="O79" s="359">
        <f t="shared" si="22"/>
        <v>105.87</v>
      </c>
      <c r="P79" s="359">
        <f t="shared" si="22"/>
        <v>1243.27</v>
      </c>
      <c r="Q79" s="359">
        <f t="shared" si="22"/>
        <v>20328</v>
      </c>
      <c r="R79" s="359">
        <f t="shared" si="22"/>
        <v>21677.15</v>
      </c>
      <c r="S79" s="359">
        <f t="shared" si="22"/>
        <v>56281.01</v>
      </c>
      <c r="T79" s="360"/>
    </row>
    <row r="80" spans="2:22" ht="6" customHeight="1">
      <c r="F80" s="77"/>
      <c r="G80" s="1046"/>
      <c r="H80" s="1047"/>
      <c r="I80" s="1047"/>
      <c r="J80" s="1047"/>
      <c r="K80" s="1047"/>
      <c r="L80" s="1047"/>
      <c r="M80" s="1047"/>
      <c r="N80" s="1047"/>
      <c r="O80" s="1047"/>
      <c r="P80" s="1047"/>
      <c r="Q80" s="1047"/>
      <c r="R80" s="1047"/>
      <c r="S80" s="1047"/>
      <c r="T80" s="1048"/>
    </row>
    <row r="81" spans="4:43" ht="18" customHeight="1">
      <c r="D81" s="321"/>
      <c r="F81" s="77"/>
      <c r="G81" s="951" t="s">
        <v>87</v>
      </c>
      <c r="H81" s="951"/>
      <c r="I81" s="951"/>
      <c r="J81" s="951"/>
      <c r="K81" s="951"/>
      <c r="L81" s="951"/>
      <c r="M81" s="951"/>
      <c r="N81" s="951"/>
      <c r="O81" s="951"/>
      <c r="P81" s="951"/>
      <c r="Q81" s="951"/>
      <c r="R81" s="951"/>
      <c r="S81" s="951"/>
      <c r="T81" s="952"/>
    </row>
    <row r="82" spans="4:43" s="6" customFormat="1" ht="14.1" customHeight="1">
      <c r="E82" s="322"/>
      <c r="F82" s="79"/>
      <c r="G82" s="984" t="s">
        <v>16</v>
      </c>
      <c r="H82" s="985"/>
      <c r="I82" s="986" t="s">
        <v>7</v>
      </c>
      <c r="J82" s="987"/>
      <c r="K82" s="986" t="s">
        <v>83</v>
      </c>
      <c r="L82" s="987"/>
      <c r="M82" s="986" t="s">
        <v>22</v>
      </c>
      <c r="N82" s="987"/>
      <c r="O82" s="85" t="s">
        <v>218</v>
      </c>
      <c r="P82" s="85" t="s">
        <v>32</v>
      </c>
      <c r="Q82" s="1044" t="s">
        <v>73</v>
      </c>
      <c r="R82" s="1045"/>
      <c r="S82" s="1051" t="s">
        <v>74</v>
      </c>
      <c r="T82" s="1052"/>
    </row>
    <row r="83" spans="4:43" s="6" customFormat="1" ht="14.1" hidden="1" customHeight="1">
      <c r="F83" s="79"/>
      <c r="G83" s="1032" t="s">
        <v>50</v>
      </c>
      <c r="H83" s="1033"/>
      <c r="I83" s="1049">
        <f>M83*0.7</f>
        <v>0</v>
      </c>
      <c r="J83" s="1050"/>
      <c r="K83" s="1049">
        <f>M83*0.3</f>
        <v>0</v>
      </c>
      <c r="L83" s="1050"/>
      <c r="M83" s="1049">
        <v>0</v>
      </c>
      <c r="N83" s="1050"/>
      <c r="O83" s="58">
        <f>M83*0.15</f>
        <v>0</v>
      </c>
      <c r="P83" s="59" t="e">
        <f>#REF!*42</f>
        <v>#REF!</v>
      </c>
      <c r="Q83" s="988" t="e">
        <f>SUM(M83:P83)</f>
        <v>#REF!</v>
      </c>
      <c r="R83" s="989"/>
      <c r="S83" s="990"/>
      <c r="T83" s="991"/>
    </row>
    <row r="84" spans="4:43" s="6" customFormat="1" ht="14.1" hidden="1" customHeight="1">
      <c r="F84" s="79"/>
      <c r="G84" s="1034"/>
      <c r="H84" s="1035"/>
      <c r="I84" s="992">
        <f t="shared" ref="I84:I86" si="23">I83*0.3025</f>
        <v>0</v>
      </c>
      <c r="J84" s="993"/>
      <c r="K84" s="992">
        <f>K83*0.3025</f>
        <v>0</v>
      </c>
      <c r="L84" s="993"/>
      <c r="M84" s="1038">
        <f>M83*0.3025</f>
        <v>0</v>
      </c>
      <c r="N84" s="1039"/>
      <c r="O84" s="9">
        <f t="shared" ref="O84:O90" si="24">O83*0.3025</f>
        <v>0</v>
      </c>
      <c r="P84" s="60" t="e">
        <f>P83*0.3025</f>
        <v>#REF!</v>
      </c>
      <c r="Q84" s="1040" t="e">
        <f>Q83*0.3025</f>
        <v>#REF!</v>
      </c>
      <c r="R84" s="1041"/>
      <c r="S84" s="1042"/>
      <c r="T84" s="1043"/>
    </row>
    <row r="85" spans="4:43" s="6" customFormat="1" ht="14.1" customHeight="1">
      <c r="F85" s="79"/>
      <c r="G85" s="996" t="s">
        <v>38</v>
      </c>
      <c r="H85" s="1001" t="s">
        <v>45</v>
      </c>
      <c r="I85" s="1057">
        <f>M85*0.7</f>
        <v>364</v>
      </c>
      <c r="J85" s="1000"/>
      <c r="K85" s="999">
        <f>M85*0.3</f>
        <v>156</v>
      </c>
      <c r="L85" s="1000"/>
      <c r="M85" s="1058">
        <v>520</v>
      </c>
      <c r="N85" s="1059"/>
      <c r="O85" s="91">
        <f>$O$89*I85/$I$89</f>
        <v>172.0588235294118</v>
      </c>
      <c r="P85" s="91">
        <f>$P$89*I85/$I$89</f>
        <v>252.35294117647061</v>
      </c>
      <c r="Q85" s="1017">
        <f>SUM(M85:P85)</f>
        <v>944.41176470588243</v>
      </c>
      <c r="R85" s="1018"/>
      <c r="S85" s="1019"/>
      <c r="T85" s="1020"/>
      <c r="U85" s="7"/>
      <c r="V85" s="7">
        <f>I85/I89*Q89</f>
        <v>944.41176470588243</v>
      </c>
      <c r="W85" s="7"/>
      <c r="X85" s="8"/>
    </row>
    <row r="86" spans="4:43" s="6" customFormat="1" ht="14.1" customHeight="1">
      <c r="F86" s="79"/>
      <c r="G86" s="997"/>
      <c r="H86" s="1002"/>
      <c r="I86" s="1021">
        <f t="shared" si="23"/>
        <v>110.11</v>
      </c>
      <c r="J86" s="1022"/>
      <c r="K86" s="1023">
        <f>K85*0.3025</f>
        <v>47.19</v>
      </c>
      <c r="L86" s="1022"/>
      <c r="M86" s="1024">
        <f>M85*0.3025</f>
        <v>157.29999999999998</v>
      </c>
      <c r="N86" s="1025"/>
      <c r="O86" s="92">
        <f>O85*0.3025</f>
        <v>52.047794117647065</v>
      </c>
      <c r="P86" s="92">
        <f>P85*0.3025</f>
        <v>76.336764705882359</v>
      </c>
      <c r="Q86" s="1024">
        <f>Q85*0.3025</f>
        <v>285.68455882352941</v>
      </c>
      <c r="R86" s="1025"/>
      <c r="S86" s="1026"/>
      <c r="T86" s="1027"/>
      <c r="U86" s="7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spans="4:43" s="6" customFormat="1" ht="14.1" customHeight="1">
      <c r="F87" s="79"/>
      <c r="G87" s="997"/>
      <c r="H87" s="1077" t="s">
        <v>46</v>
      </c>
      <c r="I87" s="1057">
        <f>M87*0.7</f>
        <v>1540</v>
      </c>
      <c r="J87" s="1000"/>
      <c r="K87" s="999">
        <f>M87*0.3</f>
        <v>660</v>
      </c>
      <c r="L87" s="1000"/>
      <c r="M87" s="1058">
        <f>'설계개요(통합)'!M87:N87-'설계개요(1단지)'!M91:N91</f>
        <v>2200</v>
      </c>
      <c r="N87" s="1059"/>
      <c r="O87" s="91">
        <f>$O$89*I87/$I$89</f>
        <v>727.94117647058829</v>
      </c>
      <c r="P87" s="91">
        <f>$P$89*I87/$I$89</f>
        <v>1067.6470588235295</v>
      </c>
      <c r="Q87" s="1058">
        <f>SUM(M87:P87)</f>
        <v>3995.588235294118</v>
      </c>
      <c r="R87" s="1059"/>
      <c r="S87" s="1060"/>
      <c r="T87" s="1061"/>
      <c r="U87"/>
      <c r="V87" s="7">
        <f>I87/I89*Q89</f>
        <v>3995.5882352941185</v>
      </c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spans="4:43" ht="14.1" customHeight="1">
      <c r="F88" s="77"/>
      <c r="G88" s="998"/>
      <c r="H88" s="1078"/>
      <c r="I88" s="1062">
        <f t="shared" ref="I88" si="25">I87*0.3025</f>
        <v>465.84999999999997</v>
      </c>
      <c r="J88" s="1063"/>
      <c r="K88" s="1064">
        <f>K87*0.3025</f>
        <v>199.65</v>
      </c>
      <c r="L88" s="1063"/>
      <c r="M88" s="1065">
        <f>M87*0.3025</f>
        <v>665.5</v>
      </c>
      <c r="N88" s="1066"/>
      <c r="O88" s="94">
        <f>O87*0.3025</f>
        <v>220.20220588235296</v>
      </c>
      <c r="P88" s="98">
        <f>P87*0.3025</f>
        <v>322.96323529411768</v>
      </c>
      <c r="Q88" s="1065">
        <f>Q87*0.3025</f>
        <v>1208.6654411764707</v>
      </c>
      <c r="R88" s="1066"/>
      <c r="S88" s="1067"/>
      <c r="T88" s="1068"/>
      <c r="U88"/>
      <c r="AQ88" s="6"/>
    </row>
    <row r="89" spans="4:43" ht="14.1" customHeight="1">
      <c r="F89" s="77"/>
      <c r="G89" s="1225" t="s">
        <v>69</v>
      </c>
      <c r="H89" s="1226"/>
      <c r="I89" s="1229">
        <f>M89*0.7</f>
        <v>1903.9999999999998</v>
      </c>
      <c r="J89" s="1230"/>
      <c r="K89" s="1231">
        <f>M89*0.3</f>
        <v>816</v>
      </c>
      <c r="L89" s="1230"/>
      <c r="M89" s="1231">
        <f>M85+M87</f>
        <v>2720</v>
      </c>
      <c r="N89" s="1230"/>
      <c r="O89" s="293">
        <v>900</v>
      </c>
      <c r="P89" s="293">
        <f>R24*V17</f>
        <v>1320</v>
      </c>
      <c r="Q89" s="1232">
        <f>SUM(M89:P89)</f>
        <v>4940</v>
      </c>
      <c r="R89" s="1233"/>
      <c r="S89" s="1234"/>
      <c r="T89" s="1235"/>
      <c r="U89" s="6"/>
      <c r="AQ89" s="6"/>
    </row>
    <row r="90" spans="4:43" ht="14.1" customHeight="1">
      <c r="F90" s="77"/>
      <c r="G90" s="1227"/>
      <c r="H90" s="1228"/>
      <c r="I90" s="1236">
        <f t="shared" ref="I90" si="26">I89*0.3025</f>
        <v>575.95999999999992</v>
      </c>
      <c r="J90" s="1237"/>
      <c r="K90" s="1238">
        <f>K89*0.3025</f>
        <v>246.84</v>
      </c>
      <c r="L90" s="1237"/>
      <c r="M90" s="1221">
        <f>M89*0.3025</f>
        <v>822.8</v>
      </c>
      <c r="N90" s="1222"/>
      <c r="O90" s="294">
        <f t="shared" si="24"/>
        <v>272.25</v>
      </c>
      <c r="P90" s="295">
        <f>P89*0.3025</f>
        <v>399.3</v>
      </c>
      <c r="Q90" s="1221">
        <f>Q89*0.3025</f>
        <v>1494.35</v>
      </c>
      <c r="R90" s="1222"/>
      <c r="S90" s="1223"/>
      <c r="T90" s="1224"/>
      <c r="U90" s="7"/>
      <c r="AQ90" s="6"/>
    </row>
    <row r="91" spans="4:43" ht="14.1" customHeight="1">
      <c r="Q91" s="5"/>
      <c r="R91" s="5"/>
      <c r="S91" s="5"/>
      <c r="T91" s="6"/>
      <c r="U91" s="6"/>
      <c r="AQ91" s="6"/>
    </row>
    <row r="92" spans="4:43" ht="14.1" customHeight="1">
      <c r="J92" s="2">
        <f>H56*J56+J58*H58+H60*J60+J62*H62+H66*J66</f>
        <v>78387.350000000006</v>
      </c>
      <c r="K92" s="2">
        <f>H56*K56+K58*H58+H60*K60+K62*H62+H66*K66</f>
        <v>7033.3</v>
      </c>
      <c r="P92" s="379">
        <f>P85+P87</f>
        <v>1320</v>
      </c>
      <c r="T92" s="6"/>
      <c r="U92" s="6"/>
      <c r="AQ92" s="6"/>
    </row>
    <row r="93" spans="4:43" ht="14.1" customHeight="1">
      <c r="T93" s="6"/>
      <c r="U93" s="6"/>
      <c r="AQ93" s="6"/>
    </row>
    <row r="94" spans="4:43" ht="14.1" customHeight="1">
      <c r="T94" s="6"/>
      <c r="U94" s="6"/>
      <c r="AQ94" s="6"/>
    </row>
    <row r="95" spans="4:43" ht="14.1" customHeight="1">
      <c r="H95" s="11">
        <f>H38+H58</f>
        <v>242</v>
      </c>
      <c r="I95" s="145">
        <f>I38+I58</f>
        <v>0.21607142857142858</v>
      </c>
      <c r="M95" s="144">
        <f t="shared" ref="M95:S95" si="27">M52+M76</f>
        <v>28965</v>
      </c>
      <c r="N95" s="144">
        <f t="shared" si="27"/>
        <v>114392.95000000001</v>
      </c>
      <c r="O95" s="144">
        <f t="shared" si="27"/>
        <v>350</v>
      </c>
      <c r="P95" s="144">
        <f t="shared" si="27"/>
        <v>4110</v>
      </c>
      <c r="Q95" s="144">
        <f t="shared" si="27"/>
        <v>67200</v>
      </c>
      <c r="R95" s="144">
        <f t="shared" si="27"/>
        <v>71660</v>
      </c>
      <c r="S95" s="144">
        <f t="shared" si="27"/>
        <v>186052.94999999998</v>
      </c>
      <c r="T95" s="6"/>
      <c r="U95" s="6"/>
      <c r="AQ95" s="6"/>
    </row>
    <row r="96" spans="4:43" ht="14.1" customHeight="1">
      <c r="H96" s="11">
        <f>H58+H60+H64</f>
        <v>342</v>
      </c>
      <c r="AQ96" s="6"/>
    </row>
    <row r="97" spans="7:43" ht="14.1" customHeight="1">
      <c r="AQ97" s="6"/>
    </row>
    <row r="98" spans="7:43" ht="14.1" customHeight="1">
      <c r="AQ98" s="6"/>
    </row>
    <row r="99" spans="7:43" ht="14.1" customHeight="1">
      <c r="AQ99" s="6"/>
    </row>
    <row r="100" spans="7:43" ht="14.1" customHeight="1">
      <c r="AQ100" s="6"/>
    </row>
    <row r="101" spans="7:43" ht="14.1" customHeight="1" thickBot="1">
      <c r="G101" s="1"/>
      <c r="K101" s="3"/>
      <c r="M101" s="1007" t="s">
        <v>89</v>
      </c>
      <c r="N101" s="1007"/>
      <c r="O101" s="1007"/>
      <c r="P101" s="112"/>
      <c r="Q101" s="113"/>
      <c r="R101" s="112"/>
      <c r="S101" s="6"/>
      <c r="AQ101" s="6"/>
    </row>
    <row r="102" spans="7:43" ht="14.1" customHeight="1">
      <c r="G102" s="34"/>
      <c r="H102" s="35"/>
      <c r="I102" s="36"/>
      <c r="J102" s="36"/>
      <c r="K102" s="37"/>
      <c r="M102" s="114"/>
      <c r="N102" s="115">
        <v>0</v>
      </c>
      <c r="O102" s="116">
        <v>300</v>
      </c>
      <c r="P102" s="117">
        <v>500</v>
      </c>
      <c r="Q102" s="118">
        <v>1000</v>
      </c>
      <c r="R102" s="117">
        <v>2000</v>
      </c>
      <c r="S102" s="6"/>
      <c r="AQ102" s="6"/>
    </row>
    <row r="103" spans="7:43" ht="14.1" customHeight="1">
      <c r="G103" s="38"/>
      <c r="H103" s="39"/>
      <c r="I103" s="40"/>
      <c r="J103" s="40"/>
      <c r="K103" s="41"/>
      <c r="M103" s="119"/>
      <c r="N103" s="120" t="s">
        <v>90</v>
      </c>
      <c r="O103" s="120" t="s">
        <v>91</v>
      </c>
      <c r="P103" s="120" t="s">
        <v>92</v>
      </c>
      <c r="Q103" s="120" t="s">
        <v>93</v>
      </c>
      <c r="R103" s="120" t="s">
        <v>94</v>
      </c>
      <c r="S103" s="6"/>
      <c r="AQ103" s="6"/>
    </row>
    <row r="104" spans="7:43" ht="14.1" customHeight="1">
      <c r="G104" s="980"/>
      <c r="H104" s="106"/>
      <c r="I104" s="106"/>
      <c r="J104" s="106"/>
      <c r="K104" s="42"/>
      <c r="M104" s="119" t="s">
        <v>4</v>
      </c>
      <c r="N104" s="121">
        <v>6</v>
      </c>
      <c r="O104" s="121">
        <v>8</v>
      </c>
      <c r="P104" s="121">
        <v>12</v>
      </c>
      <c r="Q104" s="122">
        <v>15</v>
      </c>
      <c r="R104" s="121">
        <v>20</v>
      </c>
      <c r="S104" s="6"/>
      <c r="AQ104" s="6"/>
    </row>
    <row r="105" spans="7:43" ht="14.1" customHeight="1">
      <c r="G105" s="981"/>
      <c r="H105" s="107"/>
      <c r="I105" s="107"/>
      <c r="J105" s="108"/>
      <c r="K105" s="43"/>
      <c r="M105" s="114"/>
      <c r="N105" s="112"/>
      <c r="O105" s="112"/>
      <c r="P105" s="112"/>
      <c r="Q105" s="113"/>
      <c r="R105" s="112"/>
      <c r="S105" s="6"/>
      <c r="AQ105" s="6"/>
    </row>
    <row r="106" spans="7:43" ht="14.1" customHeight="1">
      <c r="G106" s="994"/>
      <c r="H106" s="106"/>
      <c r="I106" s="106"/>
      <c r="J106" s="106"/>
      <c r="K106" s="42"/>
      <c r="M106" s="114"/>
      <c r="N106" s="112"/>
      <c r="O106" s="112"/>
      <c r="P106" s="112"/>
      <c r="Q106" s="113"/>
      <c r="R106" s="112"/>
      <c r="S106" s="6"/>
      <c r="AQ106" s="6"/>
    </row>
    <row r="107" spans="7:43" ht="14.1" customHeight="1">
      <c r="G107" s="995"/>
      <c r="H107" s="107"/>
      <c r="I107" s="107"/>
      <c r="J107" s="108"/>
      <c r="K107" s="43"/>
      <c r="M107" s="1007" t="s">
        <v>95</v>
      </c>
      <c r="N107" s="1007"/>
      <c r="O107" s="1007"/>
      <c r="P107" s="112"/>
      <c r="Q107" s="113"/>
      <c r="R107" s="112"/>
      <c r="S107" s="6"/>
      <c r="AQ107" s="6"/>
    </row>
    <row r="108" spans="7:43" ht="20.25" customHeight="1">
      <c r="G108" s="994"/>
      <c r="H108" s="106"/>
      <c r="I108" s="106"/>
      <c r="J108" s="106"/>
      <c r="K108" s="42"/>
      <c r="M108" s="123"/>
      <c r="N108" s="123">
        <v>0</v>
      </c>
      <c r="O108" s="142">
        <v>150</v>
      </c>
      <c r="P108" s="142">
        <v>300</v>
      </c>
      <c r="Q108" s="142">
        <v>500</v>
      </c>
      <c r="R108" s="142">
        <v>1000</v>
      </c>
      <c r="S108" s="142">
        <v>1500</v>
      </c>
      <c r="AQ108" s="6"/>
    </row>
    <row r="109" spans="7:43" ht="20.25" customHeight="1">
      <c r="G109" s="981"/>
      <c r="H109" s="107"/>
      <c r="I109" s="107"/>
      <c r="J109" s="108"/>
      <c r="K109" s="43"/>
      <c r="M109" s="125"/>
      <c r="N109" s="125" t="s">
        <v>96</v>
      </c>
      <c r="O109" s="125" t="s">
        <v>97</v>
      </c>
      <c r="P109" s="125" t="s">
        <v>91</v>
      </c>
      <c r="Q109" s="125" t="s">
        <v>92</v>
      </c>
      <c r="R109" s="125" t="s">
        <v>98</v>
      </c>
      <c r="S109" s="125" t="s">
        <v>99</v>
      </c>
    </row>
    <row r="110" spans="7:43" ht="14.1" customHeight="1">
      <c r="G110" s="980"/>
      <c r="H110" s="106"/>
      <c r="I110" s="106"/>
      <c r="J110" s="106"/>
      <c r="M110" s="126" t="s">
        <v>100</v>
      </c>
      <c r="N110" s="124">
        <v>0</v>
      </c>
      <c r="O110" s="127">
        <f>50+(H78*0.1)</f>
        <v>162</v>
      </c>
      <c r="P110" s="127">
        <v>155</v>
      </c>
      <c r="Q110" s="127">
        <v>225</v>
      </c>
      <c r="R110" s="127">
        <v>375</v>
      </c>
      <c r="S110" s="128">
        <v>500</v>
      </c>
    </row>
    <row r="111" spans="7:43" ht="14.1" customHeight="1">
      <c r="G111" s="981"/>
      <c r="H111" s="108"/>
      <c r="I111" s="107"/>
      <c r="J111" s="108"/>
      <c r="M111" s="126" t="s">
        <v>24</v>
      </c>
      <c r="N111" s="124">
        <v>0</v>
      </c>
      <c r="O111" s="123">
        <v>0</v>
      </c>
      <c r="P111" s="127">
        <v>198</v>
      </c>
      <c r="Q111" s="127">
        <v>330</v>
      </c>
      <c r="R111" s="127">
        <v>580</v>
      </c>
      <c r="S111" s="127">
        <v>725</v>
      </c>
    </row>
    <row r="112" spans="7:43" ht="14.1" customHeight="1">
      <c r="G112" s="980"/>
      <c r="H112" s="106"/>
      <c r="I112" s="106"/>
      <c r="J112" s="106"/>
      <c r="K112" s="42"/>
      <c r="M112" s="126" t="s">
        <v>35</v>
      </c>
      <c r="N112" s="124">
        <v>0</v>
      </c>
      <c r="O112" s="123">
        <v>0</v>
      </c>
      <c r="P112" s="129">
        <v>108</v>
      </c>
      <c r="Q112" s="129">
        <v>158</v>
      </c>
      <c r="R112" s="129">
        <v>203</v>
      </c>
      <c r="S112" s="129">
        <v>298</v>
      </c>
    </row>
    <row r="113" spans="7:19" ht="14.1" customHeight="1">
      <c r="G113" s="981"/>
      <c r="H113" s="107"/>
      <c r="I113" s="107"/>
      <c r="J113" s="108"/>
      <c r="K113" s="43"/>
      <c r="S113" s="6"/>
    </row>
    <row r="114" spans="7:19" ht="14.1" customHeight="1">
      <c r="G114" s="81"/>
      <c r="H114" s="106"/>
      <c r="I114" s="106"/>
      <c r="J114" s="106"/>
      <c r="K114" s="42"/>
      <c r="M114" s="1007" t="s">
        <v>101</v>
      </c>
      <c r="N114" s="1007"/>
      <c r="O114" s="1007"/>
      <c r="S114" s="6"/>
    </row>
    <row r="115" spans="7:19" ht="14.1" customHeight="1" thickBot="1">
      <c r="G115" s="44"/>
      <c r="H115" s="109"/>
      <c r="I115" s="109"/>
      <c r="J115" s="110"/>
      <c r="K115" s="45"/>
      <c r="N115" s="130">
        <v>0</v>
      </c>
      <c r="O115" s="130">
        <v>500</v>
      </c>
      <c r="P115" s="130">
        <v>1000</v>
      </c>
      <c r="Q115" s="130">
        <v>1500</v>
      </c>
      <c r="R115" s="6"/>
      <c r="S115" s="6"/>
    </row>
    <row r="116" spans="7:19" ht="14.1" customHeight="1">
      <c r="M116" s="131"/>
      <c r="N116" s="132" t="s">
        <v>102</v>
      </c>
      <c r="O116" s="132" t="s">
        <v>103</v>
      </c>
      <c r="P116" s="132" t="s">
        <v>104</v>
      </c>
      <c r="Q116" s="125" t="s">
        <v>99</v>
      </c>
      <c r="R116" s="6"/>
      <c r="S116" s="6"/>
    </row>
    <row r="117" spans="7:19" ht="14.1" customHeight="1">
      <c r="M117" s="133" t="s">
        <v>105</v>
      </c>
      <c r="N117" s="134">
        <v>90</v>
      </c>
      <c r="O117" s="134">
        <v>90</v>
      </c>
      <c r="P117" s="134">
        <v>108</v>
      </c>
      <c r="Q117" s="135">
        <v>138</v>
      </c>
      <c r="R117" s="6"/>
      <c r="S117" s="6"/>
    </row>
    <row r="118" spans="7:19" ht="14.1" customHeight="1">
      <c r="M118" s="133" t="s">
        <v>106</v>
      </c>
      <c r="N118" s="134">
        <v>188</v>
      </c>
      <c r="O118" s="134">
        <v>188</v>
      </c>
      <c r="P118" s="134">
        <v>324</v>
      </c>
      <c r="Q118" s="135">
        <v>454</v>
      </c>
    </row>
    <row r="119" spans="7:19" ht="14.1" customHeight="1">
      <c r="M119" s="136" t="s">
        <v>107</v>
      </c>
      <c r="N119" s="135">
        <v>146</v>
      </c>
      <c r="O119" s="134">
        <v>158</v>
      </c>
      <c r="P119" s="135">
        <v>184</v>
      </c>
      <c r="Q119" s="135">
        <v>210</v>
      </c>
    </row>
    <row r="120" spans="7:19" ht="14.1" customHeight="1">
      <c r="M120" s="133" t="s">
        <v>108</v>
      </c>
      <c r="N120" s="135">
        <v>60</v>
      </c>
      <c r="O120" s="134">
        <v>80</v>
      </c>
      <c r="P120" s="135">
        <v>100</v>
      </c>
      <c r="Q120" s="135">
        <v>150</v>
      </c>
    </row>
    <row r="121" spans="7:19" ht="14.1" customHeight="1">
      <c r="M121" s="137" t="s">
        <v>1</v>
      </c>
      <c r="N121" s="135">
        <f>SUM(N117:N120)</f>
        <v>484</v>
      </c>
      <c r="O121" s="135">
        <f t="shared" ref="O121:Q121" si="28">SUM(O117:O120)</f>
        <v>516</v>
      </c>
      <c r="P121" s="135">
        <f t="shared" si="28"/>
        <v>716</v>
      </c>
      <c r="Q121" s="135">
        <f t="shared" si="28"/>
        <v>952</v>
      </c>
    </row>
    <row r="122" spans="7:19" ht="14.1" customHeight="1">
      <c r="M122" s="1007" t="s">
        <v>109</v>
      </c>
      <c r="N122" s="1007"/>
      <c r="O122" s="1007"/>
    </row>
    <row r="123" spans="7:19" ht="14.1" customHeight="1">
      <c r="N123" s="130">
        <v>0</v>
      </c>
      <c r="O123" s="130">
        <v>500</v>
      </c>
      <c r="P123" s="130">
        <v>1000</v>
      </c>
      <c r="Q123" s="130">
        <v>1500</v>
      </c>
    </row>
    <row r="124" spans="7:19" ht="14.1" customHeight="1">
      <c r="M124" s="131"/>
      <c r="N124" s="132" t="s">
        <v>102</v>
      </c>
      <c r="O124" s="132" t="s">
        <v>103</v>
      </c>
      <c r="P124" s="132" t="s">
        <v>104</v>
      </c>
      <c r="Q124" s="125" t="s">
        <v>99</v>
      </c>
    </row>
    <row r="125" spans="7:19" ht="14.1" customHeight="1">
      <c r="M125" s="133" t="s">
        <v>114</v>
      </c>
      <c r="N125" s="138">
        <v>36</v>
      </c>
      <c r="O125" s="138">
        <v>48</v>
      </c>
      <c r="P125" s="138">
        <v>56</v>
      </c>
      <c r="Q125" s="139">
        <v>63</v>
      </c>
    </row>
    <row r="126" spans="7:19" ht="14.1" customHeight="1">
      <c r="M126" s="133" t="s">
        <v>115</v>
      </c>
      <c r="N126" s="138">
        <v>12</v>
      </c>
      <c r="O126" s="138">
        <v>18</v>
      </c>
      <c r="P126" s="138">
        <v>22</v>
      </c>
      <c r="Q126" s="139">
        <v>34</v>
      </c>
    </row>
    <row r="127" spans="7:19" ht="14.1" customHeight="1">
      <c r="M127" s="137" t="s">
        <v>1</v>
      </c>
      <c r="N127" s="140">
        <f>SUM(N125:N126)</f>
        <v>48</v>
      </c>
      <c r="O127" s="141">
        <f>SUM(O125:O126)</f>
        <v>66</v>
      </c>
      <c r="P127" s="140">
        <f>SUM(P125:P126)</f>
        <v>78</v>
      </c>
      <c r="Q127" s="140">
        <f>SUM(Q125:Q126)</f>
        <v>97</v>
      </c>
    </row>
  </sheetData>
  <mergeCells count="256">
    <mergeCell ref="H5:L5"/>
    <mergeCell ref="O5:Q5"/>
    <mergeCell ref="O6:P6"/>
    <mergeCell ref="S6:T6"/>
    <mergeCell ref="H7:L7"/>
    <mergeCell ref="S7:T7"/>
    <mergeCell ref="G2:L2"/>
    <mergeCell ref="V2:W2"/>
    <mergeCell ref="H3:L3"/>
    <mergeCell ref="S3:T3"/>
    <mergeCell ref="H4:L4"/>
    <mergeCell ref="O4:Q4"/>
    <mergeCell ref="G8:G14"/>
    <mergeCell ref="H8:I8"/>
    <mergeCell ref="O8:O14"/>
    <mergeCell ref="P8:P10"/>
    <mergeCell ref="S8:T8"/>
    <mergeCell ref="H9:H13"/>
    <mergeCell ref="S9:T9"/>
    <mergeCell ref="S12:T12"/>
    <mergeCell ref="H14:I14"/>
    <mergeCell ref="S14:T14"/>
    <mergeCell ref="G15:G24"/>
    <mergeCell ref="H15:I15"/>
    <mergeCell ref="J15:K15"/>
    <mergeCell ref="O15:P15"/>
    <mergeCell ref="S15:T15"/>
    <mergeCell ref="X15:AE16"/>
    <mergeCell ref="H16:H18"/>
    <mergeCell ref="L16:L18"/>
    <mergeCell ref="O16:P16"/>
    <mergeCell ref="S16:T16"/>
    <mergeCell ref="O17:P17"/>
    <mergeCell ref="S17:T17"/>
    <mergeCell ref="Y17:Z17"/>
    <mergeCell ref="AA17:AD17"/>
    <mergeCell ref="N18:N25"/>
    <mergeCell ref="O18:O20"/>
    <mergeCell ref="R18:R23"/>
    <mergeCell ref="S18:T23"/>
    <mergeCell ref="Y18:Z18"/>
    <mergeCell ref="AA18:AD18"/>
    <mergeCell ref="H19:H21"/>
    <mergeCell ref="L19:L21"/>
    <mergeCell ref="Y19:Z19"/>
    <mergeCell ref="AA19:AD19"/>
    <mergeCell ref="O21:O23"/>
    <mergeCell ref="H22:H24"/>
    <mergeCell ref="L22:L24"/>
    <mergeCell ref="S24:T24"/>
    <mergeCell ref="X24:X31"/>
    <mergeCell ref="AC24:AD24"/>
    <mergeCell ref="H25:I25"/>
    <mergeCell ref="O25:P25"/>
    <mergeCell ref="AC25:AD28"/>
    <mergeCell ref="H26:J26"/>
    <mergeCell ref="L26:L27"/>
    <mergeCell ref="N26:T26"/>
    <mergeCell ref="H27:K27"/>
    <mergeCell ref="N27:N31"/>
    <mergeCell ref="S27:S28"/>
    <mergeCell ref="T27:T31"/>
    <mergeCell ref="H28:J28"/>
    <mergeCell ref="L28:L29"/>
    <mergeCell ref="H29:K29"/>
    <mergeCell ref="S29:S31"/>
    <mergeCell ref="AC29:AC31"/>
    <mergeCell ref="AD29:AD31"/>
    <mergeCell ref="H30:K30"/>
    <mergeCell ref="V30:V31"/>
    <mergeCell ref="H31:J31"/>
    <mergeCell ref="G33:T33"/>
    <mergeCell ref="B34:B35"/>
    <mergeCell ref="C34:C35"/>
    <mergeCell ref="D34:D35"/>
    <mergeCell ref="E34:E35"/>
    <mergeCell ref="G34:G35"/>
    <mergeCell ref="H34:H35"/>
    <mergeCell ref="I34:I35"/>
    <mergeCell ref="J34:J35"/>
    <mergeCell ref="K34:M34"/>
    <mergeCell ref="V36:V37"/>
    <mergeCell ref="B38:B39"/>
    <mergeCell ref="C38:C39"/>
    <mergeCell ref="D38:D39"/>
    <mergeCell ref="E38:E39"/>
    <mergeCell ref="F38:F39"/>
    <mergeCell ref="H38:H39"/>
    <mergeCell ref="N34:N35"/>
    <mergeCell ref="O34:Q34"/>
    <mergeCell ref="R34:R35"/>
    <mergeCell ref="S34:S35"/>
    <mergeCell ref="T34:T35"/>
    <mergeCell ref="B36:B37"/>
    <mergeCell ref="C36:C37"/>
    <mergeCell ref="D36:D37"/>
    <mergeCell ref="E36:E37"/>
    <mergeCell ref="F36:F37"/>
    <mergeCell ref="I38:I39"/>
    <mergeCell ref="F40:F41"/>
    <mergeCell ref="H40:H41"/>
    <mergeCell ref="I40:I41"/>
    <mergeCell ref="E42:E43"/>
    <mergeCell ref="H42:H43"/>
    <mergeCell ref="H36:H37"/>
    <mergeCell ref="I36:I37"/>
    <mergeCell ref="T36:T41"/>
    <mergeCell ref="T42:T51"/>
    <mergeCell ref="E44:E45"/>
    <mergeCell ref="H44:H45"/>
    <mergeCell ref="I44:I45"/>
    <mergeCell ref="I48:I49"/>
    <mergeCell ref="B46:B47"/>
    <mergeCell ref="C46:C47"/>
    <mergeCell ref="D46:D47"/>
    <mergeCell ref="E46:E47"/>
    <mergeCell ref="H46:H47"/>
    <mergeCell ref="E48:E49"/>
    <mergeCell ref="B52:B53"/>
    <mergeCell ref="C52:C53"/>
    <mergeCell ref="D52:D53"/>
    <mergeCell ref="E52:E53"/>
    <mergeCell ref="G52:G53"/>
    <mergeCell ref="H52:H53"/>
    <mergeCell ref="H48:H49"/>
    <mergeCell ref="B50:B51"/>
    <mergeCell ref="C50:C51"/>
    <mergeCell ref="D50:D51"/>
    <mergeCell ref="E50:E51"/>
    <mergeCell ref="H50:H51"/>
    <mergeCell ref="E56:E57"/>
    <mergeCell ref="F56:F57"/>
    <mergeCell ref="H56:H57"/>
    <mergeCell ref="C58:C59"/>
    <mergeCell ref="D58:D59"/>
    <mergeCell ref="E58:E59"/>
    <mergeCell ref="F58:F59"/>
    <mergeCell ref="H58:H59"/>
    <mergeCell ref="T52:T53"/>
    <mergeCell ref="C54:C55"/>
    <mergeCell ref="D54:D55"/>
    <mergeCell ref="E54:E55"/>
    <mergeCell ref="F54:F55"/>
    <mergeCell ref="H54:H55"/>
    <mergeCell ref="I54:I55"/>
    <mergeCell ref="T54:T75"/>
    <mergeCell ref="C56:C57"/>
    <mergeCell ref="D56:D57"/>
    <mergeCell ref="C64:C65"/>
    <mergeCell ref="D64:D65"/>
    <mergeCell ref="E64:E65"/>
    <mergeCell ref="F64:F65"/>
    <mergeCell ref="H64:H65"/>
    <mergeCell ref="I64:I65"/>
    <mergeCell ref="C60:C61"/>
    <mergeCell ref="D60:D61"/>
    <mergeCell ref="E60:E61"/>
    <mergeCell ref="F60:F61"/>
    <mergeCell ref="H60:H61"/>
    <mergeCell ref="C62:C63"/>
    <mergeCell ref="D62:D63"/>
    <mergeCell ref="E62:E63"/>
    <mergeCell ref="F62:F63"/>
    <mergeCell ref="H62:H63"/>
    <mergeCell ref="E66:E67"/>
    <mergeCell ref="H66:H67"/>
    <mergeCell ref="E68:E69"/>
    <mergeCell ref="H68:H69"/>
    <mergeCell ref="I68:I69"/>
    <mergeCell ref="C70:C71"/>
    <mergeCell ref="D70:D71"/>
    <mergeCell ref="E70:E71"/>
    <mergeCell ref="F70:F71"/>
    <mergeCell ref="H70:H71"/>
    <mergeCell ref="C78:C79"/>
    <mergeCell ref="D78:D79"/>
    <mergeCell ref="G78:G79"/>
    <mergeCell ref="H78:H79"/>
    <mergeCell ref="I78:I79"/>
    <mergeCell ref="I70:I71"/>
    <mergeCell ref="E72:E73"/>
    <mergeCell ref="H72:H73"/>
    <mergeCell ref="I72:I73"/>
    <mergeCell ref="C74:C75"/>
    <mergeCell ref="D74:D75"/>
    <mergeCell ref="E74:E75"/>
    <mergeCell ref="F74:F75"/>
    <mergeCell ref="H74:H75"/>
    <mergeCell ref="I74:I75"/>
    <mergeCell ref="G80:T80"/>
    <mergeCell ref="G81:T81"/>
    <mergeCell ref="G82:H82"/>
    <mergeCell ref="I82:J82"/>
    <mergeCell ref="K82:L82"/>
    <mergeCell ref="M82:N82"/>
    <mergeCell ref="Q82:R82"/>
    <mergeCell ref="S82:T82"/>
    <mergeCell ref="D76:D77"/>
    <mergeCell ref="E76:E77"/>
    <mergeCell ref="G76:G77"/>
    <mergeCell ref="H76:H77"/>
    <mergeCell ref="T76:T77"/>
    <mergeCell ref="S84:T84"/>
    <mergeCell ref="G85:G88"/>
    <mergeCell ref="H85:H86"/>
    <mergeCell ref="I85:J85"/>
    <mergeCell ref="K85:L85"/>
    <mergeCell ref="M85:N85"/>
    <mergeCell ref="Q85:R85"/>
    <mergeCell ref="S85:T85"/>
    <mergeCell ref="I86:J86"/>
    <mergeCell ref="K86:L86"/>
    <mergeCell ref="G83:H84"/>
    <mergeCell ref="I83:J83"/>
    <mergeCell ref="K83:L83"/>
    <mergeCell ref="M83:N83"/>
    <mergeCell ref="Q83:R83"/>
    <mergeCell ref="S83:T83"/>
    <mergeCell ref="I84:J84"/>
    <mergeCell ref="K84:L84"/>
    <mergeCell ref="M84:N84"/>
    <mergeCell ref="Q84:R84"/>
    <mergeCell ref="M86:N86"/>
    <mergeCell ref="Q86:R86"/>
    <mergeCell ref="S86:T86"/>
    <mergeCell ref="H87:H88"/>
    <mergeCell ref="I87:J87"/>
    <mergeCell ref="K87:L87"/>
    <mergeCell ref="M87:N87"/>
    <mergeCell ref="Q87:R87"/>
    <mergeCell ref="S87:T87"/>
    <mergeCell ref="I88:J88"/>
    <mergeCell ref="Q90:R90"/>
    <mergeCell ref="S90:T90"/>
    <mergeCell ref="M101:O101"/>
    <mergeCell ref="K88:L88"/>
    <mergeCell ref="M88:N88"/>
    <mergeCell ref="Q88:R88"/>
    <mergeCell ref="S88:T88"/>
    <mergeCell ref="G89:H90"/>
    <mergeCell ref="I89:J89"/>
    <mergeCell ref="K89:L89"/>
    <mergeCell ref="M89:N89"/>
    <mergeCell ref="Q89:R89"/>
    <mergeCell ref="S89:T89"/>
    <mergeCell ref="M114:O114"/>
    <mergeCell ref="M122:O122"/>
    <mergeCell ref="G104:G105"/>
    <mergeCell ref="G106:G107"/>
    <mergeCell ref="M107:O107"/>
    <mergeCell ref="G108:G109"/>
    <mergeCell ref="G110:G111"/>
    <mergeCell ref="G112:G113"/>
    <mergeCell ref="I90:J90"/>
    <mergeCell ref="K90:L90"/>
    <mergeCell ref="M90:N90"/>
  </mergeCells>
  <phoneticPr fontId="2" type="noConversion"/>
  <printOptions horizontalCentered="1"/>
  <pageMargins left="0.7" right="0.7" top="0.75" bottom="0.75" header="0.3" footer="0.3"/>
  <pageSetup paperSize="8" scale="75" orientation="landscape" r:id="rId1"/>
  <headerFooter alignWithMargins="0"/>
  <rowBreaks count="1" manualBreakCount="1">
    <brk id="8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18</vt:i4>
      </vt:variant>
      <vt:variant>
        <vt:lpstr>이름 지정된 범위</vt:lpstr>
      </vt:variant>
      <vt:variant>
        <vt:i4>15</vt:i4>
      </vt:variant>
    </vt:vector>
  </HeadingPairs>
  <TitlesOfParts>
    <vt:vector size="33" baseType="lpstr">
      <vt:lpstr>개요작성 - 정비계획변경</vt:lpstr>
      <vt:lpstr>적용개요</vt:lpstr>
      <vt:lpstr>설계개요(alt1)</vt:lpstr>
      <vt:lpstr>설계개요(alt2)</vt:lpstr>
      <vt:lpstr>설계개요(alt2) (j)</vt:lpstr>
      <vt:lpstr>설계개요(alt2) (조정)</vt:lpstr>
      <vt:lpstr>설계개요(통합)</vt:lpstr>
      <vt:lpstr>설계개요(통합개요)</vt:lpstr>
      <vt:lpstr>설계개요(통합개요-1)</vt:lpstr>
      <vt:lpstr>설계개요(1단지)</vt:lpstr>
      <vt:lpstr>설계개요(2단지)</vt:lpstr>
      <vt:lpstr>설계개요(3단지)</vt:lpstr>
      <vt:lpstr>설계개요(4단지)</vt:lpstr>
      <vt:lpstr>Sheet3</vt:lpstr>
      <vt:lpstr>Sheet2</vt:lpstr>
      <vt:lpstr>현재계획안</vt:lpstr>
      <vt:lpstr>Sheet1</vt:lpstr>
      <vt:lpstr>설계개요(2)</vt:lpstr>
      <vt:lpstr>Sheet2!Print_Area</vt:lpstr>
      <vt:lpstr>'개요작성 - 정비계획변경'!Print_Area</vt:lpstr>
      <vt:lpstr>'설계개요(1단지)'!Print_Area</vt:lpstr>
      <vt:lpstr>'설계개요(2)'!Print_Area</vt:lpstr>
      <vt:lpstr>'설계개요(2단지)'!Print_Area</vt:lpstr>
      <vt:lpstr>'설계개요(3단지)'!Print_Area</vt:lpstr>
      <vt:lpstr>'설계개요(4단지)'!Print_Area</vt:lpstr>
      <vt:lpstr>'설계개요(alt1)'!Print_Area</vt:lpstr>
      <vt:lpstr>'설계개요(alt2)'!Print_Area</vt:lpstr>
      <vt:lpstr>'설계개요(alt2) (j)'!Print_Area</vt:lpstr>
      <vt:lpstr>'설계개요(alt2) (조정)'!Print_Area</vt:lpstr>
      <vt:lpstr>'설계개요(통합)'!Print_Area</vt:lpstr>
      <vt:lpstr>'설계개요(통합개요)'!Print_Area</vt:lpstr>
      <vt:lpstr>'설계개요(통합개요-1)'!Print_Area</vt:lpstr>
      <vt:lpstr>적용개요!Print_Area</vt:lpstr>
    </vt:vector>
  </TitlesOfParts>
  <Company>아이티엠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dh.kim@nowarch.com</dc:creator>
  <cp:lastModifiedBy>김윤혁</cp:lastModifiedBy>
  <cp:lastPrinted>2025-02-10T02:48:55Z</cp:lastPrinted>
  <dcterms:created xsi:type="dcterms:W3CDTF">2010-05-20T05:16:05Z</dcterms:created>
  <dcterms:modified xsi:type="dcterms:W3CDTF">2025-12-16T08:04:10Z</dcterms:modified>
</cp:coreProperties>
</file>